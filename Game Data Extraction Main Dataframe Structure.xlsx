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19250\Documents\GitHub\LoL-DIY-Programs\"/>
    </mc:Choice>
  </mc:AlternateContent>
  <xr:revisionPtr revIDLastSave="0" documentId="13_ncr:1_{8C8C264C-45D1-4409-9B05-4D873CEF5F27}" xr6:coauthVersionLast="47" xr6:coauthVersionMax="47" xr10:uidLastSave="{00000000-0000-0000-0000-000000000000}"/>
  <bookViews>
    <workbookView xWindow="2280" yWindow="1605" windowWidth="34725" windowHeight="18735" firstSheet="23" activeTab="26" xr2:uid="{3B9B600D-37BF-42AF-A848-4C9EEE49C701}"/>
  </bookViews>
  <sheets>
    <sheet name="gameModeMap_header" sheetId="4" r:id="rId1"/>
    <sheet name="cheatset_header" sheetId="1" r:id="rId2"/>
    <sheet name="cheat_header" sheetId="2" r:id="rId3"/>
    <sheet name="spell_header" sheetId="55" r:id="rId4"/>
    <sheet name="summoner_spell_header" sheetId="57" r:id="rId5"/>
    <sheet name="perkstyle_header" sheetId="33" r:id="rId6"/>
    <sheet name="perk_header" sheetId="34" r:id="rId7"/>
    <sheet name="champion_header" sheetId="9" r:id="rId8"/>
    <sheet name="champion_spell_header" sheetId="56" r:id="rId9"/>
    <sheet name="item_header" sheetId="10" r:id="rId10"/>
    <sheet name="itemGroup_header" sheetId="38" r:id="rId11"/>
    <sheet name="itemModifier_header" sheetId="39" r:id="rId12"/>
    <sheet name="augment_header" sheetId="59" r:id="rId13"/>
    <sheet name="CherryAugment_header" sheetId="36" r:id="rId14"/>
    <sheet name="SwarmAugment_header" sheetId="61" r:id="rId15"/>
    <sheet name="KiwiAugment_header" sheetId="6" r:id="rId16"/>
    <sheet name="KiwiAugmentSet_header" sheetId="35" r:id="rId17"/>
    <sheet name="KiwiQuestline_header" sheetId="54" r:id="rId18"/>
    <sheet name="KiwiJadeAugment_header" sheetId="63" r:id="rId19"/>
    <sheet name="augmentModifier_header" sheetId="53" r:id="rId20"/>
    <sheet name="anvil_header" sheetId="11" r:id="rId21"/>
    <sheet name="progressTrack_header" sheetId="69" r:id="rId22"/>
    <sheet name="KiwiProgressTrack_header" sheetId="72" r:id="rId23"/>
    <sheet name="rewardGroup_header" sheetId="70" r:id="rId24"/>
    <sheet name="KiwiReward_header" sheetId="71" r:id="rId25"/>
    <sheet name="KiwiQuest_header" sheetId="65" r:id="rId26"/>
    <sheet name="KiwiMission_header" sheetId="66" r:id="rId27"/>
    <sheet name="KiwiQuestMilestone_header" sheetId="67" r:id="rId28"/>
    <sheet name="CherryGoH_header" sheetId="40" r:id="rId29"/>
    <sheet name="KiwiGoH_header" sheetId="64" r:id="rId30"/>
    <sheet name="cameo_header" sheetId="44" r:id="rId31"/>
    <sheet name="CherryRoundList_header" sheetId="41" r:id="rId32"/>
    <sheet name="CherryRound_header" sheetId="43" r:id="rId33"/>
    <sheet name="CherryPhase_header" sheetId="42" r:id="rId34"/>
    <sheet name="CherryRoundPhase_header" sheetId="58" r:id="rId35"/>
    <sheet name="TFTSet_header" sheetId="15" r:id="rId36"/>
    <sheet name="TFTShop_header" sheetId="17" r:id="rId37"/>
    <sheet name="TFTShopContent_header" sheetId="31" r:id="rId38"/>
    <sheet name="TFTDropRate_header" sheetId="18" r:id="rId39"/>
    <sheet name="TFTStageRound_header" sheetId="32" r:id="rId40"/>
    <sheet name="TFTRound_header" sheetId="19" r:id="rId41"/>
    <sheet name="TFTPortal_header" sheetId="27" r:id="rId42"/>
    <sheet name="TFTEncounterDistribution_header" sheetId="28" r:id="rId43"/>
    <sheet name="TFTEncounter_header" sheetId="29" r:id="rId44"/>
    <sheet name="TFTUnitProperty_header" sheetId="16" r:id="rId45"/>
    <sheet name="TFTCharacterRole_header" sheetId="21" r:id="rId46"/>
    <sheet name="TFTItemList_header" sheetId="22" r:id="rId47"/>
    <sheet name="TFTItem_header" sheetId="23" r:id="rId48"/>
    <sheet name="TFTTraitList_header" sheetId="24" r:id="rId49"/>
    <sheet name="TFTTrait_header" sheetId="25" r:id="rId50"/>
    <sheet name="TFTPVENPC_header" sheetId="30" r:id="rId51"/>
    <sheet name="TFTScript_header" sheetId="26" r:id="rId52"/>
    <sheet name="TFTAnnouncement_header" sheetId="20" r:id="rId53"/>
    <sheet name="fontDesc_header" sheetId="45" r:id="rId54"/>
    <sheet name="fontType_header" sheetId="46" r:id="rId55"/>
    <sheet name="fontResolution_header" sheetId="47" r:id="rId56"/>
    <sheet name="fontStyle_header" sheetId="48" r:id="rId57"/>
    <sheet name="font_CSSStyle_header" sheetId="50" r:id="rId58"/>
    <sheet name="font_CSSIcon_header" sheetId="51" r:id="rId59"/>
  </sheets>
  <definedNames>
    <definedName name="_xlnm._FilterDatabase" localSheetId="8" hidden="1">champion_spell_header!$A$1:$G$343</definedName>
    <definedName name="_xlnm._FilterDatabase" localSheetId="3" hidden="1">spell_header!$A$1:$G$369</definedName>
    <definedName name="_xlnm._FilterDatabase" localSheetId="4" hidden="1">summoner_spell_header!$A$1:$G$369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72" l="1"/>
  <c r="D15" i="72"/>
  <c r="C16" i="72"/>
  <c r="D16" i="72"/>
  <c r="C17" i="72"/>
  <c r="D17" i="72"/>
  <c r="C18" i="72"/>
  <c r="D18" i="72"/>
  <c r="D20" i="72"/>
  <c r="D19" i="72"/>
  <c r="D14" i="72"/>
  <c r="D13" i="72"/>
  <c r="D12" i="72"/>
  <c r="D11" i="72"/>
  <c r="D10" i="72"/>
  <c r="D9" i="72"/>
  <c r="D8" i="72"/>
  <c r="D7" i="72"/>
  <c r="D6" i="72"/>
  <c r="D5" i="72"/>
  <c r="D4" i="72"/>
  <c r="F3" i="72"/>
  <c r="E3" i="72"/>
  <c r="D3" i="72"/>
  <c r="C3" i="72"/>
  <c r="C4" i="72"/>
  <c r="C5" i="72"/>
  <c r="C6" i="72"/>
  <c r="C7" i="72"/>
  <c r="C8" i="72"/>
  <c r="C9" i="72"/>
  <c r="C10" i="72"/>
  <c r="C11" i="72"/>
  <c r="C12" i="72"/>
  <c r="C13" i="72"/>
  <c r="C14" i="72"/>
  <c r="C19" i="72"/>
  <c r="C20" i="72"/>
  <c r="F73" i="63"/>
  <c r="E73" i="63"/>
  <c r="D73" i="63"/>
  <c r="C73" i="63"/>
  <c r="F72" i="63"/>
  <c r="E72" i="63"/>
  <c r="D72" i="63"/>
  <c r="C72" i="63"/>
  <c r="F71" i="63"/>
  <c r="E71" i="63"/>
  <c r="D71" i="63"/>
  <c r="C71" i="63"/>
  <c r="F70" i="63"/>
  <c r="E70" i="63"/>
  <c r="D70" i="63"/>
  <c r="C70" i="63"/>
  <c r="F69" i="63"/>
  <c r="E69" i="63"/>
  <c r="D69" i="63"/>
  <c r="C69" i="63"/>
  <c r="F68" i="63"/>
  <c r="E68" i="63"/>
  <c r="D68" i="63"/>
  <c r="C68" i="63"/>
  <c r="F67" i="63"/>
  <c r="E67" i="63"/>
  <c r="D67" i="63"/>
  <c r="C67" i="63"/>
  <c r="F66" i="63"/>
  <c r="E66" i="63"/>
  <c r="D66" i="63"/>
  <c r="C66" i="63"/>
  <c r="F65" i="63"/>
  <c r="E65" i="63"/>
  <c r="D65" i="63"/>
  <c r="C65" i="63"/>
  <c r="F64" i="63"/>
  <c r="E64" i="63"/>
  <c r="D64" i="63"/>
  <c r="C64" i="63"/>
  <c r="F63" i="63"/>
  <c r="E63" i="63"/>
  <c r="D63" i="63"/>
  <c r="C63" i="63"/>
  <c r="F62" i="63"/>
  <c r="E62" i="63"/>
  <c r="D62" i="63"/>
  <c r="C62" i="63"/>
  <c r="F61" i="63"/>
  <c r="E61" i="63"/>
  <c r="D61" i="63"/>
  <c r="C61" i="63"/>
  <c r="F60" i="63"/>
  <c r="E60" i="63"/>
  <c r="D60" i="63"/>
  <c r="C60" i="63"/>
  <c r="F59" i="63"/>
  <c r="E59" i="63"/>
  <c r="D59" i="63"/>
  <c r="C59" i="63"/>
  <c r="F58" i="63"/>
  <c r="E58" i="63"/>
  <c r="D58" i="63"/>
  <c r="C58" i="63"/>
  <c r="F57" i="63"/>
  <c r="E57" i="63"/>
  <c r="D57" i="63"/>
  <c r="C57" i="63"/>
  <c r="F56" i="63"/>
  <c r="E56" i="63"/>
  <c r="D56" i="63"/>
  <c r="C56" i="63"/>
  <c r="F55" i="63"/>
  <c r="E55" i="63"/>
  <c r="D55" i="63"/>
  <c r="C55" i="63"/>
  <c r="F54" i="63"/>
  <c r="E54" i="63"/>
  <c r="D54" i="63"/>
  <c r="C54" i="63"/>
  <c r="F53" i="63"/>
  <c r="E53" i="63"/>
  <c r="D53" i="63"/>
  <c r="C53" i="63"/>
  <c r="F52" i="63"/>
  <c r="E52" i="63"/>
  <c r="D52" i="63"/>
  <c r="C52" i="63"/>
  <c r="F51" i="63"/>
  <c r="E51" i="63"/>
  <c r="D51" i="63"/>
  <c r="C51" i="63"/>
  <c r="F50" i="63"/>
  <c r="E50" i="63"/>
  <c r="D50" i="63"/>
  <c r="C50" i="63"/>
  <c r="F49" i="63"/>
  <c r="E49" i="63"/>
  <c r="D49" i="63"/>
  <c r="C49" i="63"/>
  <c r="F48" i="63"/>
  <c r="E48" i="63"/>
  <c r="D48" i="63"/>
  <c r="C48" i="63"/>
  <c r="F47" i="63"/>
  <c r="E47" i="63"/>
  <c r="D47" i="63"/>
  <c r="C47" i="63"/>
  <c r="F46" i="63"/>
  <c r="E46" i="63"/>
  <c r="D46" i="63"/>
  <c r="C46" i="63"/>
  <c r="F45" i="63"/>
  <c r="E45" i="63"/>
  <c r="D45" i="63"/>
  <c r="C45" i="63"/>
  <c r="F44" i="63"/>
  <c r="E44" i="63"/>
  <c r="D44" i="63"/>
  <c r="C44" i="63"/>
  <c r="F43" i="63"/>
  <c r="E43" i="63"/>
  <c r="D43" i="63"/>
  <c r="C43" i="63"/>
  <c r="F42" i="63"/>
  <c r="E42" i="63"/>
  <c r="D42" i="63"/>
  <c r="C42" i="63"/>
  <c r="F41" i="63"/>
  <c r="E41" i="63"/>
  <c r="D41" i="63"/>
  <c r="C41" i="63"/>
  <c r="F40" i="63"/>
  <c r="E40" i="63"/>
  <c r="D40" i="63"/>
  <c r="C40" i="63"/>
  <c r="F39" i="63"/>
  <c r="E39" i="63"/>
  <c r="D39" i="63"/>
  <c r="C39" i="63"/>
  <c r="F38" i="63"/>
  <c r="E38" i="63"/>
  <c r="D38" i="63"/>
  <c r="C38" i="63"/>
  <c r="F37" i="63"/>
  <c r="E37" i="63"/>
  <c r="D37" i="63"/>
  <c r="C37" i="63"/>
  <c r="F36" i="63"/>
  <c r="E36" i="63"/>
  <c r="D36" i="63"/>
  <c r="C36" i="63"/>
  <c r="F35" i="63"/>
  <c r="E35" i="63"/>
  <c r="D35" i="63"/>
  <c r="C35" i="63"/>
  <c r="F34" i="63"/>
  <c r="E34" i="63"/>
  <c r="D34" i="63"/>
  <c r="C34" i="63"/>
  <c r="F33" i="63"/>
  <c r="E33" i="63"/>
  <c r="D33" i="63"/>
  <c r="C33" i="63"/>
  <c r="F32" i="63"/>
  <c r="E32" i="63"/>
  <c r="D32" i="63"/>
  <c r="C32" i="63"/>
  <c r="F31" i="63"/>
  <c r="E31" i="63"/>
  <c r="D31" i="63"/>
  <c r="C31" i="63"/>
  <c r="F30" i="63"/>
  <c r="E30" i="63"/>
  <c r="D30" i="63"/>
  <c r="C30" i="63"/>
  <c r="F29" i="63"/>
  <c r="E29" i="63"/>
  <c r="D29" i="63"/>
  <c r="C29" i="63"/>
  <c r="F28" i="63"/>
  <c r="E28" i="63"/>
  <c r="D28" i="63"/>
  <c r="C28" i="63"/>
  <c r="F27" i="63"/>
  <c r="E27" i="63"/>
  <c r="D27" i="63"/>
  <c r="C27" i="63"/>
  <c r="F26" i="63"/>
  <c r="E26" i="63"/>
  <c r="D26" i="63"/>
  <c r="C26" i="63"/>
  <c r="F25" i="63"/>
  <c r="E25" i="63"/>
  <c r="D25" i="63"/>
  <c r="C25" i="63"/>
  <c r="F24" i="63"/>
  <c r="E24" i="63"/>
  <c r="D24" i="63"/>
  <c r="C24" i="63"/>
  <c r="F23" i="63"/>
  <c r="E23" i="63"/>
  <c r="D23" i="63"/>
  <c r="C23" i="63"/>
  <c r="F22" i="63"/>
  <c r="E22" i="63"/>
  <c r="D22" i="63"/>
  <c r="C22" i="63"/>
  <c r="F21" i="63"/>
  <c r="E21" i="63"/>
  <c r="D21" i="63"/>
  <c r="C21" i="63"/>
  <c r="F20" i="63"/>
  <c r="E20" i="63"/>
  <c r="D20" i="63"/>
  <c r="C20" i="63"/>
  <c r="F19" i="63"/>
  <c r="E19" i="63"/>
  <c r="D19" i="63"/>
  <c r="C19" i="63"/>
  <c r="F18" i="63"/>
  <c r="E18" i="63"/>
  <c r="D18" i="63"/>
  <c r="C18" i="63"/>
  <c r="F17" i="63"/>
  <c r="E17" i="63"/>
  <c r="D17" i="63"/>
  <c r="C17" i="63"/>
  <c r="F16" i="63"/>
  <c r="E16" i="63"/>
  <c r="D16" i="63"/>
  <c r="C16" i="63"/>
  <c r="F15" i="63"/>
  <c r="E15" i="63"/>
  <c r="D15" i="63"/>
  <c r="C15" i="63"/>
  <c r="F14" i="63"/>
  <c r="E14" i="63"/>
  <c r="D14" i="63"/>
  <c r="C14" i="63"/>
  <c r="F13" i="63"/>
  <c r="E13" i="63"/>
  <c r="D13" i="63"/>
  <c r="C13" i="63"/>
  <c r="F12" i="63"/>
  <c r="E12" i="63"/>
  <c r="D12" i="63"/>
  <c r="C12" i="63"/>
  <c r="F11" i="63"/>
  <c r="E11" i="63"/>
  <c r="D11" i="63"/>
  <c r="C11" i="63"/>
  <c r="F10" i="63"/>
  <c r="E10" i="63"/>
  <c r="D10" i="63"/>
  <c r="C10" i="63"/>
  <c r="F9" i="63"/>
  <c r="E9" i="63"/>
  <c r="D9" i="63"/>
  <c r="C9" i="63"/>
  <c r="F8" i="63"/>
  <c r="E8" i="63"/>
  <c r="D8" i="63"/>
  <c r="C8" i="63"/>
  <c r="F7" i="63"/>
  <c r="E7" i="63"/>
  <c r="D7" i="63"/>
  <c r="C7" i="63"/>
  <c r="F6" i="63"/>
  <c r="E6" i="63"/>
  <c r="D6" i="63"/>
  <c r="C6" i="63"/>
  <c r="F5" i="63"/>
  <c r="E5" i="63"/>
  <c r="D5" i="63"/>
  <c r="C5" i="63"/>
  <c r="F4" i="63"/>
  <c r="E4" i="63"/>
  <c r="D4" i="63"/>
  <c r="C4" i="63"/>
  <c r="F3" i="63"/>
  <c r="E3" i="63"/>
  <c r="D3" i="63"/>
  <c r="C3" i="63"/>
  <c r="F72" i="61"/>
  <c r="E72" i="61"/>
  <c r="D72" i="61"/>
  <c r="C72" i="61"/>
  <c r="F71" i="61"/>
  <c r="E71" i="61"/>
  <c r="D71" i="61"/>
  <c r="C71" i="61"/>
  <c r="F70" i="61"/>
  <c r="E70" i="61"/>
  <c r="D70" i="61"/>
  <c r="C70" i="61"/>
  <c r="F69" i="61"/>
  <c r="E69" i="61"/>
  <c r="D69" i="61"/>
  <c r="C69" i="61"/>
  <c r="F68" i="61"/>
  <c r="E68" i="61"/>
  <c r="D68" i="61"/>
  <c r="C68" i="61"/>
  <c r="F67" i="61"/>
  <c r="E67" i="61"/>
  <c r="D67" i="61"/>
  <c r="C67" i="61"/>
  <c r="F66" i="61"/>
  <c r="E66" i="61"/>
  <c r="D66" i="61"/>
  <c r="C66" i="61"/>
  <c r="F65" i="61"/>
  <c r="E65" i="61"/>
  <c r="D65" i="61"/>
  <c r="C65" i="61"/>
  <c r="F64" i="61"/>
  <c r="E64" i="61"/>
  <c r="D64" i="61"/>
  <c r="C64" i="61"/>
  <c r="F63" i="61"/>
  <c r="E63" i="61"/>
  <c r="D63" i="61"/>
  <c r="C63" i="61"/>
  <c r="F62" i="61"/>
  <c r="E62" i="61"/>
  <c r="D62" i="61"/>
  <c r="C62" i="61"/>
  <c r="F61" i="61"/>
  <c r="E61" i="61"/>
  <c r="D61" i="61"/>
  <c r="C61" i="61"/>
  <c r="F60" i="61"/>
  <c r="E60" i="61"/>
  <c r="D60" i="61"/>
  <c r="C60" i="61"/>
  <c r="F59" i="61"/>
  <c r="E59" i="61"/>
  <c r="D59" i="61"/>
  <c r="C59" i="61"/>
  <c r="F58" i="61"/>
  <c r="E58" i="61"/>
  <c r="D58" i="61"/>
  <c r="C58" i="61"/>
  <c r="F57" i="61"/>
  <c r="E57" i="61"/>
  <c r="D57" i="61"/>
  <c r="C57" i="61"/>
  <c r="F56" i="61"/>
  <c r="E56" i="61"/>
  <c r="D56" i="61"/>
  <c r="C56" i="61"/>
  <c r="F55" i="61"/>
  <c r="E55" i="61"/>
  <c r="D55" i="61"/>
  <c r="C55" i="61"/>
  <c r="F54" i="61"/>
  <c r="E54" i="61"/>
  <c r="D54" i="61"/>
  <c r="C54" i="61"/>
  <c r="F53" i="61"/>
  <c r="E53" i="61"/>
  <c r="D53" i="61"/>
  <c r="C53" i="61"/>
  <c r="F52" i="61"/>
  <c r="E52" i="61"/>
  <c r="D52" i="61"/>
  <c r="C52" i="61"/>
  <c r="F51" i="61"/>
  <c r="E51" i="61"/>
  <c r="D51" i="61"/>
  <c r="C51" i="61"/>
  <c r="F50" i="61"/>
  <c r="E50" i="61"/>
  <c r="D50" i="61"/>
  <c r="C50" i="61"/>
  <c r="F49" i="61"/>
  <c r="E49" i="61"/>
  <c r="D49" i="61"/>
  <c r="C49" i="61"/>
  <c r="F48" i="61"/>
  <c r="E48" i="61"/>
  <c r="D48" i="61"/>
  <c r="C48" i="61"/>
  <c r="F47" i="61"/>
  <c r="E47" i="61"/>
  <c r="D47" i="61"/>
  <c r="C47" i="61"/>
  <c r="F46" i="61"/>
  <c r="E46" i="61"/>
  <c r="D46" i="61"/>
  <c r="C46" i="61"/>
  <c r="F45" i="61"/>
  <c r="E45" i="61"/>
  <c r="D45" i="61"/>
  <c r="C45" i="61"/>
  <c r="F44" i="61"/>
  <c r="E44" i="61"/>
  <c r="D44" i="61"/>
  <c r="C44" i="61"/>
  <c r="F43" i="61"/>
  <c r="E43" i="61"/>
  <c r="D43" i="61"/>
  <c r="C43" i="61"/>
  <c r="F42" i="61"/>
  <c r="E42" i="61"/>
  <c r="D42" i="61"/>
  <c r="C42" i="61"/>
  <c r="F41" i="61"/>
  <c r="E41" i="61"/>
  <c r="D41" i="61"/>
  <c r="C41" i="61"/>
  <c r="F40" i="61"/>
  <c r="E40" i="61"/>
  <c r="D40" i="61"/>
  <c r="C40" i="61"/>
  <c r="F39" i="61"/>
  <c r="E39" i="61"/>
  <c r="D39" i="61"/>
  <c r="C39" i="61"/>
  <c r="F38" i="61"/>
  <c r="E38" i="61"/>
  <c r="D38" i="61"/>
  <c r="C38" i="61"/>
  <c r="F37" i="61"/>
  <c r="E37" i="61"/>
  <c r="D37" i="61"/>
  <c r="C37" i="61"/>
  <c r="F36" i="61"/>
  <c r="E36" i="61"/>
  <c r="D36" i="61"/>
  <c r="C36" i="61"/>
  <c r="F35" i="61"/>
  <c r="E35" i="61"/>
  <c r="D35" i="61"/>
  <c r="C35" i="61"/>
  <c r="F34" i="61"/>
  <c r="E34" i="61"/>
  <c r="D34" i="61"/>
  <c r="C34" i="61"/>
  <c r="F33" i="61"/>
  <c r="E33" i="61"/>
  <c r="D33" i="61"/>
  <c r="C33" i="61"/>
  <c r="F32" i="61"/>
  <c r="E32" i="61"/>
  <c r="D32" i="61"/>
  <c r="C32" i="61"/>
  <c r="F31" i="61"/>
  <c r="E31" i="61"/>
  <c r="D31" i="61"/>
  <c r="C31" i="61"/>
  <c r="F30" i="61"/>
  <c r="E30" i="61"/>
  <c r="D30" i="61"/>
  <c r="C30" i="61"/>
  <c r="F29" i="61"/>
  <c r="E29" i="61"/>
  <c r="D29" i="61"/>
  <c r="C29" i="61"/>
  <c r="F28" i="61"/>
  <c r="E28" i="61"/>
  <c r="D28" i="61"/>
  <c r="C28" i="61"/>
  <c r="F27" i="61"/>
  <c r="E27" i="61"/>
  <c r="D27" i="61"/>
  <c r="C27" i="61"/>
  <c r="F26" i="61"/>
  <c r="E26" i="61"/>
  <c r="D26" i="61"/>
  <c r="C26" i="61"/>
  <c r="F25" i="61"/>
  <c r="E25" i="61"/>
  <c r="D25" i="61"/>
  <c r="C25" i="61"/>
  <c r="F24" i="61"/>
  <c r="E24" i="61"/>
  <c r="D24" i="61"/>
  <c r="C24" i="61"/>
  <c r="F23" i="61"/>
  <c r="E23" i="61"/>
  <c r="D23" i="61"/>
  <c r="C23" i="61"/>
  <c r="F22" i="61"/>
  <c r="E22" i="61"/>
  <c r="D22" i="61"/>
  <c r="C22" i="61"/>
  <c r="F21" i="61"/>
  <c r="E21" i="61"/>
  <c r="D21" i="61"/>
  <c r="C21" i="61"/>
  <c r="F20" i="61"/>
  <c r="E20" i="61"/>
  <c r="D20" i="61"/>
  <c r="C20" i="61"/>
  <c r="F19" i="61"/>
  <c r="E19" i="61"/>
  <c r="D19" i="61"/>
  <c r="C19" i="61"/>
  <c r="F18" i="61"/>
  <c r="E18" i="61"/>
  <c r="D18" i="61"/>
  <c r="C18" i="61"/>
  <c r="F17" i="61"/>
  <c r="E17" i="61"/>
  <c r="D17" i="61"/>
  <c r="C17" i="61"/>
  <c r="F16" i="61"/>
  <c r="E16" i="61"/>
  <c r="D16" i="61"/>
  <c r="C16" i="61"/>
  <c r="F15" i="61"/>
  <c r="E15" i="61"/>
  <c r="D15" i="61"/>
  <c r="C15" i="61"/>
  <c r="F14" i="61"/>
  <c r="E14" i="61"/>
  <c r="D14" i="61"/>
  <c r="C14" i="61"/>
  <c r="F13" i="61"/>
  <c r="E13" i="61"/>
  <c r="D13" i="61"/>
  <c r="C13" i="61"/>
  <c r="F12" i="61"/>
  <c r="E12" i="61"/>
  <c r="D12" i="61"/>
  <c r="C12" i="61"/>
  <c r="F11" i="61"/>
  <c r="E11" i="61"/>
  <c r="D11" i="61"/>
  <c r="C11" i="61"/>
  <c r="F10" i="61"/>
  <c r="E10" i="61"/>
  <c r="D10" i="61"/>
  <c r="C10" i="61"/>
  <c r="F9" i="61"/>
  <c r="E9" i="61"/>
  <c r="D9" i="61"/>
  <c r="C9" i="61"/>
  <c r="F8" i="61"/>
  <c r="E8" i="61"/>
  <c r="D8" i="61"/>
  <c r="C8" i="61"/>
  <c r="F7" i="61"/>
  <c r="E7" i="61"/>
  <c r="D7" i="61"/>
  <c r="C7" i="61"/>
  <c r="F6" i="61"/>
  <c r="E6" i="61"/>
  <c r="D6" i="61"/>
  <c r="C6" i="61"/>
  <c r="F5" i="61"/>
  <c r="E5" i="61"/>
  <c r="D5" i="61"/>
  <c r="C5" i="61"/>
  <c r="F4" i="61"/>
  <c r="E4" i="61"/>
  <c r="D4" i="61"/>
  <c r="C4" i="61"/>
  <c r="F3" i="61"/>
  <c r="E3" i="61"/>
  <c r="D3" i="61"/>
  <c r="C3" i="61"/>
  <c r="F2" i="61"/>
  <c r="E2" i="61"/>
  <c r="D2" i="61"/>
  <c r="C2" i="61"/>
  <c r="C7" i="6"/>
  <c r="D7" i="6"/>
  <c r="E7" i="6"/>
  <c r="F7" i="6"/>
  <c r="C8" i="6"/>
  <c r="D8" i="6"/>
  <c r="E8" i="6"/>
  <c r="F8" i="6"/>
  <c r="C9" i="6"/>
  <c r="D9" i="6"/>
  <c r="E9" i="6"/>
  <c r="F9" i="6"/>
  <c r="C10" i="6"/>
  <c r="D10" i="6"/>
  <c r="E10" i="6"/>
  <c r="F10" i="6"/>
  <c r="C11" i="6"/>
  <c r="D11" i="6"/>
  <c r="E11" i="6"/>
  <c r="F11" i="6"/>
  <c r="C12" i="6"/>
  <c r="D12" i="6"/>
  <c r="E12" i="6"/>
  <c r="F12" i="6"/>
  <c r="C13" i="6"/>
  <c r="D13" i="6"/>
  <c r="E13" i="6"/>
  <c r="F13" i="6"/>
  <c r="C14" i="6"/>
  <c r="D14" i="6"/>
  <c r="E14" i="6"/>
  <c r="F14" i="6"/>
  <c r="C15" i="6"/>
  <c r="D15" i="6"/>
  <c r="E15" i="6"/>
  <c r="F15" i="6"/>
  <c r="C16" i="6"/>
  <c r="D16" i="6"/>
  <c r="E16" i="6"/>
  <c r="F16" i="6"/>
  <c r="C17" i="6"/>
  <c r="D17" i="6"/>
  <c r="E17" i="6"/>
  <c r="F17" i="6"/>
  <c r="C18" i="6"/>
  <c r="D18" i="6"/>
  <c r="E18" i="6"/>
  <c r="F18" i="6"/>
  <c r="C19" i="6"/>
  <c r="D19" i="6"/>
  <c r="E19" i="6"/>
  <c r="F19" i="6"/>
  <c r="C20" i="6"/>
  <c r="D20" i="6"/>
  <c r="E20" i="6"/>
  <c r="F20" i="6"/>
  <c r="C21" i="6"/>
  <c r="D21" i="6"/>
  <c r="E21" i="6"/>
  <c r="F21" i="6"/>
  <c r="C22" i="6"/>
  <c r="D22" i="6"/>
  <c r="E22" i="6"/>
  <c r="F22" i="6"/>
  <c r="C23" i="6"/>
  <c r="D23" i="6"/>
  <c r="E23" i="6"/>
  <c r="F23" i="6"/>
  <c r="C24" i="6"/>
  <c r="D24" i="6"/>
  <c r="E24" i="6"/>
  <c r="F24" i="6"/>
  <c r="C25" i="6"/>
  <c r="D25" i="6"/>
  <c r="E25" i="6"/>
  <c r="F25" i="6"/>
  <c r="C26" i="6"/>
  <c r="D26" i="6"/>
  <c r="E26" i="6"/>
  <c r="F26" i="6"/>
  <c r="C27" i="6"/>
  <c r="D27" i="6"/>
  <c r="E27" i="6"/>
  <c r="F27" i="6"/>
  <c r="C28" i="6"/>
  <c r="D28" i="6"/>
  <c r="E28" i="6"/>
  <c r="F28" i="6"/>
  <c r="C29" i="6"/>
  <c r="D29" i="6"/>
  <c r="E29" i="6"/>
  <c r="F29" i="6"/>
  <c r="C30" i="6"/>
  <c r="D30" i="6"/>
  <c r="E30" i="6"/>
  <c r="F30" i="6"/>
  <c r="C31" i="6"/>
  <c r="D31" i="6"/>
  <c r="E31" i="6"/>
  <c r="F31" i="6"/>
  <c r="C32" i="6"/>
  <c r="D32" i="6"/>
  <c r="E32" i="6"/>
  <c r="F32" i="6"/>
  <c r="C33" i="6"/>
  <c r="D33" i="6"/>
  <c r="E33" i="6"/>
  <c r="F33" i="6"/>
  <c r="C34" i="6"/>
  <c r="D34" i="6"/>
  <c r="E34" i="6"/>
  <c r="F34" i="6"/>
  <c r="C35" i="6"/>
  <c r="D35" i="6"/>
  <c r="E35" i="6"/>
  <c r="F35" i="6"/>
  <c r="C36" i="6"/>
  <c r="D36" i="6"/>
  <c r="E36" i="6"/>
  <c r="F36" i="6"/>
  <c r="C37" i="6"/>
  <c r="D37" i="6"/>
  <c r="E37" i="6"/>
  <c r="F37" i="6"/>
  <c r="C38" i="6"/>
  <c r="D38" i="6"/>
  <c r="E38" i="6"/>
  <c r="F38" i="6"/>
  <c r="C39" i="6"/>
  <c r="D39" i="6"/>
  <c r="E39" i="6"/>
  <c r="F39" i="6"/>
  <c r="C40" i="6"/>
  <c r="D40" i="6"/>
  <c r="E40" i="6"/>
  <c r="F40" i="6"/>
  <c r="C41" i="6"/>
  <c r="D41" i="6"/>
  <c r="E41" i="6"/>
  <c r="F41" i="6"/>
  <c r="C42" i="6"/>
  <c r="D42" i="6"/>
  <c r="E42" i="6"/>
  <c r="F42" i="6"/>
  <c r="C43" i="6"/>
  <c r="D43" i="6"/>
  <c r="E43" i="6"/>
  <c r="F43" i="6"/>
  <c r="C44" i="6"/>
  <c r="D44" i="6"/>
  <c r="E44" i="6"/>
  <c r="F44" i="6"/>
  <c r="C45" i="6"/>
  <c r="D45" i="6"/>
  <c r="E45" i="6"/>
  <c r="F45" i="6"/>
  <c r="C46" i="6"/>
  <c r="D46" i="6"/>
  <c r="E46" i="6"/>
  <c r="F46" i="6"/>
  <c r="C47" i="6"/>
  <c r="D47" i="6"/>
  <c r="E47" i="6"/>
  <c r="F47" i="6"/>
  <c r="C48" i="6"/>
  <c r="D48" i="6"/>
  <c r="E48" i="6"/>
  <c r="F48" i="6"/>
  <c r="C49" i="6"/>
  <c r="D49" i="6"/>
  <c r="E49" i="6"/>
  <c r="F49" i="6"/>
  <c r="C50" i="6"/>
  <c r="D50" i="6"/>
  <c r="E50" i="6"/>
  <c r="F50" i="6"/>
  <c r="C51" i="6"/>
  <c r="D51" i="6"/>
  <c r="E51" i="6"/>
  <c r="F51" i="6"/>
  <c r="C52" i="6"/>
  <c r="D52" i="6"/>
  <c r="E52" i="6"/>
  <c r="F52" i="6"/>
  <c r="C53" i="6"/>
  <c r="D53" i="6"/>
  <c r="E53" i="6"/>
  <c r="F53" i="6"/>
  <c r="C54" i="6"/>
  <c r="D54" i="6"/>
  <c r="E54" i="6"/>
  <c r="F54" i="6"/>
  <c r="C55" i="6"/>
  <c r="D55" i="6"/>
  <c r="E55" i="6"/>
  <c r="F55" i="6"/>
  <c r="C56" i="6"/>
  <c r="D56" i="6"/>
  <c r="E56" i="6"/>
  <c r="F56" i="6"/>
  <c r="C57" i="6"/>
  <c r="D57" i="6"/>
  <c r="E57" i="6"/>
  <c r="F57" i="6"/>
  <c r="C58" i="6"/>
  <c r="D58" i="6"/>
  <c r="E58" i="6"/>
  <c r="F58" i="6"/>
  <c r="C59" i="6"/>
  <c r="D59" i="6"/>
  <c r="E59" i="6"/>
  <c r="F59" i="6"/>
  <c r="C60" i="6"/>
  <c r="D60" i="6"/>
  <c r="E60" i="6"/>
  <c r="F60" i="6"/>
  <c r="C61" i="6"/>
  <c r="D61" i="6"/>
  <c r="E61" i="6"/>
  <c r="F61" i="6"/>
  <c r="C62" i="6"/>
  <c r="D62" i="6"/>
  <c r="E62" i="6"/>
  <c r="F62" i="6"/>
  <c r="C63" i="6"/>
  <c r="D63" i="6"/>
  <c r="E63" i="6"/>
  <c r="F63" i="6"/>
  <c r="C64" i="6"/>
  <c r="D64" i="6"/>
  <c r="E64" i="6"/>
  <c r="F64" i="6"/>
  <c r="C65" i="6"/>
  <c r="D65" i="6"/>
  <c r="E65" i="6"/>
  <c r="F65" i="6"/>
  <c r="C66" i="6"/>
  <c r="D66" i="6"/>
  <c r="E66" i="6"/>
  <c r="F66" i="6"/>
  <c r="C67" i="6"/>
  <c r="D67" i="6"/>
  <c r="E67" i="6"/>
  <c r="F67" i="6"/>
  <c r="C68" i="6"/>
  <c r="D68" i="6"/>
  <c r="E68" i="6"/>
  <c r="F68" i="6"/>
  <c r="C69" i="6"/>
  <c r="D69" i="6"/>
  <c r="E69" i="6"/>
  <c r="F69" i="6"/>
  <c r="C70" i="6"/>
  <c r="D70" i="6"/>
  <c r="E70" i="6"/>
  <c r="F70" i="6"/>
  <c r="C71" i="6"/>
  <c r="D71" i="6"/>
  <c r="E71" i="6"/>
  <c r="F71" i="6"/>
  <c r="C72" i="6"/>
  <c r="D72" i="6"/>
  <c r="E72" i="6"/>
  <c r="F72" i="6"/>
  <c r="C73" i="6"/>
  <c r="D73" i="6"/>
  <c r="E73" i="6"/>
  <c r="F73" i="6"/>
  <c r="C74" i="6"/>
  <c r="D74" i="6"/>
  <c r="E74" i="6"/>
  <c r="F74" i="6"/>
  <c r="C75" i="6"/>
  <c r="D75" i="6"/>
  <c r="E75" i="6"/>
  <c r="F75" i="6"/>
  <c r="C76" i="6"/>
  <c r="D76" i="6"/>
  <c r="E76" i="6"/>
  <c r="F76" i="6"/>
  <c r="C3" i="36"/>
  <c r="D3" i="36"/>
  <c r="E3" i="36"/>
  <c r="F3" i="36"/>
  <c r="C4" i="36"/>
  <c r="D4" i="36"/>
  <c r="E4" i="36"/>
  <c r="F4" i="36"/>
  <c r="C5" i="36"/>
  <c r="D5" i="36"/>
  <c r="E5" i="36"/>
  <c r="F5" i="36"/>
  <c r="C6" i="36"/>
  <c r="D6" i="36"/>
  <c r="E6" i="36"/>
  <c r="F6" i="36"/>
  <c r="C7" i="36"/>
  <c r="D7" i="36"/>
  <c r="E7" i="36"/>
  <c r="F7" i="36"/>
  <c r="C8" i="36"/>
  <c r="D8" i="36"/>
  <c r="E8" i="36"/>
  <c r="F8" i="36"/>
  <c r="C9" i="36"/>
  <c r="D9" i="36"/>
  <c r="E9" i="36"/>
  <c r="F9" i="36"/>
  <c r="C10" i="36"/>
  <c r="D10" i="36"/>
  <c r="E10" i="36"/>
  <c r="F10" i="36"/>
  <c r="C11" i="36"/>
  <c r="D11" i="36"/>
  <c r="E11" i="36"/>
  <c r="F11" i="36"/>
  <c r="C12" i="36"/>
  <c r="D12" i="36"/>
  <c r="E12" i="36"/>
  <c r="F12" i="36"/>
  <c r="C13" i="36"/>
  <c r="D13" i="36"/>
  <c r="E13" i="36"/>
  <c r="F13" i="36"/>
  <c r="C14" i="36"/>
  <c r="D14" i="36"/>
  <c r="E14" i="36"/>
  <c r="F14" i="36"/>
  <c r="C15" i="36"/>
  <c r="D15" i="36"/>
  <c r="E15" i="36"/>
  <c r="F15" i="36"/>
  <c r="C16" i="36"/>
  <c r="D16" i="36"/>
  <c r="E16" i="36"/>
  <c r="F16" i="36"/>
  <c r="C17" i="36"/>
  <c r="D17" i="36"/>
  <c r="E17" i="36"/>
  <c r="F17" i="36"/>
  <c r="C18" i="36"/>
  <c r="D18" i="36"/>
  <c r="E18" i="36"/>
  <c r="F18" i="36"/>
  <c r="C19" i="36"/>
  <c r="D19" i="36"/>
  <c r="E19" i="36"/>
  <c r="F19" i="36"/>
  <c r="C20" i="36"/>
  <c r="D20" i="36"/>
  <c r="E20" i="36"/>
  <c r="F20" i="36"/>
  <c r="C21" i="36"/>
  <c r="D21" i="36"/>
  <c r="E21" i="36"/>
  <c r="F21" i="36"/>
  <c r="C22" i="36"/>
  <c r="D22" i="36"/>
  <c r="E22" i="36"/>
  <c r="F22" i="36"/>
  <c r="C23" i="36"/>
  <c r="D23" i="36"/>
  <c r="E23" i="36"/>
  <c r="F23" i="36"/>
  <c r="C24" i="36"/>
  <c r="D24" i="36"/>
  <c r="E24" i="36"/>
  <c r="F24" i="36"/>
  <c r="C25" i="36"/>
  <c r="D25" i="36"/>
  <c r="E25" i="36"/>
  <c r="F25" i="36"/>
  <c r="C26" i="36"/>
  <c r="D26" i="36"/>
  <c r="E26" i="36"/>
  <c r="F26" i="36"/>
  <c r="C27" i="36"/>
  <c r="D27" i="36"/>
  <c r="E27" i="36"/>
  <c r="F27" i="36"/>
  <c r="C28" i="36"/>
  <c r="D28" i="36"/>
  <c r="E28" i="36"/>
  <c r="F28" i="36"/>
  <c r="C29" i="36"/>
  <c r="D29" i="36"/>
  <c r="E29" i="36"/>
  <c r="F29" i="36"/>
  <c r="C30" i="36"/>
  <c r="D30" i="36"/>
  <c r="E30" i="36"/>
  <c r="F30" i="36"/>
  <c r="C31" i="36"/>
  <c r="D31" i="36"/>
  <c r="E31" i="36"/>
  <c r="F31" i="36"/>
  <c r="C32" i="36"/>
  <c r="D32" i="36"/>
  <c r="E32" i="36"/>
  <c r="F32" i="36"/>
  <c r="C33" i="36"/>
  <c r="D33" i="36"/>
  <c r="E33" i="36"/>
  <c r="F33" i="36"/>
  <c r="C34" i="36"/>
  <c r="D34" i="36"/>
  <c r="E34" i="36"/>
  <c r="F34" i="36"/>
  <c r="C35" i="36"/>
  <c r="D35" i="36"/>
  <c r="E35" i="36"/>
  <c r="F35" i="36"/>
  <c r="C36" i="36"/>
  <c r="D36" i="36"/>
  <c r="E36" i="36"/>
  <c r="F36" i="36"/>
  <c r="C37" i="36"/>
  <c r="D37" i="36"/>
  <c r="E37" i="36"/>
  <c r="F37" i="36"/>
  <c r="C38" i="36"/>
  <c r="D38" i="36"/>
  <c r="E38" i="36"/>
  <c r="F38" i="36"/>
  <c r="C39" i="36"/>
  <c r="D39" i="36"/>
  <c r="E39" i="36"/>
  <c r="F39" i="36"/>
  <c r="C40" i="36"/>
  <c r="D40" i="36"/>
  <c r="E40" i="36"/>
  <c r="F40" i="36"/>
  <c r="C41" i="36"/>
  <c r="D41" i="36"/>
  <c r="E41" i="36"/>
  <c r="F41" i="36"/>
  <c r="C42" i="36"/>
  <c r="D42" i="36"/>
  <c r="E42" i="36"/>
  <c r="F42" i="36"/>
  <c r="C43" i="36"/>
  <c r="D43" i="36"/>
  <c r="E43" i="36"/>
  <c r="F43" i="36"/>
  <c r="C44" i="36"/>
  <c r="D44" i="36"/>
  <c r="E44" i="36"/>
  <c r="F44" i="36"/>
  <c r="C45" i="36"/>
  <c r="D45" i="36"/>
  <c r="E45" i="36"/>
  <c r="F45" i="36"/>
  <c r="C46" i="36"/>
  <c r="D46" i="36"/>
  <c r="E46" i="36"/>
  <c r="F46" i="36"/>
  <c r="C47" i="36"/>
  <c r="D47" i="36"/>
  <c r="E47" i="36"/>
  <c r="F47" i="36"/>
  <c r="C48" i="36"/>
  <c r="D48" i="36"/>
  <c r="E48" i="36"/>
  <c r="F48" i="36"/>
  <c r="C49" i="36"/>
  <c r="D49" i="36"/>
  <c r="E49" i="36"/>
  <c r="F49" i="36"/>
  <c r="C50" i="36"/>
  <c r="D50" i="36"/>
  <c r="E50" i="36"/>
  <c r="F50" i="36"/>
  <c r="C51" i="36"/>
  <c r="D51" i="36"/>
  <c r="E51" i="36"/>
  <c r="F51" i="36"/>
  <c r="C52" i="36"/>
  <c r="D52" i="36"/>
  <c r="E52" i="36"/>
  <c r="F52" i="36"/>
  <c r="C53" i="36"/>
  <c r="D53" i="36"/>
  <c r="E53" i="36"/>
  <c r="F53" i="36"/>
  <c r="C54" i="36"/>
  <c r="D54" i="36"/>
  <c r="E54" i="36"/>
  <c r="F54" i="36"/>
  <c r="C55" i="36"/>
  <c r="D55" i="36"/>
  <c r="E55" i="36"/>
  <c r="F55" i="36"/>
  <c r="C56" i="36"/>
  <c r="D56" i="36"/>
  <c r="E56" i="36"/>
  <c r="F56" i="36"/>
  <c r="C57" i="36"/>
  <c r="D57" i="36"/>
  <c r="E57" i="36"/>
  <c r="F57" i="36"/>
  <c r="C58" i="36"/>
  <c r="D58" i="36"/>
  <c r="E58" i="36"/>
  <c r="F58" i="36"/>
  <c r="C59" i="36"/>
  <c r="D59" i="36"/>
  <c r="E59" i="36"/>
  <c r="F59" i="36"/>
  <c r="C60" i="36"/>
  <c r="D60" i="36"/>
  <c r="E60" i="36"/>
  <c r="F60" i="36"/>
  <c r="C61" i="36"/>
  <c r="D61" i="36"/>
  <c r="E61" i="36"/>
  <c r="F61" i="36"/>
  <c r="C62" i="36"/>
  <c r="D62" i="36"/>
  <c r="E62" i="36"/>
  <c r="F62" i="36"/>
  <c r="C63" i="36"/>
  <c r="D63" i="36"/>
  <c r="E63" i="36"/>
  <c r="F63" i="36"/>
  <c r="C64" i="36"/>
  <c r="D64" i="36"/>
  <c r="E64" i="36"/>
  <c r="F64" i="36"/>
  <c r="C65" i="36"/>
  <c r="D65" i="36"/>
  <c r="E65" i="36"/>
  <c r="F65" i="36"/>
  <c r="C66" i="36"/>
  <c r="D66" i="36"/>
  <c r="E66" i="36"/>
  <c r="F66" i="36"/>
  <c r="C67" i="36"/>
  <c r="D67" i="36"/>
  <c r="E67" i="36"/>
  <c r="F67" i="36"/>
  <c r="C68" i="36"/>
  <c r="D68" i="36"/>
  <c r="E68" i="36"/>
  <c r="F68" i="36"/>
  <c r="C69" i="36"/>
  <c r="D69" i="36"/>
  <c r="E69" i="36"/>
  <c r="F69" i="36"/>
  <c r="C70" i="36"/>
  <c r="D70" i="36"/>
  <c r="E70" i="36"/>
  <c r="F70" i="36"/>
  <c r="C71" i="36"/>
  <c r="D71" i="36"/>
  <c r="E71" i="36"/>
  <c r="F71" i="36"/>
  <c r="C72" i="36"/>
  <c r="D72" i="36"/>
  <c r="E72" i="36"/>
  <c r="F72" i="36"/>
  <c r="F6" i="6"/>
  <c r="E6" i="6"/>
  <c r="D6" i="6"/>
  <c r="C6" i="6"/>
  <c r="F2" i="36"/>
  <c r="E2" i="36"/>
  <c r="D2" i="36"/>
  <c r="C2" i="36"/>
  <c r="C3" i="57"/>
  <c r="D3" i="57"/>
  <c r="E3" i="57"/>
  <c r="F3" i="57"/>
  <c r="C4" i="57"/>
  <c r="D4" i="57"/>
  <c r="E4" i="57"/>
  <c r="F4" i="57"/>
  <c r="C5" i="57"/>
  <c r="D5" i="57"/>
  <c r="E5" i="57"/>
  <c r="F5" i="57"/>
  <c r="C6" i="57"/>
  <c r="D6" i="57"/>
  <c r="E6" i="57"/>
  <c r="F6" i="57"/>
  <c r="C7" i="57"/>
  <c r="D7" i="57"/>
  <c r="E7" i="57"/>
  <c r="F7" i="57"/>
  <c r="C8" i="57"/>
  <c r="D8" i="57"/>
  <c r="E8" i="57"/>
  <c r="F8" i="57"/>
  <c r="C9" i="57"/>
  <c r="D9" i="57"/>
  <c r="E9" i="57"/>
  <c r="F9" i="57"/>
  <c r="C10" i="57"/>
  <c r="D10" i="57"/>
  <c r="E10" i="57"/>
  <c r="F10" i="57"/>
  <c r="C11" i="57"/>
  <c r="D11" i="57"/>
  <c r="E11" i="57"/>
  <c r="F11" i="57"/>
  <c r="C12" i="57"/>
  <c r="D12" i="57"/>
  <c r="E12" i="57"/>
  <c r="F12" i="57"/>
  <c r="C13" i="57"/>
  <c r="D13" i="57"/>
  <c r="E13" i="57"/>
  <c r="F13" i="57"/>
  <c r="C14" i="57"/>
  <c r="D14" i="57"/>
  <c r="E14" i="57"/>
  <c r="F14" i="57"/>
  <c r="C15" i="57"/>
  <c r="D15" i="57"/>
  <c r="E15" i="57"/>
  <c r="F15" i="57"/>
  <c r="C16" i="57"/>
  <c r="D16" i="57"/>
  <c r="E16" i="57"/>
  <c r="F16" i="57"/>
  <c r="C17" i="57"/>
  <c r="D17" i="57"/>
  <c r="E17" i="57"/>
  <c r="F17" i="57"/>
  <c r="C18" i="57"/>
  <c r="D18" i="57"/>
  <c r="E18" i="57"/>
  <c r="F18" i="57"/>
  <c r="C19" i="57"/>
  <c r="D19" i="57"/>
  <c r="E19" i="57"/>
  <c r="F19" i="57"/>
  <c r="C20" i="57"/>
  <c r="D20" i="57"/>
  <c r="E20" i="57"/>
  <c r="F20" i="57"/>
  <c r="C21" i="57"/>
  <c r="D21" i="57"/>
  <c r="E21" i="57"/>
  <c r="F21" i="57"/>
  <c r="C22" i="57"/>
  <c r="D22" i="57"/>
  <c r="E22" i="57"/>
  <c r="F22" i="57"/>
  <c r="C23" i="57"/>
  <c r="D23" i="57"/>
  <c r="E23" i="57"/>
  <c r="F23" i="57"/>
  <c r="C24" i="57"/>
  <c r="D24" i="57"/>
  <c r="E24" i="57"/>
  <c r="F24" i="57"/>
  <c r="C25" i="57"/>
  <c r="D25" i="57"/>
  <c r="E25" i="57"/>
  <c r="F25" i="57"/>
  <c r="C26" i="57"/>
  <c r="D26" i="57"/>
  <c r="E26" i="57"/>
  <c r="F26" i="57"/>
  <c r="C27" i="57"/>
  <c r="D27" i="57"/>
  <c r="E27" i="57"/>
  <c r="F27" i="57"/>
  <c r="C28" i="57"/>
  <c r="D28" i="57"/>
  <c r="E28" i="57"/>
  <c r="F28" i="57"/>
  <c r="C29" i="57"/>
  <c r="D29" i="57"/>
  <c r="E29" i="57"/>
  <c r="F29" i="57"/>
  <c r="C30" i="57"/>
  <c r="D30" i="57"/>
  <c r="E30" i="57"/>
  <c r="F30" i="57"/>
  <c r="C31" i="57"/>
  <c r="D31" i="57"/>
  <c r="E31" i="57"/>
  <c r="F31" i="57"/>
  <c r="C32" i="57"/>
  <c r="D32" i="57"/>
  <c r="E32" i="57"/>
  <c r="F32" i="57"/>
  <c r="C33" i="57"/>
  <c r="D33" i="57"/>
  <c r="E33" i="57"/>
  <c r="F33" i="57"/>
  <c r="C34" i="57"/>
  <c r="D34" i="57"/>
  <c r="E34" i="57"/>
  <c r="F34" i="57"/>
  <c r="C35" i="57"/>
  <c r="D35" i="57"/>
  <c r="E35" i="57"/>
  <c r="F35" i="57"/>
  <c r="C36" i="57"/>
  <c r="D36" i="57"/>
  <c r="E36" i="57"/>
  <c r="F36" i="57"/>
  <c r="C37" i="57"/>
  <c r="D37" i="57"/>
  <c r="E37" i="57"/>
  <c r="F37" i="57"/>
  <c r="C38" i="57"/>
  <c r="D38" i="57"/>
  <c r="E38" i="57"/>
  <c r="F38" i="57"/>
  <c r="C39" i="57"/>
  <c r="D39" i="57"/>
  <c r="E39" i="57"/>
  <c r="F39" i="57"/>
  <c r="C40" i="57"/>
  <c r="D40" i="57"/>
  <c r="E40" i="57"/>
  <c r="F40" i="57"/>
  <c r="C41" i="57"/>
  <c r="D41" i="57"/>
  <c r="E41" i="57"/>
  <c r="F41" i="57"/>
  <c r="C42" i="57"/>
  <c r="D42" i="57"/>
  <c r="E42" i="57"/>
  <c r="F42" i="57"/>
  <c r="C43" i="57"/>
  <c r="D43" i="57"/>
  <c r="E43" i="57"/>
  <c r="F43" i="57"/>
  <c r="C44" i="57"/>
  <c r="D44" i="57"/>
  <c r="E44" i="57"/>
  <c r="F44" i="57"/>
  <c r="C45" i="57"/>
  <c r="D45" i="57"/>
  <c r="E45" i="57"/>
  <c r="F45" i="57"/>
  <c r="C46" i="57"/>
  <c r="D46" i="57"/>
  <c r="E46" i="57"/>
  <c r="F46" i="57"/>
  <c r="C47" i="57"/>
  <c r="D47" i="57"/>
  <c r="E47" i="57"/>
  <c r="F47" i="57"/>
  <c r="C48" i="57"/>
  <c r="D48" i="57"/>
  <c r="E48" i="57"/>
  <c r="F48" i="57"/>
  <c r="C49" i="57"/>
  <c r="D49" i="57"/>
  <c r="E49" i="57"/>
  <c r="F49" i="57"/>
  <c r="C50" i="57"/>
  <c r="D50" i="57"/>
  <c r="E50" i="57"/>
  <c r="F50" i="57"/>
  <c r="C51" i="57"/>
  <c r="D51" i="57"/>
  <c r="E51" i="57"/>
  <c r="F51" i="57"/>
  <c r="C52" i="57"/>
  <c r="D52" i="57"/>
  <c r="E52" i="57"/>
  <c r="F52" i="57"/>
  <c r="C53" i="57"/>
  <c r="D53" i="57"/>
  <c r="E53" i="57"/>
  <c r="F53" i="57"/>
  <c r="C54" i="57"/>
  <c r="D54" i="57"/>
  <c r="E54" i="57"/>
  <c r="F54" i="57"/>
  <c r="C55" i="57"/>
  <c r="D55" i="57"/>
  <c r="E55" i="57"/>
  <c r="F55" i="57"/>
  <c r="C56" i="57"/>
  <c r="D56" i="57"/>
  <c r="E56" i="57"/>
  <c r="F56" i="57"/>
  <c r="C57" i="57"/>
  <c r="D57" i="57"/>
  <c r="E57" i="57"/>
  <c r="F57" i="57"/>
  <c r="C58" i="57"/>
  <c r="D58" i="57"/>
  <c r="E58" i="57"/>
  <c r="F58" i="57"/>
  <c r="C59" i="57"/>
  <c r="D59" i="57"/>
  <c r="E59" i="57"/>
  <c r="F59" i="57"/>
  <c r="C60" i="57"/>
  <c r="D60" i="57"/>
  <c r="E60" i="57"/>
  <c r="F60" i="57"/>
  <c r="C61" i="57"/>
  <c r="D61" i="57"/>
  <c r="E61" i="57"/>
  <c r="F61" i="57"/>
  <c r="C62" i="57"/>
  <c r="D62" i="57"/>
  <c r="E62" i="57"/>
  <c r="F62" i="57"/>
  <c r="C63" i="57"/>
  <c r="D63" i="57"/>
  <c r="E63" i="57"/>
  <c r="F63" i="57"/>
  <c r="C64" i="57"/>
  <c r="D64" i="57"/>
  <c r="E64" i="57"/>
  <c r="F64" i="57"/>
  <c r="C65" i="57"/>
  <c r="D65" i="57"/>
  <c r="E65" i="57"/>
  <c r="F65" i="57"/>
  <c r="C66" i="57"/>
  <c r="D66" i="57"/>
  <c r="E66" i="57"/>
  <c r="F66" i="57"/>
  <c r="C67" i="57"/>
  <c r="D67" i="57"/>
  <c r="E67" i="57"/>
  <c r="F67" i="57"/>
  <c r="C68" i="57"/>
  <c r="D68" i="57"/>
  <c r="E68" i="57"/>
  <c r="F68" i="57"/>
  <c r="C69" i="57"/>
  <c r="D69" i="57"/>
  <c r="E69" i="57"/>
  <c r="F69" i="57"/>
  <c r="C70" i="57"/>
  <c r="D70" i="57"/>
  <c r="E70" i="57"/>
  <c r="F70" i="57"/>
  <c r="C71" i="57"/>
  <c r="D71" i="57"/>
  <c r="E71" i="57"/>
  <c r="F71" i="57"/>
  <c r="C72" i="57"/>
  <c r="D72" i="57"/>
  <c r="E72" i="57"/>
  <c r="F72" i="57"/>
  <c r="C73" i="57"/>
  <c r="D73" i="57"/>
  <c r="E73" i="57"/>
  <c r="F73" i="57"/>
  <c r="C74" i="57"/>
  <c r="D74" i="57"/>
  <c r="E74" i="57"/>
  <c r="F74" i="57"/>
  <c r="C75" i="57"/>
  <c r="D75" i="57"/>
  <c r="E75" i="57"/>
  <c r="F75" i="57"/>
  <c r="C76" i="57"/>
  <c r="D76" i="57"/>
  <c r="E76" i="57"/>
  <c r="F76" i="57"/>
  <c r="C77" i="57"/>
  <c r="D77" i="57"/>
  <c r="E77" i="57"/>
  <c r="F77" i="57"/>
  <c r="C78" i="57"/>
  <c r="D78" i="57"/>
  <c r="E78" i="57"/>
  <c r="F78" i="57"/>
  <c r="C79" i="57"/>
  <c r="D79" i="57"/>
  <c r="E79" i="57"/>
  <c r="F79" i="57"/>
  <c r="C80" i="57"/>
  <c r="D80" i="57"/>
  <c r="E80" i="57"/>
  <c r="F80" i="57"/>
  <c r="C81" i="57"/>
  <c r="D81" i="57"/>
  <c r="E81" i="57"/>
  <c r="F81" i="57"/>
  <c r="C82" i="57"/>
  <c r="D82" i="57"/>
  <c r="E82" i="57"/>
  <c r="F82" i="57"/>
  <c r="C83" i="57"/>
  <c r="D83" i="57"/>
  <c r="E83" i="57"/>
  <c r="F83" i="57"/>
  <c r="C84" i="57"/>
  <c r="D84" i="57"/>
  <c r="E84" i="57"/>
  <c r="F84" i="57"/>
  <c r="C85" i="57"/>
  <c r="D85" i="57"/>
  <c r="E85" i="57"/>
  <c r="F85" i="57"/>
  <c r="C86" i="57"/>
  <c r="D86" i="57"/>
  <c r="E86" i="57"/>
  <c r="F86" i="57"/>
  <c r="C87" i="57"/>
  <c r="D87" i="57"/>
  <c r="E87" i="57"/>
  <c r="F87" i="57"/>
  <c r="C88" i="57"/>
  <c r="D88" i="57"/>
  <c r="E88" i="57"/>
  <c r="F88" i="57"/>
  <c r="C89" i="57"/>
  <c r="D89" i="57"/>
  <c r="E89" i="57"/>
  <c r="F89" i="57"/>
  <c r="C90" i="57"/>
  <c r="D90" i="57"/>
  <c r="E90" i="57"/>
  <c r="F90" i="57"/>
  <c r="C91" i="57"/>
  <c r="D91" i="57"/>
  <c r="E91" i="57"/>
  <c r="F91" i="57"/>
  <c r="C92" i="57"/>
  <c r="D92" i="57"/>
  <c r="E92" i="57"/>
  <c r="F92" i="57"/>
  <c r="C93" i="57"/>
  <c r="D93" i="57"/>
  <c r="E93" i="57"/>
  <c r="F93" i="57"/>
  <c r="C94" i="57"/>
  <c r="D94" i="57"/>
  <c r="E94" i="57"/>
  <c r="F94" i="57"/>
  <c r="C95" i="57"/>
  <c r="D95" i="57"/>
  <c r="E95" i="57"/>
  <c r="F95" i="57"/>
  <c r="C96" i="57"/>
  <c r="D96" i="57"/>
  <c r="E96" i="57"/>
  <c r="F96" i="57"/>
  <c r="C97" i="57"/>
  <c r="D97" i="57"/>
  <c r="E97" i="57"/>
  <c r="F97" i="57"/>
  <c r="C98" i="57"/>
  <c r="D98" i="57"/>
  <c r="E98" i="57"/>
  <c r="F98" i="57"/>
  <c r="C99" i="57"/>
  <c r="D99" i="57"/>
  <c r="E99" i="57"/>
  <c r="F99" i="57"/>
  <c r="C100" i="57"/>
  <c r="D100" i="57"/>
  <c r="E100" i="57"/>
  <c r="F100" i="57"/>
  <c r="C101" i="57"/>
  <c r="D101" i="57"/>
  <c r="E101" i="57"/>
  <c r="F101" i="57"/>
  <c r="C102" i="57"/>
  <c r="D102" i="57"/>
  <c r="E102" i="57"/>
  <c r="F102" i="57"/>
  <c r="C103" i="57"/>
  <c r="D103" i="57"/>
  <c r="E103" i="57"/>
  <c r="F103" i="57"/>
  <c r="C104" i="57"/>
  <c r="D104" i="57"/>
  <c r="E104" i="57"/>
  <c r="F104" i="57"/>
  <c r="C105" i="57"/>
  <c r="D105" i="57"/>
  <c r="E105" i="57"/>
  <c r="F105" i="57"/>
  <c r="C106" i="57"/>
  <c r="D106" i="57"/>
  <c r="E106" i="57"/>
  <c r="F106" i="57"/>
  <c r="C107" i="57"/>
  <c r="D107" i="57"/>
  <c r="E107" i="57"/>
  <c r="F107" i="57"/>
  <c r="C108" i="57"/>
  <c r="D108" i="57"/>
  <c r="E108" i="57"/>
  <c r="F108" i="57"/>
  <c r="C109" i="57"/>
  <c r="D109" i="57"/>
  <c r="E109" i="57"/>
  <c r="F109" i="57"/>
  <c r="C110" i="57"/>
  <c r="D110" i="57"/>
  <c r="E110" i="57"/>
  <c r="F110" i="57"/>
  <c r="C111" i="57"/>
  <c r="D111" i="57"/>
  <c r="E111" i="57"/>
  <c r="F111" i="57"/>
  <c r="C112" i="57"/>
  <c r="D112" i="57"/>
  <c r="E112" i="57"/>
  <c r="F112" i="57"/>
  <c r="C113" i="57"/>
  <c r="D113" i="57"/>
  <c r="E113" i="57"/>
  <c r="F113" i="57"/>
  <c r="C114" i="57"/>
  <c r="D114" i="57"/>
  <c r="E114" i="57"/>
  <c r="F114" i="57"/>
  <c r="C115" i="57"/>
  <c r="D115" i="57"/>
  <c r="E115" i="57"/>
  <c r="F115" i="57"/>
  <c r="C116" i="57"/>
  <c r="D116" i="57"/>
  <c r="E116" i="57"/>
  <c r="F116" i="57"/>
  <c r="C117" i="57"/>
  <c r="D117" i="57"/>
  <c r="E117" i="57"/>
  <c r="F117" i="57"/>
  <c r="C118" i="57"/>
  <c r="D118" i="57"/>
  <c r="E118" i="57"/>
  <c r="F118" i="57"/>
  <c r="C119" i="57"/>
  <c r="D119" i="57"/>
  <c r="E119" i="57"/>
  <c r="F119" i="57"/>
  <c r="C120" i="57"/>
  <c r="D120" i="57"/>
  <c r="E120" i="57"/>
  <c r="F120" i="57"/>
  <c r="C121" i="57"/>
  <c r="D121" i="57"/>
  <c r="E121" i="57"/>
  <c r="F121" i="57"/>
  <c r="C122" i="57"/>
  <c r="D122" i="57"/>
  <c r="E122" i="57"/>
  <c r="F122" i="57"/>
  <c r="C123" i="57"/>
  <c r="D123" i="57"/>
  <c r="E123" i="57"/>
  <c r="F123" i="57"/>
  <c r="C124" i="57"/>
  <c r="D124" i="57"/>
  <c r="E124" i="57"/>
  <c r="F124" i="57"/>
  <c r="C125" i="57"/>
  <c r="D125" i="57"/>
  <c r="E125" i="57"/>
  <c r="F125" i="57"/>
  <c r="C126" i="57"/>
  <c r="D126" i="57"/>
  <c r="E126" i="57"/>
  <c r="F126" i="57"/>
  <c r="C127" i="57"/>
  <c r="D127" i="57"/>
  <c r="E127" i="57"/>
  <c r="F127" i="57"/>
  <c r="C128" i="57"/>
  <c r="D128" i="57"/>
  <c r="E128" i="57"/>
  <c r="F128" i="57"/>
  <c r="C129" i="57"/>
  <c r="D129" i="57"/>
  <c r="E129" i="57"/>
  <c r="F129" i="57"/>
  <c r="C130" i="57"/>
  <c r="D130" i="57"/>
  <c r="E130" i="57"/>
  <c r="F130" i="57"/>
  <c r="C131" i="57"/>
  <c r="D131" i="57"/>
  <c r="E131" i="57"/>
  <c r="F131" i="57"/>
  <c r="C132" i="57"/>
  <c r="D132" i="57"/>
  <c r="E132" i="57"/>
  <c r="F132" i="57"/>
  <c r="C133" i="57"/>
  <c r="D133" i="57"/>
  <c r="E133" i="57"/>
  <c r="F133" i="57"/>
  <c r="C134" i="57"/>
  <c r="D134" i="57"/>
  <c r="E134" i="57"/>
  <c r="F134" i="57"/>
  <c r="C135" i="57"/>
  <c r="D135" i="57"/>
  <c r="E135" i="57"/>
  <c r="F135" i="57"/>
  <c r="C136" i="57"/>
  <c r="D136" i="57"/>
  <c r="E136" i="57"/>
  <c r="F136" i="57"/>
  <c r="C137" i="57"/>
  <c r="D137" i="57"/>
  <c r="E137" i="57"/>
  <c r="F137" i="57"/>
  <c r="C138" i="57"/>
  <c r="D138" i="57"/>
  <c r="E138" i="57"/>
  <c r="F138" i="57"/>
  <c r="C139" i="57"/>
  <c r="D139" i="57"/>
  <c r="E139" i="57"/>
  <c r="F139" i="57"/>
  <c r="C140" i="57"/>
  <c r="D140" i="57"/>
  <c r="E140" i="57"/>
  <c r="F140" i="57"/>
  <c r="C141" i="57"/>
  <c r="D141" i="57"/>
  <c r="E141" i="57"/>
  <c r="F141" i="57"/>
  <c r="C142" i="57"/>
  <c r="D142" i="57"/>
  <c r="E142" i="57"/>
  <c r="F142" i="57"/>
  <c r="C143" i="57"/>
  <c r="D143" i="57"/>
  <c r="E143" i="57"/>
  <c r="F143" i="57"/>
  <c r="C144" i="57"/>
  <c r="D144" i="57"/>
  <c r="E144" i="57"/>
  <c r="F144" i="57"/>
  <c r="C145" i="57"/>
  <c r="D145" i="57"/>
  <c r="E145" i="57"/>
  <c r="F145" i="57"/>
  <c r="C146" i="57"/>
  <c r="D146" i="57"/>
  <c r="E146" i="57"/>
  <c r="F146" i="57"/>
  <c r="C147" i="57"/>
  <c r="D147" i="57"/>
  <c r="E147" i="57"/>
  <c r="F147" i="57"/>
  <c r="C148" i="57"/>
  <c r="D148" i="57"/>
  <c r="E148" i="57"/>
  <c r="F148" i="57"/>
  <c r="C149" i="57"/>
  <c r="D149" i="57"/>
  <c r="E149" i="57"/>
  <c r="F149" i="57"/>
  <c r="C150" i="57"/>
  <c r="D150" i="57"/>
  <c r="E150" i="57"/>
  <c r="F150" i="57"/>
  <c r="C151" i="57"/>
  <c r="D151" i="57"/>
  <c r="E151" i="57"/>
  <c r="F151" i="57"/>
  <c r="C152" i="57"/>
  <c r="D152" i="57"/>
  <c r="E152" i="57"/>
  <c r="F152" i="57"/>
  <c r="C153" i="57"/>
  <c r="D153" i="57"/>
  <c r="E153" i="57"/>
  <c r="F153" i="57"/>
  <c r="C154" i="57"/>
  <c r="D154" i="57"/>
  <c r="E154" i="57"/>
  <c r="F154" i="57"/>
  <c r="C155" i="57"/>
  <c r="D155" i="57"/>
  <c r="E155" i="57"/>
  <c r="F155" i="57"/>
  <c r="C156" i="57"/>
  <c r="D156" i="57"/>
  <c r="E156" i="57"/>
  <c r="F156" i="57"/>
  <c r="C157" i="57"/>
  <c r="D157" i="57"/>
  <c r="E157" i="57"/>
  <c r="F157" i="57"/>
  <c r="C158" i="57"/>
  <c r="D158" i="57"/>
  <c r="E158" i="57"/>
  <c r="F158" i="57"/>
  <c r="C159" i="57"/>
  <c r="D159" i="57"/>
  <c r="E159" i="57"/>
  <c r="F159" i="57"/>
  <c r="C160" i="57"/>
  <c r="D160" i="57"/>
  <c r="E160" i="57"/>
  <c r="F160" i="57"/>
  <c r="C161" i="57"/>
  <c r="D161" i="57"/>
  <c r="E161" i="57"/>
  <c r="F161" i="57"/>
  <c r="C162" i="57"/>
  <c r="D162" i="57"/>
  <c r="E162" i="57"/>
  <c r="F162" i="57"/>
  <c r="C163" i="57"/>
  <c r="D163" i="57"/>
  <c r="E163" i="57"/>
  <c r="F163" i="57"/>
  <c r="C164" i="57"/>
  <c r="D164" i="57"/>
  <c r="E164" i="57"/>
  <c r="F164" i="57"/>
  <c r="C165" i="57"/>
  <c r="D165" i="57"/>
  <c r="E165" i="57"/>
  <c r="F165" i="57"/>
  <c r="C166" i="57"/>
  <c r="D166" i="57"/>
  <c r="E166" i="57"/>
  <c r="F166" i="57"/>
  <c r="C167" i="57"/>
  <c r="D167" i="57"/>
  <c r="E167" i="57"/>
  <c r="F167" i="57"/>
  <c r="C168" i="57"/>
  <c r="D168" i="57"/>
  <c r="E168" i="57"/>
  <c r="F168" i="57"/>
  <c r="C169" i="57"/>
  <c r="D169" i="57"/>
  <c r="E169" i="57"/>
  <c r="F169" i="57"/>
  <c r="C170" i="57"/>
  <c r="D170" i="57"/>
  <c r="E170" i="57"/>
  <c r="F170" i="57"/>
  <c r="C171" i="57"/>
  <c r="D171" i="57"/>
  <c r="E171" i="57"/>
  <c r="F171" i="57"/>
  <c r="C172" i="57"/>
  <c r="D172" i="57"/>
  <c r="E172" i="57"/>
  <c r="F172" i="57"/>
  <c r="C173" i="57"/>
  <c r="D173" i="57"/>
  <c r="E173" i="57"/>
  <c r="F173" i="57"/>
  <c r="C174" i="57"/>
  <c r="D174" i="57"/>
  <c r="E174" i="57"/>
  <c r="F174" i="57"/>
  <c r="C175" i="57"/>
  <c r="D175" i="57"/>
  <c r="E175" i="57"/>
  <c r="F175" i="57"/>
  <c r="C176" i="57"/>
  <c r="D176" i="57"/>
  <c r="E176" i="57"/>
  <c r="F176" i="57"/>
  <c r="C177" i="57"/>
  <c r="D177" i="57"/>
  <c r="E177" i="57"/>
  <c r="F177" i="57"/>
  <c r="C178" i="57"/>
  <c r="D178" i="57"/>
  <c r="E178" i="57"/>
  <c r="F178" i="57"/>
  <c r="C179" i="57"/>
  <c r="D179" i="57"/>
  <c r="E179" i="57"/>
  <c r="F179" i="57"/>
  <c r="C180" i="57"/>
  <c r="D180" i="57"/>
  <c r="E180" i="57"/>
  <c r="F180" i="57"/>
  <c r="C181" i="57"/>
  <c r="D181" i="57"/>
  <c r="E181" i="57"/>
  <c r="F181" i="57"/>
  <c r="C182" i="57"/>
  <c r="D182" i="57"/>
  <c r="E182" i="57"/>
  <c r="F182" i="57"/>
  <c r="C183" i="57"/>
  <c r="D183" i="57"/>
  <c r="E183" i="57"/>
  <c r="F183" i="57"/>
  <c r="C184" i="57"/>
  <c r="D184" i="57"/>
  <c r="E184" i="57"/>
  <c r="F184" i="57"/>
  <c r="C185" i="57"/>
  <c r="D185" i="57"/>
  <c r="E185" i="57"/>
  <c r="F185" i="57"/>
  <c r="C186" i="57"/>
  <c r="D186" i="57"/>
  <c r="E186" i="57"/>
  <c r="F186" i="57"/>
  <c r="C187" i="57"/>
  <c r="D187" i="57"/>
  <c r="E187" i="57"/>
  <c r="F187" i="57"/>
  <c r="C188" i="57"/>
  <c r="D188" i="57"/>
  <c r="E188" i="57"/>
  <c r="F188" i="57"/>
  <c r="C189" i="57"/>
  <c r="D189" i="57"/>
  <c r="E189" i="57"/>
  <c r="F189" i="57"/>
  <c r="C190" i="57"/>
  <c r="D190" i="57"/>
  <c r="E190" i="57"/>
  <c r="F190" i="57"/>
  <c r="C191" i="57"/>
  <c r="D191" i="57"/>
  <c r="E191" i="57"/>
  <c r="F191" i="57"/>
  <c r="C192" i="57"/>
  <c r="D192" i="57"/>
  <c r="E192" i="57"/>
  <c r="F192" i="57"/>
  <c r="C193" i="57"/>
  <c r="D193" i="57"/>
  <c r="E193" i="57"/>
  <c r="F193" i="57"/>
  <c r="C194" i="57"/>
  <c r="D194" i="57"/>
  <c r="E194" i="57"/>
  <c r="F194" i="57"/>
  <c r="C195" i="57"/>
  <c r="D195" i="57"/>
  <c r="E195" i="57"/>
  <c r="F195" i="57"/>
  <c r="C196" i="57"/>
  <c r="D196" i="57"/>
  <c r="E196" i="57"/>
  <c r="F196" i="57"/>
  <c r="C197" i="57"/>
  <c r="D197" i="57"/>
  <c r="E197" i="57"/>
  <c r="F197" i="57"/>
  <c r="C198" i="57"/>
  <c r="D198" i="57"/>
  <c r="E198" i="57"/>
  <c r="F198" i="57"/>
  <c r="C199" i="57"/>
  <c r="D199" i="57"/>
  <c r="E199" i="57"/>
  <c r="F199" i="57"/>
  <c r="C200" i="57"/>
  <c r="D200" i="57"/>
  <c r="E200" i="57"/>
  <c r="F200" i="57"/>
  <c r="C201" i="57"/>
  <c r="D201" i="57"/>
  <c r="E201" i="57"/>
  <c r="F201" i="57"/>
  <c r="C202" i="57"/>
  <c r="D202" i="57"/>
  <c r="E202" i="57"/>
  <c r="F202" i="57"/>
  <c r="C203" i="57"/>
  <c r="D203" i="57"/>
  <c r="E203" i="57"/>
  <c r="F203" i="57"/>
  <c r="C204" i="57"/>
  <c r="D204" i="57"/>
  <c r="E204" i="57"/>
  <c r="F204" i="57"/>
  <c r="C205" i="57"/>
  <c r="D205" i="57"/>
  <c r="E205" i="57"/>
  <c r="F205" i="57"/>
  <c r="C206" i="57"/>
  <c r="D206" i="57"/>
  <c r="E206" i="57"/>
  <c r="F206" i="57"/>
  <c r="C207" i="57"/>
  <c r="D207" i="57"/>
  <c r="E207" i="57"/>
  <c r="F207" i="57"/>
  <c r="C208" i="57"/>
  <c r="D208" i="57"/>
  <c r="E208" i="57"/>
  <c r="F208" i="57"/>
  <c r="C209" i="57"/>
  <c r="D209" i="57"/>
  <c r="E209" i="57"/>
  <c r="F209" i="57"/>
  <c r="C210" i="57"/>
  <c r="D210" i="57"/>
  <c r="E210" i="57"/>
  <c r="F210" i="57"/>
  <c r="C211" i="57"/>
  <c r="D211" i="57"/>
  <c r="E211" i="57"/>
  <c r="F211" i="57"/>
  <c r="C212" i="57"/>
  <c r="D212" i="57"/>
  <c r="E212" i="57"/>
  <c r="F212" i="57"/>
  <c r="C213" i="57"/>
  <c r="D213" i="57"/>
  <c r="E213" i="57"/>
  <c r="F213" i="57"/>
  <c r="C214" i="57"/>
  <c r="D214" i="57"/>
  <c r="E214" i="57"/>
  <c r="F214" i="57"/>
  <c r="C215" i="57"/>
  <c r="D215" i="57"/>
  <c r="E215" i="57"/>
  <c r="F215" i="57"/>
  <c r="C216" i="57"/>
  <c r="D216" i="57"/>
  <c r="E216" i="57"/>
  <c r="F216" i="57"/>
  <c r="C217" i="57"/>
  <c r="D217" i="57"/>
  <c r="E217" i="57"/>
  <c r="F217" i="57"/>
  <c r="C218" i="57"/>
  <c r="D218" i="57"/>
  <c r="E218" i="57"/>
  <c r="F218" i="57"/>
  <c r="C219" i="57"/>
  <c r="D219" i="57"/>
  <c r="E219" i="57"/>
  <c r="F219" i="57"/>
  <c r="C220" i="57"/>
  <c r="D220" i="57"/>
  <c r="E220" i="57"/>
  <c r="F220" i="57"/>
  <c r="C221" i="57"/>
  <c r="D221" i="57"/>
  <c r="E221" i="57"/>
  <c r="F221" i="57"/>
  <c r="C222" i="57"/>
  <c r="D222" i="57"/>
  <c r="E222" i="57"/>
  <c r="F222" i="57"/>
  <c r="C223" i="57"/>
  <c r="D223" i="57"/>
  <c r="E223" i="57"/>
  <c r="F223" i="57"/>
  <c r="C224" i="57"/>
  <c r="D224" i="57"/>
  <c r="E224" i="57"/>
  <c r="F224" i="57"/>
  <c r="C225" i="57"/>
  <c r="D225" i="57"/>
  <c r="E225" i="57"/>
  <c r="F225" i="57"/>
  <c r="C226" i="57"/>
  <c r="D226" i="57"/>
  <c r="E226" i="57"/>
  <c r="F226" i="57"/>
  <c r="C227" i="57"/>
  <c r="D227" i="57"/>
  <c r="E227" i="57"/>
  <c r="F227" i="57"/>
  <c r="C228" i="57"/>
  <c r="D228" i="57"/>
  <c r="E228" i="57"/>
  <c r="F228" i="57"/>
  <c r="C229" i="57"/>
  <c r="D229" i="57"/>
  <c r="E229" i="57"/>
  <c r="F229" i="57"/>
  <c r="C230" i="57"/>
  <c r="D230" i="57"/>
  <c r="E230" i="57"/>
  <c r="F230" i="57"/>
  <c r="C231" i="57"/>
  <c r="D231" i="57"/>
  <c r="E231" i="57"/>
  <c r="F231" i="57"/>
  <c r="C232" i="57"/>
  <c r="D232" i="57"/>
  <c r="E232" i="57"/>
  <c r="F232" i="57"/>
  <c r="C233" i="57"/>
  <c r="D233" i="57"/>
  <c r="E233" i="57"/>
  <c r="F233" i="57"/>
  <c r="C234" i="57"/>
  <c r="D234" i="57"/>
  <c r="E234" i="57"/>
  <c r="F234" i="57"/>
  <c r="C235" i="57"/>
  <c r="D235" i="57"/>
  <c r="E235" i="57"/>
  <c r="F235" i="57"/>
  <c r="C236" i="57"/>
  <c r="D236" i="57"/>
  <c r="E236" i="57"/>
  <c r="F236" i="57"/>
  <c r="C237" i="57"/>
  <c r="D237" i="57"/>
  <c r="E237" i="57"/>
  <c r="F237" i="57"/>
  <c r="C238" i="57"/>
  <c r="D238" i="57"/>
  <c r="E238" i="57"/>
  <c r="F238" i="57"/>
  <c r="C239" i="57"/>
  <c r="D239" i="57"/>
  <c r="E239" i="57"/>
  <c r="F239" i="57"/>
  <c r="C240" i="57"/>
  <c r="D240" i="57"/>
  <c r="E240" i="57"/>
  <c r="F240" i="57"/>
  <c r="C241" i="57"/>
  <c r="D241" i="57"/>
  <c r="E241" i="57"/>
  <c r="F241" i="57"/>
  <c r="C242" i="57"/>
  <c r="D242" i="57"/>
  <c r="E242" i="57"/>
  <c r="F242" i="57"/>
  <c r="C243" i="57"/>
  <c r="D243" i="57"/>
  <c r="E243" i="57"/>
  <c r="F243" i="57"/>
  <c r="C244" i="57"/>
  <c r="D244" i="57"/>
  <c r="E244" i="57"/>
  <c r="F244" i="57"/>
  <c r="C245" i="57"/>
  <c r="D245" i="57"/>
  <c r="E245" i="57"/>
  <c r="F245" i="57"/>
  <c r="C246" i="57"/>
  <c r="D246" i="57"/>
  <c r="E246" i="57"/>
  <c r="F246" i="57"/>
  <c r="C247" i="57"/>
  <c r="D247" i="57"/>
  <c r="E247" i="57"/>
  <c r="F247" i="57"/>
  <c r="C248" i="57"/>
  <c r="D248" i="57"/>
  <c r="E248" i="57"/>
  <c r="F248" i="57"/>
  <c r="C249" i="57"/>
  <c r="D249" i="57"/>
  <c r="E249" i="57"/>
  <c r="F249" i="57"/>
  <c r="C250" i="57"/>
  <c r="D250" i="57"/>
  <c r="E250" i="57"/>
  <c r="F250" i="57"/>
  <c r="C251" i="57"/>
  <c r="D251" i="57"/>
  <c r="E251" i="57"/>
  <c r="F251" i="57"/>
  <c r="C252" i="57"/>
  <c r="D252" i="57"/>
  <c r="E252" i="57"/>
  <c r="F252" i="57"/>
  <c r="C253" i="57"/>
  <c r="D253" i="57"/>
  <c r="E253" i="57"/>
  <c r="F253" i="57"/>
  <c r="C254" i="57"/>
  <c r="D254" i="57"/>
  <c r="E254" i="57"/>
  <c r="F254" i="57"/>
  <c r="C255" i="57"/>
  <c r="D255" i="57"/>
  <c r="E255" i="57"/>
  <c r="F255" i="57"/>
  <c r="C256" i="57"/>
  <c r="D256" i="57"/>
  <c r="E256" i="57"/>
  <c r="F256" i="57"/>
  <c r="C257" i="57"/>
  <c r="D257" i="57"/>
  <c r="E257" i="57"/>
  <c r="F257" i="57"/>
  <c r="C258" i="57"/>
  <c r="D258" i="57"/>
  <c r="E258" i="57"/>
  <c r="F258" i="57"/>
  <c r="C259" i="57"/>
  <c r="D259" i="57"/>
  <c r="E259" i="57"/>
  <c r="F259" i="57"/>
  <c r="C260" i="57"/>
  <c r="D260" i="57"/>
  <c r="E260" i="57"/>
  <c r="F260" i="57"/>
  <c r="C261" i="57"/>
  <c r="D261" i="57"/>
  <c r="E261" i="57"/>
  <c r="F261" i="57"/>
  <c r="C262" i="57"/>
  <c r="D262" i="57"/>
  <c r="E262" i="57"/>
  <c r="F262" i="57"/>
  <c r="C263" i="57"/>
  <c r="D263" i="57"/>
  <c r="E263" i="57"/>
  <c r="F263" i="57"/>
  <c r="C264" i="57"/>
  <c r="D264" i="57"/>
  <c r="E264" i="57"/>
  <c r="F264" i="57"/>
  <c r="C265" i="57"/>
  <c r="D265" i="57"/>
  <c r="E265" i="57"/>
  <c r="F265" i="57"/>
  <c r="C266" i="57"/>
  <c r="D266" i="57"/>
  <c r="E266" i="57"/>
  <c r="F266" i="57"/>
  <c r="C267" i="57"/>
  <c r="D267" i="57"/>
  <c r="E267" i="57"/>
  <c r="F267" i="57"/>
  <c r="C268" i="57"/>
  <c r="D268" i="57"/>
  <c r="E268" i="57"/>
  <c r="F268" i="57"/>
  <c r="C269" i="57"/>
  <c r="D269" i="57"/>
  <c r="E269" i="57"/>
  <c r="F269" i="57"/>
  <c r="C270" i="57"/>
  <c r="D270" i="57"/>
  <c r="E270" i="57"/>
  <c r="F270" i="57"/>
  <c r="C271" i="57"/>
  <c r="D271" i="57"/>
  <c r="E271" i="57"/>
  <c r="F271" i="57"/>
  <c r="C272" i="57"/>
  <c r="D272" i="57"/>
  <c r="E272" i="57"/>
  <c r="F272" i="57"/>
  <c r="C273" i="57"/>
  <c r="D273" i="57"/>
  <c r="E273" i="57"/>
  <c r="F273" i="57"/>
  <c r="C274" i="57"/>
  <c r="D274" i="57"/>
  <c r="E274" i="57"/>
  <c r="F274" i="57"/>
  <c r="C275" i="57"/>
  <c r="D275" i="57"/>
  <c r="E275" i="57"/>
  <c r="F275" i="57"/>
  <c r="C276" i="57"/>
  <c r="D276" i="57"/>
  <c r="E276" i="57"/>
  <c r="F276" i="57"/>
  <c r="C277" i="57"/>
  <c r="D277" i="57"/>
  <c r="E277" i="57"/>
  <c r="F277" i="57"/>
  <c r="C278" i="57"/>
  <c r="D278" i="57"/>
  <c r="E278" i="57"/>
  <c r="F278" i="57"/>
  <c r="C279" i="57"/>
  <c r="D279" i="57"/>
  <c r="E279" i="57"/>
  <c r="F279" i="57"/>
  <c r="C280" i="57"/>
  <c r="D280" i="57"/>
  <c r="E280" i="57"/>
  <c r="F280" i="57"/>
  <c r="C281" i="57"/>
  <c r="D281" i="57"/>
  <c r="E281" i="57"/>
  <c r="F281" i="57"/>
  <c r="C282" i="57"/>
  <c r="D282" i="57"/>
  <c r="E282" i="57"/>
  <c r="F282" i="57"/>
  <c r="C283" i="57"/>
  <c r="D283" i="57"/>
  <c r="E283" i="57"/>
  <c r="F283" i="57"/>
  <c r="C284" i="57"/>
  <c r="D284" i="57"/>
  <c r="E284" i="57"/>
  <c r="F284" i="57"/>
  <c r="C285" i="57"/>
  <c r="D285" i="57"/>
  <c r="E285" i="57"/>
  <c r="F285" i="57"/>
  <c r="C286" i="57"/>
  <c r="D286" i="57"/>
  <c r="E286" i="57"/>
  <c r="F286" i="57"/>
  <c r="C287" i="57"/>
  <c r="D287" i="57"/>
  <c r="E287" i="57"/>
  <c r="F287" i="57"/>
  <c r="C288" i="57"/>
  <c r="D288" i="57"/>
  <c r="E288" i="57"/>
  <c r="F288" i="57"/>
  <c r="C289" i="57"/>
  <c r="D289" i="57"/>
  <c r="E289" i="57"/>
  <c r="F289" i="57"/>
  <c r="C290" i="57"/>
  <c r="D290" i="57"/>
  <c r="E290" i="57"/>
  <c r="F290" i="57"/>
  <c r="C291" i="57"/>
  <c r="D291" i="57"/>
  <c r="E291" i="57"/>
  <c r="F291" i="57"/>
  <c r="C292" i="57"/>
  <c r="D292" i="57"/>
  <c r="E292" i="57"/>
  <c r="F292" i="57"/>
  <c r="C293" i="57"/>
  <c r="D293" i="57"/>
  <c r="E293" i="57"/>
  <c r="F293" i="57"/>
  <c r="C294" i="57"/>
  <c r="D294" i="57"/>
  <c r="E294" i="57"/>
  <c r="F294" i="57"/>
  <c r="C295" i="57"/>
  <c r="D295" i="57"/>
  <c r="E295" i="57"/>
  <c r="F295" i="57"/>
  <c r="C296" i="57"/>
  <c r="D296" i="57"/>
  <c r="E296" i="57"/>
  <c r="F296" i="57"/>
  <c r="C297" i="57"/>
  <c r="D297" i="57"/>
  <c r="E297" i="57"/>
  <c r="F297" i="57"/>
  <c r="C298" i="57"/>
  <c r="D298" i="57"/>
  <c r="E298" i="57"/>
  <c r="F298" i="57"/>
  <c r="C299" i="57"/>
  <c r="D299" i="57"/>
  <c r="E299" i="57"/>
  <c r="F299" i="57"/>
  <c r="C300" i="57"/>
  <c r="D300" i="57"/>
  <c r="E300" i="57"/>
  <c r="F300" i="57"/>
  <c r="C301" i="57"/>
  <c r="D301" i="57"/>
  <c r="E301" i="57"/>
  <c r="F301" i="57"/>
  <c r="C302" i="57"/>
  <c r="D302" i="57"/>
  <c r="E302" i="57"/>
  <c r="F302" i="57"/>
  <c r="C303" i="57"/>
  <c r="D303" i="57"/>
  <c r="E303" i="57"/>
  <c r="F303" i="57"/>
  <c r="C304" i="57"/>
  <c r="D304" i="57"/>
  <c r="E304" i="57"/>
  <c r="F304" i="57"/>
  <c r="C305" i="57"/>
  <c r="D305" i="57"/>
  <c r="E305" i="57"/>
  <c r="F305" i="57"/>
  <c r="C306" i="57"/>
  <c r="D306" i="57"/>
  <c r="E306" i="57"/>
  <c r="F306" i="57"/>
  <c r="C307" i="57"/>
  <c r="D307" i="57"/>
  <c r="E307" i="57"/>
  <c r="F307" i="57"/>
  <c r="C308" i="57"/>
  <c r="D308" i="57"/>
  <c r="E308" i="57"/>
  <c r="F308" i="57"/>
  <c r="C309" i="57"/>
  <c r="D309" i="57"/>
  <c r="E309" i="57"/>
  <c r="F309" i="57"/>
  <c r="C310" i="57"/>
  <c r="D310" i="57"/>
  <c r="E310" i="57"/>
  <c r="F310" i="57"/>
  <c r="C311" i="57"/>
  <c r="D311" i="57"/>
  <c r="E311" i="57"/>
  <c r="F311" i="57"/>
  <c r="C312" i="57"/>
  <c r="D312" i="57"/>
  <c r="E312" i="57"/>
  <c r="F312" i="57"/>
  <c r="C313" i="57"/>
  <c r="D313" i="57"/>
  <c r="E313" i="57"/>
  <c r="F313" i="57"/>
  <c r="C314" i="57"/>
  <c r="D314" i="57"/>
  <c r="E314" i="57"/>
  <c r="F314" i="57"/>
  <c r="C315" i="57"/>
  <c r="D315" i="57"/>
  <c r="E315" i="57"/>
  <c r="F315" i="57"/>
  <c r="C316" i="57"/>
  <c r="D316" i="57"/>
  <c r="E316" i="57"/>
  <c r="F316" i="57"/>
  <c r="C317" i="57"/>
  <c r="D317" i="57"/>
  <c r="E317" i="57"/>
  <c r="F317" i="57"/>
  <c r="C318" i="57"/>
  <c r="D318" i="57"/>
  <c r="E318" i="57"/>
  <c r="F318" i="57"/>
  <c r="C319" i="57"/>
  <c r="D319" i="57"/>
  <c r="E319" i="57"/>
  <c r="F319" i="57"/>
  <c r="C320" i="57"/>
  <c r="D320" i="57"/>
  <c r="E320" i="57"/>
  <c r="F320" i="57"/>
  <c r="C321" i="57"/>
  <c r="D321" i="57"/>
  <c r="E321" i="57"/>
  <c r="F321" i="57"/>
  <c r="C322" i="57"/>
  <c r="D322" i="57"/>
  <c r="E322" i="57"/>
  <c r="F322" i="57"/>
  <c r="C323" i="57"/>
  <c r="D323" i="57"/>
  <c r="E323" i="57"/>
  <c r="F323" i="57"/>
  <c r="C324" i="57"/>
  <c r="D324" i="57"/>
  <c r="E324" i="57"/>
  <c r="F324" i="57"/>
  <c r="C325" i="57"/>
  <c r="D325" i="57"/>
  <c r="E325" i="57"/>
  <c r="F325" i="57"/>
  <c r="C326" i="57"/>
  <c r="D326" i="57"/>
  <c r="E326" i="57"/>
  <c r="F326" i="57"/>
  <c r="C327" i="57"/>
  <c r="D327" i="57"/>
  <c r="E327" i="57"/>
  <c r="F327" i="57"/>
  <c r="C328" i="57"/>
  <c r="D328" i="57"/>
  <c r="E328" i="57"/>
  <c r="F328" i="57"/>
  <c r="C329" i="57"/>
  <c r="D329" i="57"/>
  <c r="E329" i="57"/>
  <c r="F329" i="57"/>
  <c r="C330" i="57"/>
  <c r="D330" i="57"/>
  <c r="E330" i="57"/>
  <c r="F330" i="57"/>
  <c r="C331" i="57"/>
  <c r="D331" i="57"/>
  <c r="E331" i="57"/>
  <c r="F331" i="57"/>
  <c r="C332" i="57"/>
  <c r="D332" i="57"/>
  <c r="E332" i="57"/>
  <c r="F332" i="57"/>
  <c r="C333" i="57"/>
  <c r="D333" i="57"/>
  <c r="E333" i="57"/>
  <c r="F333" i="57"/>
  <c r="C334" i="57"/>
  <c r="D334" i="57"/>
  <c r="E334" i="57"/>
  <c r="F334" i="57"/>
  <c r="C335" i="57"/>
  <c r="D335" i="57"/>
  <c r="E335" i="57"/>
  <c r="F335" i="57"/>
  <c r="C336" i="57"/>
  <c r="D336" i="57"/>
  <c r="E336" i="57"/>
  <c r="F336" i="57"/>
  <c r="C337" i="57"/>
  <c r="D337" i="57"/>
  <c r="E337" i="57"/>
  <c r="F337" i="57"/>
  <c r="C338" i="57"/>
  <c r="D338" i="57"/>
  <c r="E338" i="57"/>
  <c r="F338" i="57"/>
  <c r="C339" i="57"/>
  <c r="D339" i="57"/>
  <c r="E339" i="57"/>
  <c r="F339" i="57"/>
  <c r="C340" i="57"/>
  <c r="D340" i="57"/>
  <c r="E340" i="57"/>
  <c r="F340" i="57"/>
  <c r="C341" i="57"/>
  <c r="D341" i="57"/>
  <c r="E341" i="57"/>
  <c r="F341" i="57"/>
  <c r="C342" i="57"/>
  <c r="D342" i="57"/>
  <c r="E342" i="57"/>
  <c r="F342" i="57"/>
  <c r="C343" i="57"/>
  <c r="D343" i="57"/>
  <c r="E343" i="57"/>
  <c r="F343" i="57"/>
  <c r="C344" i="57"/>
  <c r="D344" i="57"/>
  <c r="E344" i="57"/>
  <c r="F344" i="57"/>
  <c r="C345" i="57"/>
  <c r="D345" i="57"/>
  <c r="E345" i="57"/>
  <c r="F345" i="57"/>
  <c r="C346" i="57"/>
  <c r="D346" i="57"/>
  <c r="E346" i="57"/>
  <c r="F346" i="57"/>
  <c r="C347" i="57"/>
  <c r="D347" i="57"/>
  <c r="E347" i="57"/>
  <c r="F347" i="57"/>
  <c r="C348" i="57"/>
  <c r="D348" i="57"/>
  <c r="E348" i="57"/>
  <c r="F348" i="57"/>
  <c r="C349" i="57"/>
  <c r="D349" i="57"/>
  <c r="E349" i="57"/>
  <c r="F349" i="57"/>
  <c r="C350" i="57"/>
  <c r="D350" i="57"/>
  <c r="E350" i="57"/>
  <c r="F350" i="57"/>
  <c r="C351" i="57"/>
  <c r="D351" i="57"/>
  <c r="E351" i="57"/>
  <c r="F351" i="57"/>
  <c r="C352" i="57"/>
  <c r="D352" i="57"/>
  <c r="E352" i="57"/>
  <c r="F352" i="57"/>
  <c r="C353" i="57"/>
  <c r="D353" i="57"/>
  <c r="E353" i="57"/>
  <c r="F353" i="57"/>
  <c r="C354" i="57"/>
  <c r="D354" i="57"/>
  <c r="E354" i="57"/>
  <c r="F354" i="57"/>
  <c r="C355" i="57"/>
  <c r="D355" i="57"/>
  <c r="E355" i="57"/>
  <c r="F355" i="57"/>
  <c r="C356" i="57"/>
  <c r="D356" i="57"/>
  <c r="E356" i="57"/>
  <c r="F356" i="57"/>
  <c r="C357" i="57"/>
  <c r="D357" i="57"/>
  <c r="E357" i="57"/>
  <c r="F357" i="57"/>
  <c r="C358" i="57"/>
  <c r="D358" i="57"/>
  <c r="E358" i="57"/>
  <c r="F358" i="57"/>
  <c r="C359" i="57"/>
  <c r="D359" i="57"/>
  <c r="E359" i="57"/>
  <c r="F359" i="57"/>
  <c r="C360" i="57"/>
  <c r="D360" i="57"/>
  <c r="E360" i="57"/>
  <c r="F360" i="57"/>
  <c r="C361" i="57"/>
  <c r="D361" i="57"/>
  <c r="E361" i="57"/>
  <c r="F361" i="57"/>
  <c r="C362" i="57"/>
  <c r="D362" i="57"/>
  <c r="E362" i="57"/>
  <c r="F362" i="57"/>
  <c r="C363" i="57"/>
  <c r="D363" i="57"/>
  <c r="E363" i="57"/>
  <c r="F363" i="57"/>
  <c r="C364" i="57"/>
  <c r="D364" i="57"/>
  <c r="E364" i="57"/>
  <c r="F364" i="57"/>
  <c r="C365" i="57"/>
  <c r="D365" i="57"/>
  <c r="E365" i="57"/>
  <c r="F365" i="57"/>
  <c r="C366" i="57"/>
  <c r="D366" i="57"/>
  <c r="E366" i="57"/>
  <c r="F366" i="57"/>
  <c r="C367" i="57"/>
  <c r="D367" i="57"/>
  <c r="E367" i="57"/>
  <c r="F367" i="57"/>
  <c r="C368" i="57"/>
  <c r="D368" i="57"/>
  <c r="E368" i="57"/>
  <c r="F368" i="57"/>
  <c r="C369" i="57"/>
  <c r="D369" i="57"/>
  <c r="E369" i="57"/>
  <c r="F369" i="57"/>
  <c r="C370" i="57"/>
  <c r="D370" i="57"/>
  <c r="E370" i="57"/>
  <c r="F370" i="57"/>
  <c r="C371" i="57"/>
  <c r="D371" i="57"/>
  <c r="E371" i="57"/>
  <c r="F371" i="57"/>
  <c r="C372" i="57"/>
  <c r="D372" i="57"/>
  <c r="E372" i="57"/>
  <c r="F372" i="57"/>
  <c r="C373" i="57"/>
  <c r="D373" i="57"/>
  <c r="E373" i="57"/>
  <c r="F373" i="57"/>
  <c r="F2" i="57"/>
  <c r="E2" i="57"/>
  <c r="D2" i="57"/>
  <c r="C2" i="57"/>
  <c r="C344" i="56"/>
  <c r="D344" i="56"/>
  <c r="E344" i="56"/>
  <c r="F344" i="56"/>
  <c r="C345" i="56"/>
  <c r="D345" i="56"/>
  <c r="E345" i="56"/>
  <c r="F345" i="56"/>
  <c r="C346" i="56"/>
  <c r="D346" i="56"/>
  <c r="E346" i="56"/>
  <c r="F346" i="56"/>
  <c r="C347" i="56"/>
  <c r="D347" i="56"/>
  <c r="E347" i="56"/>
  <c r="F347" i="56"/>
  <c r="C348" i="56"/>
  <c r="D348" i="56"/>
  <c r="E348" i="56"/>
  <c r="F348" i="56"/>
  <c r="C349" i="56"/>
  <c r="D349" i="56"/>
  <c r="E349" i="56"/>
  <c r="F349" i="56"/>
  <c r="C350" i="56"/>
  <c r="D350" i="56"/>
  <c r="E350" i="56"/>
  <c r="F350" i="56"/>
  <c r="C351" i="56"/>
  <c r="D351" i="56"/>
  <c r="E351" i="56"/>
  <c r="F351" i="56"/>
  <c r="C352" i="56"/>
  <c r="D352" i="56"/>
  <c r="E352" i="56"/>
  <c r="F352" i="56"/>
  <c r="C353" i="56"/>
  <c r="D353" i="56"/>
  <c r="E353" i="56"/>
  <c r="F353" i="56"/>
  <c r="C354" i="56"/>
  <c r="D354" i="56"/>
  <c r="E354" i="56"/>
  <c r="F354" i="56"/>
  <c r="C355" i="56"/>
  <c r="D355" i="56"/>
  <c r="E355" i="56"/>
  <c r="F355" i="56"/>
  <c r="C356" i="56"/>
  <c r="D356" i="56"/>
  <c r="E356" i="56"/>
  <c r="F356" i="56"/>
  <c r="C357" i="56"/>
  <c r="D357" i="56"/>
  <c r="E357" i="56"/>
  <c r="F357" i="56"/>
  <c r="C358" i="56"/>
  <c r="D358" i="56"/>
  <c r="E358" i="56"/>
  <c r="F358" i="56"/>
  <c r="C359" i="56"/>
  <c r="D359" i="56"/>
  <c r="E359" i="56"/>
  <c r="F359" i="56"/>
  <c r="C360" i="56"/>
  <c r="D360" i="56"/>
  <c r="E360" i="56"/>
  <c r="F360" i="56"/>
  <c r="C361" i="56"/>
  <c r="D361" i="56"/>
  <c r="E361" i="56"/>
  <c r="F361" i="56"/>
  <c r="C362" i="56"/>
  <c r="D362" i="56"/>
  <c r="E362" i="56"/>
  <c r="F362" i="56"/>
  <c r="C363" i="56"/>
  <c r="D363" i="56"/>
  <c r="E363" i="56"/>
  <c r="F363" i="56"/>
  <c r="C364" i="56"/>
  <c r="D364" i="56"/>
  <c r="E364" i="56"/>
  <c r="F364" i="56"/>
  <c r="C365" i="56"/>
  <c r="D365" i="56"/>
  <c r="E365" i="56"/>
  <c r="F365" i="56"/>
  <c r="C366" i="56"/>
  <c r="D366" i="56"/>
  <c r="E366" i="56"/>
  <c r="F366" i="56"/>
  <c r="C367" i="56"/>
  <c r="D367" i="56"/>
  <c r="E367" i="56"/>
  <c r="F367" i="56"/>
  <c r="C368" i="56"/>
  <c r="D368" i="56"/>
  <c r="E368" i="56"/>
  <c r="F368" i="56"/>
  <c r="C369" i="56"/>
  <c r="D369" i="56"/>
  <c r="E369" i="56"/>
  <c r="F369" i="56"/>
  <c r="C370" i="56"/>
  <c r="D370" i="56"/>
  <c r="E370" i="56"/>
  <c r="F370" i="56"/>
  <c r="C371" i="56"/>
  <c r="D371" i="56"/>
  <c r="E371" i="56"/>
  <c r="F371" i="56"/>
  <c r="C372" i="56"/>
  <c r="D372" i="56"/>
  <c r="E372" i="56"/>
  <c r="F372" i="56"/>
  <c r="C373" i="56"/>
  <c r="D373" i="56"/>
  <c r="E373" i="56"/>
  <c r="F373" i="56"/>
  <c r="C374" i="56"/>
  <c r="D374" i="56"/>
  <c r="E374" i="56"/>
  <c r="F374" i="56"/>
  <c r="C375" i="56"/>
  <c r="D375" i="56"/>
  <c r="E375" i="56"/>
  <c r="F375" i="56"/>
  <c r="C376" i="56"/>
  <c r="D376" i="56"/>
  <c r="E376" i="56"/>
  <c r="F376" i="56"/>
  <c r="C377" i="56"/>
  <c r="D377" i="56"/>
  <c r="E377" i="56"/>
  <c r="F377" i="56"/>
  <c r="C378" i="56"/>
  <c r="D378" i="56"/>
  <c r="E378" i="56"/>
  <c r="F378" i="56"/>
  <c r="C379" i="56"/>
  <c r="D379" i="56"/>
  <c r="E379" i="56"/>
  <c r="F379" i="56"/>
  <c r="C380" i="56"/>
  <c r="D380" i="56"/>
  <c r="E380" i="56"/>
  <c r="F380" i="56"/>
  <c r="C381" i="56"/>
  <c r="D381" i="56"/>
  <c r="E381" i="56"/>
  <c r="F381" i="56"/>
  <c r="C11" i="56"/>
  <c r="C12" i="56"/>
  <c r="C13" i="56"/>
  <c r="C14" i="56"/>
  <c r="C15" i="56"/>
  <c r="C16" i="56"/>
  <c r="C17" i="56"/>
  <c r="C18" i="56"/>
  <c r="C19" i="56"/>
  <c r="C20" i="56"/>
  <c r="C21" i="56"/>
  <c r="C22" i="56"/>
  <c r="C23" i="56"/>
  <c r="C24" i="56"/>
  <c r="C25" i="56"/>
  <c r="C26" i="56"/>
  <c r="C27" i="56"/>
  <c r="C28" i="56"/>
  <c r="C29" i="56"/>
  <c r="C30" i="56"/>
  <c r="C31" i="56"/>
  <c r="C32" i="56"/>
  <c r="C33" i="56"/>
  <c r="C34" i="56"/>
  <c r="C35" i="56"/>
  <c r="C36" i="56"/>
  <c r="C37" i="56"/>
  <c r="C38" i="56"/>
  <c r="C39" i="56"/>
  <c r="C40" i="56"/>
  <c r="C41" i="56"/>
  <c r="C42" i="56"/>
  <c r="C43" i="56"/>
  <c r="C44" i="56"/>
  <c r="C45" i="56"/>
  <c r="C46" i="56"/>
  <c r="C47" i="56"/>
  <c r="C48" i="56"/>
  <c r="C49" i="56"/>
  <c r="C50" i="56"/>
  <c r="C51" i="56"/>
  <c r="C52" i="56"/>
  <c r="C53" i="56"/>
  <c r="C54" i="56"/>
  <c r="C55" i="56"/>
  <c r="C56" i="56"/>
  <c r="C57" i="56"/>
  <c r="C58" i="56"/>
  <c r="C59" i="56"/>
  <c r="C60" i="56"/>
  <c r="C61" i="56"/>
  <c r="C62" i="56"/>
  <c r="C63" i="56"/>
  <c r="C64" i="56"/>
  <c r="C65" i="56"/>
  <c r="C66" i="56"/>
  <c r="C67" i="56"/>
  <c r="C68" i="56"/>
  <c r="C69" i="56"/>
  <c r="C70" i="56"/>
  <c r="C71" i="56"/>
  <c r="C72" i="56"/>
  <c r="C73" i="56"/>
  <c r="C74" i="56"/>
  <c r="C75" i="56"/>
  <c r="C76" i="56"/>
  <c r="C77" i="56"/>
  <c r="C78" i="56"/>
  <c r="C79" i="56"/>
  <c r="C80" i="56"/>
  <c r="C81" i="56"/>
  <c r="C82" i="56"/>
  <c r="C83" i="56"/>
  <c r="C84" i="56"/>
  <c r="C85" i="56"/>
  <c r="C86" i="56"/>
  <c r="C87" i="56"/>
  <c r="C88" i="56"/>
  <c r="C89" i="56"/>
  <c r="C90" i="56"/>
  <c r="C91" i="56"/>
  <c r="C92" i="56"/>
  <c r="C93" i="56"/>
  <c r="C94" i="56"/>
  <c r="C95" i="56"/>
  <c r="C96" i="56"/>
  <c r="C97" i="56"/>
  <c r="C98" i="56"/>
  <c r="C99" i="56"/>
  <c r="C100" i="56"/>
  <c r="C101" i="56"/>
  <c r="C102" i="56"/>
  <c r="C103" i="56"/>
  <c r="C104" i="56"/>
  <c r="C105" i="56"/>
  <c r="C106" i="56"/>
  <c r="C107" i="56"/>
  <c r="C108" i="56"/>
  <c r="C109" i="56"/>
  <c r="C110" i="56"/>
  <c r="C111" i="56"/>
  <c r="C112" i="56"/>
  <c r="C113" i="56"/>
  <c r="C114" i="56"/>
  <c r="C115" i="56"/>
  <c r="C116" i="56"/>
  <c r="C117" i="56"/>
  <c r="C118" i="56"/>
  <c r="C119" i="56"/>
  <c r="C120" i="56"/>
  <c r="C121" i="56"/>
  <c r="C122" i="56"/>
  <c r="C123" i="56"/>
  <c r="C124" i="56"/>
  <c r="C125" i="56"/>
  <c r="C126" i="56"/>
  <c r="C127" i="56"/>
  <c r="C128" i="56"/>
  <c r="C129" i="56"/>
  <c r="C130" i="56"/>
  <c r="C131" i="56"/>
  <c r="C132" i="56"/>
  <c r="C133" i="56"/>
  <c r="C134" i="56"/>
  <c r="C135" i="56"/>
  <c r="C136" i="56"/>
  <c r="C137" i="56"/>
  <c r="C138" i="56"/>
  <c r="C139" i="56"/>
  <c r="C140" i="56"/>
  <c r="C141" i="56"/>
  <c r="C142" i="56"/>
  <c r="C143" i="56"/>
  <c r="C144" i="56"/>
  <c r="C145" i="56"/>
  <c r="C146" i="56"/>
  <c r="C147" i="56"/>
  <c r="C148" i="56"/>
  <c r="C149" i="56"/>
  <c r="C150" i="56"/>
  <c r="C151" i="56"/>
  <c r="C152" i="56"/>
  <c r="C153" i="56"/>
  <c r="C154" i="56"/>
  <c r="C155" i="56"/>
  <c r="C156" i="56"/>
  <c r="C157" i="56"/>
  <c r="C158" i="56"/>
  <c r="C159" i="56"/>
  <c r="C160" i="56"/>
  <c r="C161" i="56"/>
  <c r="C162" i="56"/>
  <c r="C163" i="56"/>
  <c r="C164" i="56"/>
  <c r="C165" i="56"/>
  <c r="C166" i="56"/>
  <c r="C167" i="56"/>
  <c r="C168" i="56"/>
  <c r="C169" i="56"/>
  <c r="C170" i="56"/>
  <c r="C171" i="56"/>
  <c r="C172" i="56"/>
  <c r="C173" i="56"/>
  <c r="C174" i="56"/>
  <c r="C175" i="56"/>
  <c r="C176" i="56"/>
  <c r="C177" i="56"/>
  <c r="C178" i="56"/>
  <c r="C179" i="56"/>
  <c r="C180" i="56"/>
  <c r="C181" i="56"/>
  <c r="C182" i="56"/>
  <c r="C183" i="56"/>
  <c r="C184" i="56"/>
  <c r="C185" i="56"/>
  <c r="C186" i="56"/>
  <c r="C187" i="56"/>
  <c r="C188" i="56"/>
  <c r="C189" i="56"/>
  <c r="C190" i="56"/>
  <c r="C191" i="56"/>
  <c r="C192" i="56"/>
  <c r="C193" i="56"/>
  <c r="C194" i="56"/>
  <c r="C195" i="56"/>
  <c r="C196" i="56"/>
  <c r="C197" i="56"/>
  <c r="C198" i="56"/>
  <c r="C199" i="56"/>
  <c r="C200" i="56"/>
  <c r="C201" i="56"/>
  <c r="C202" i="56"/>
  <c r="C203" i="56"/>
  <c r="C204" i="56"/>
  <c r="C205" i="56"/>
  <c r="C206" i="56"/>
  <c r="C207" i="56"/>
  <c r="C208" i="56"/>
  <c r="C209" i="56"/>
  <c r="C210" i="56"/>
  <c r="C211" i="56"/>
  <c r="C212" i="56"/>
  <c r="C213" i="56"/>
  <c r="C214" i="56"/>
  <c r="C215" i="56"/>
  <c r="C216" i="56"/>
  <c r="C217" i="56"/>
  <c r="C218" i="56"/>
  <c r="C219" i="56"/>
  <c r="C220" i="56"/>
  <c r="C221" i="56"/>
  <c r="C222" i="56"/>
  <c r="C223" i="56"/>
  <c r="C224" i="56"/>
  <c r="C225" i="56"/>
  <c r="C226" i="56"/>
  <c r="C227" i="56"/>
  <c r="C228" i="56"/>
  <c r="C229" i="56"/>
  <c r="C230" i="56"/>
  <c r="C231" i="56"/>
  <c r="C232" i="56"/>
  <c r="C233" i="56"/>
  <c r="C234" i="56"/>
  <c r="C235" i="56"/>
  <c r="C236" i="56"/>
  <c r="C237" i="56"/>
  <c r="C238" i="56"/>
  <c r="C239" i="56"/>
  <c r="C240" i="56"/>
  <c r="C241" i="56"/>
  <c r="C242" i="56"/>
  <c r="C243" i="56"/>
  <c r="C244" i="56"/>
  <c r="C245" i="56"/>
  <c r="C246" i="56"/>
  <c r="C247" i="56"/>
  <c r="C248" i="56"/>
  <c r="C249" i="56"/>
  <c r="C250" i="56"/>
  <c r="C251" i="56"/>
  <c r="C252" i="56"/>
  <c r="C253" i="56"/>
  <c r="C254" i="56"/>
  <c r="C255" i="56"/>
  <c r="C256" i="56"/>
  <c r="C257" i="56"/>
  <c r="C258" i="56"/>
  <c r="C259" i="56"/>
  <c r="C260" i="56"/>
  <c r="C261" i="56"/>
  <c r="C262" i="56"/>
  <c r="C263" i="56"/>
  <c r="C264" i="56"/>
  <c r="C265" i="56"/>
  <c r="C266" i="56"/>
  <c r="C267" i="56"/>
  <c r="C268" i="56"/>
  <c r="C269" i="56"/>
  <c r="C270" i="56"/>
  <c r="C271" i="56"/>
  <c r="C272" i="56"/>
  <c r="C273" i="56"/>
  <c r="C274" i="56"/>
  <c r="C275" i="56"/>
  <c r="C276" i="56"/>
  <c r="C277" i="56"/>
  <c r="C278" i="56"/>
  <c r="C279" i="56"/>
  <c r="C280" i="56"/>
  <c r="C281" i="56"/>
  <c r="C282" i="56"/>
  <c r="C283" i="56"/>
  <c r="C284" i="56"/>
  <c r="C285" i="56"/>
  <c r="C286" i="56"/>
  <c r="C287" i="56"/>
  <c r="C288" i="56"/>
  <c r="C289" i="56"/>
  <c r="C290" i="56"/>
  <c r="C291" i="56"/>
  <c r="C292" i="56"/>
  <c r="C293" i="56"/>
  <c r="C294" i="56"/>
  <c r="C295" i="56"/>
  <c r="C296" i="56"/>
  <c r="C297" i="56"/>
  <c r="C298" i="56"/>
  <c r="C299" i="56"/>
  <c r="C300" i="56"/>
  <c r="C301" i="56"/>
  <c r="C302" i="56"/>
  <c r="C303" i="56"/>
  <c r="C304" i="56"/>
  <c r="C305" i="56"/>
  <c r="C306" i="56"/>
  <c r="C307" i="56"/>
  <c r="C308" i="56"/>
  <c r="C309" i="56"/>
  <c r="C310" i="56"/>
  <c r="C311" i="56"/>
  <c r="C312" i="56"/>
  <c r="C313" i="56"/>
  <c r="C314" i="56"/>
  <c r="C315" i="56"/>
  <c r="C316" i="56"/>
  <c r="C317" i="56"/>
  <c r="C318" i="56"/>
  <c r="C319" i="56"/>
  <c r="C320" i="56"/>
  <c r="C321" i="56"/>
  <c r="C322" i="56"/>
  <c r="C323" i="56"/>
  <c r="C324" i="56"/>
  <c r="C325" i="56"/>
  <c r="C326" i="56"/>
  <c r="C327" i="56"/>
  <c r="C328" i="56"/>
  <c r="C329" i="56"/>
  <c r="C330" i="56"/>
  <c r="C331" i="56"/>
  <c r="C332" i="56"/>
  <c r="C333" i="56"/>
  <c r="C334" i="56"/>
  <c r="C335" i="56"/>
  <c r="C336" i="56"/>
  <c r="C337" i="56"/>
  <c r="C338" i="56"/>
  <c r="C339" i="56"/>
  <c r="C340" i="56"/>
  <c r="C341" i="56"/>
  <c r="C342" i="56"/>
  <c r="C343" i="56"/>
  <c r="D11" i="56"/>
  <c r="E11" i="56"/>
  <c r="F11" i="56"/>
  <c r="D12" i="56"/>
  <c r="E12" i="56"/>
  <c r="F12" i="56"/>
  <c r="D13" i="56"/>
  <c r="E13" i="56"/>
  <c r="F13" i="56"/>
  <c r="D14" i="56"/>
  <c r="E14" i="56"/>
  <c r="F14" i="56"/>
  <c r="D15" i="56"/>
  <c r="E15" i="56"/>
  <c r="F15" i="56"/>
  <c r="D16" i="56"/>
  <c r="E16" i="56"/>
  <c r="F16" i="56"/>
  <c r="D17" i="56"/>
  <c r="E17" i="56"/>
  <c r="F17" i="56"/>
  <c r="D18" i="56"/>
  <c r="E18" i="56"/>
  <c r="F18" i="56"/>
  <c r="D19" i="56"/>
  <c r="E19" i="56"/>
  <c r="F19" i="56"/>
  <c r="D20" i="56"/>
  <c r="E20" i="56"/>
  <c r="F20" i="56"/>
  <c r="D21" i="56"/>
  <c r="E21" i="56"/>
  <c r="F21" i="56"/>
  <c r="D22" i="56"/>
  <c r="E22" i="56"/>
  <c r="F22" i="56"/>
  <c r="D23" i="56"/>
  <c r="E23" i="56"/>
  <c r="F23" i="56"/>
  <c r="D24" i="56"/>
  <c r="E24" i="56"/>
  <c r="F24" i="56"/>
  <c r="D25" i="56"/>
  <c r="E25" i="56"/>
  <c r="F25" i="56"/>
  <c r="D26" i="56"/>
  <c r="E26" i="56"/>
  <c r="F26" i="56"/>
  <c r="D27" i="56"/>
  <c r="E27" i="56"/>
  <c r="F27" i="56"/>
  <c r="D28" i="56"/>
  <c r="E28" i="56"/>
  <c r="F28" i="56"/>
  <c r="D29" i="56"/>
  <c r="E29" i="56"/>
  <c r="F29" i="56"/>
  <c r="D30" i="56"/>
  <c r="E30" i="56"/>
  <c r="F30" i="56"/>
  <c r="D31" i="56"/>
  <c r="E31" i="56"/>
  <c r="F31" i="56"/>
  <c r="D32" i="56"/>
  <c r="E32" i="56"/>
  <c r="F32" i="56"/>
  <c r="D33" i="56"/>
  <c r="E33" i="56"/>
  <c r="F33" i="56"/>
  <c r="D34" i="56"/>
  <c r="E34" i="56"/>
  <c r="F34" i="56"/>
  <c r="D35" i="56"/>
  <c r="E35" i="56"/>
  <c r="F35" i="56"/>
  <c r="D36" i="56"/>
  <c r="E36" i="56"/>
  <c r="F36" i="56"/>
  <c r="D37" i="56"/>
  <c r="E37" i="56"/>
  <c r="F37" i="56"/>
  <c r="D38" i="56"/>
  <c r="E38" i="56"/>
  <c r="F38" i="56"/>
  <c r="D39" i="56"/>
  <c r="E39" i="56"/>
  <c r="F39" i="56"/>
  <c r="D40" i="56"/>
  <c r="E40" i="56"/>
  <c r="F40" i="56"/>
  <c r="D41" i="56"/>
  <c r="E41" i="56"/>
  <c r="F41" i="56"/>
  <c r="D42" i="56"/>
  <c r="E42" i="56"/>
  <c r="F42" i="56"/>
  <c r="D43" i="56"/>
  <c r="E43" i="56"/>
  <c r="F43" i="56"/>
  <c r="D44" i="56"/>
  <c r="E44" i="56"/>
  <c r="F44" i="56"/>
  <c r="D45" i="56"/>
  <c r="E45" i="56"/>
  <c r="F45" i="56"/>
  <c r="D46" i="56"/>
  <c r="E46" i="56"/>
  <c r="F46" i="56"/>
  <c r="D47" i="56"/>
  <c r="E47" i="56"/>
  <c r="F47" i="56"/>
  <c r="D48" i="56"/>
  <c r="E48" i="56"/>
  <c r="F48" i="56"/>
  <c r="D49" i="56"/>
  <c r="E49" i="56"/>
  <c r="F49" i="56"/>
  <c r="D50" i="56"/>
  <c r="E50" i="56"/>
  <c r="F50" i="56"/>
  <c r="D51" i="56"/>
  <c r="E51" i="56"/>
  <c r="F51" i="56"/>
  <c r="D52" i="56"/>
  <c r="E52" i="56"/>
  <c r="F52" i="56"/>
  <c r="D53" i="56"/>
  <c r="E53" i="56"/>
  <c r="F53" i="56"/>
  <c r="D54" i="56"/>
  <c r="E54" i="56"/>
  <c r="F54" i="56"/>
  <c r="D55" i="56"/>
  <c r="E55" i="56"/>
  <c r="F55" i="56"/>
  <c r="D56" i="56"/>
  <c r="E56" i="56"/>
  <c r="F56" i="56"/>
  <c r="D57" i="56"/>
  <c r="E57" i="56"/>
  <c r="F57" i="56"/>
  <c r="D58" i="56"/>
  <c r="E58" i="56"/>
  <c r="F58" i="56"/>
  <c r="D59" i="56"/>
  <c r="E59" i="56"/>
  <c r="F59" i="56"/>
  <c r="D60" i="56"/>
  <c r="E60" i="56"/>
  <c r="F60" i="56"/>
  <c r="D61" i="56"/>
  <c r="E61" i="56"/>
  <c r="F61" i="56"/>
  <c r="D62" i="56"/>
  <c r="E62" i="56"/>
  <c r="F62" i="56"/>
  <c r="D63" i="56"/>
  <c r="E63" i="56"/>
  <c r="F63" i="56"/>
  <c r="D64" i="56"/>
  <c r="E64" i="56"/>
  <c r="F64" i="56"/>
  <c r="D65" i="56"/>
  <c r="E65" i="56"/>
  <c r="F65" i="56"/>
  <c r="D66" i="56"/>
  <c r="E66" i="56"/>
  <c r="F66" i="56"/>
  <c r="D67" i="56"/>
  <c r="E67" i="56"/>
  <c r="F67" i="56"/>
  <c r="D68" i="56"/>
  <c r="E68" i="56"/>
  <c r="F68" i="56"/>
  <c r="D69" i="56"/>
  <c r="E69" i="56"/>
  <c r="F69" i="56"/>
  <c r="D70" i="56"/>
  <c r="E70" i="56"/>
  <c r="F70" i="56"/>
  <c r="D71" i="56"/>
  <c r="E71" i="56"/>
  <c r="F71" i="56"/>
  <c r="D72" i="56"/>
  <c r="E72" i="56"/>
  <c r="F72" i="56"/>
  <c r="D73" i="56"/>
  <c r="E73" i="56"/>
  <c r="F73" i="56"/>
  <c r="D74" i="56"/>
  <c r="E74" i="56"/>
  <c r="F74" i="56"/>
  <c r="D75" i="56"/>
  <c r="E75" i="56"/>
  <c r="F75" i="56"/>
  <c r="D76" i="56"/>
  <c r="E76" i="56"/>
  <c r="F76" i="56"/>
  <c r="D77" i="56"/>
  <c r="E77" i="56"/>
  <c r="F77" i="56"/>
  <c r="D78" i="56"/>
  <c r="E78" i="56"/>
  <c r="F78" i="56"/>
  <c r="D79" i="56"/>
  <c r="E79" i="56"/>
  <c r="F79" i="56"/>
  <c r="D80" i="56"/>
  <c r="E80" i="56"/>
  <c r="F80" i="56"/>
  <c r="D81" i="56"/>
  <c r="E81" i="56"/>
  <c r="F81" i="56"/>
  <c r="D82" i="56"/>
  <c r="E82" i="56"/>
  <c r="F82" i="56"/>
  <c r="D83" i="56"/>
  <c r="E83" i="56"/>
  <c r="F83" i="56"/>
  <c r="D84" i="56"/>
  <c r="E84" i="56"/>
  <c r="F84" i="56"/>
  <c r="D85" i="56"/>
  <c r="E85" i="56"/>
  <c r="F85" i="56"/>
  <c r="D86" i="56"/>
  <c r="E86" i="56"/>
  <c r="F86" i="56"/>
  <c r="D87" i="56"/>
  <c r="E87" i="56"/>
  <c r="F87" i="56"/>
  <c r="D88" i="56"/>
  <c r="E88" i="56"/>
  <c r="F88" i="56"/>
  <c r="D89" i="56"/>
  <c r="E89" i="56"/>
  <c r="F89" i="56"/>
  <c r="D90" i="56"/>
  <c r="E90" i="56"/>
  <c r="F90" i="56"/>
  <c r="D91" i="56"/>
  <c r="E91" i="56"/>
  <c r="F91" i="56"/>
  <c r="D92" i="56"/>
  <c r="E92" i="56"/>
  <c r="F92" i="56"/>
  <c r="D93" i="56"/>
  <c r="E93" i="56"/>
  <c r="F93" i="56"/>
  <c r="D94" i="56"/>
  <c r="E94" i="56"/>
  <c r="F94" i="56"/>
  <c r="D95" i="56"/>
  <c r="E95" i="56"/>
  <c r="F95" i="56"/>
  <c r="D96" i="56"/>
  <c r="E96" i="56"/>
  <c r="F96" i="56"/>
  <c r="D97" i="56"/>
  <c r="E97" i="56"/>
  <c r="F97" i="56"/>
  <c r="D98" i="56"/>
  <c r="E98" i="56"/>
  <c r="F98" i="56"/>
  <c r="D99" i="56"/>
  <c r="E99" i="56"/>
  <c r="F99" i="56"/>
  <c r="D100" i="56"/>
  <c r="E100" i="56"/>
  <c r="F100" i="56"/>
  <c r="D101" i="56"/>
  <c r="E101" i="56"/>
  <c r="F101" i="56"/>
  <c r="D102" i="56"/>
  <c r="E102" i="56"/>
  <c r="F102" i="56"/>
  <c r="D103" i="56"/>
  <c r="E103" i="56"/>
  <c r="F103" i="56"/>
  <c r="D104" i="56"/>
  <c r="E104" i="56"/>
  <c r="F104" i="56"/>
  <c r="D105" i="56"/>
  <c r="E105" i="56"/>
  <c r="F105" i="56"/>
  <c r="D106" i="56"/>
  <c r="E106" i="56"/>
  <c r="F106" i="56"/>
  <c r="D107" i="56"/>
  <c r="E107" i="56"/>
  <c r="F107" i="56"/>
  <c r="D108" i="56"/>
  <c r="E108" i="56"/>
  <c r="F108" i="56"/>
  <c r="D109" i="56"/>
  <c r="E109" i="56"/>
  <c r="F109" i="56"/>
  <c r="D110" i="56"/>
  <c r="E110" i="56"/>
  <c r="F110" i="56"/>
  <c r="D111" i="56"/>
  <c r="E111" i="56"/>
  <c r="F111" i="56"/>
  <c r="D112" i="56"/>
  <c r="E112" i="56"/>
  <c r="F112" i="56"/>
  <c r="D113" i="56"/>
  <c r="E113" i="56"/>
  <c r="F113" i="56"/>
  <c r="D114" i="56"/>
  <c r="E114" i="56"/>
  <c r="F114" i="56"/>
  <c r="D115" i="56"/>
  <c r="E115" i="56"/>
  <c r="F115" i="56"/>
  <c r="D116" i="56"/>
  <c r="E116" i="56"/>
  <c r="F116" i="56"/>
  <c r="D117" i="56"/>
  <c r="E117" i="56"/>
  <c r="F117" i="56"/>
  <c r="D118" i="56"/>
  <c r="E118" i="56"/>
  <c r="F118" i="56"/>
  <c r="D119" i="56"/>
  <c r="E119" i="56"/>
  <c r="F119" i="56"/>
  <c r="D120" i="56"/>
  <c r="E120" i="56"/>
  <c r="F120" i="56"/>
  <c r="D121" i="56"/>
  <c r="E121" i="56"/>
  <c r="F121" i="56"/>
  <c r="D122" i="56"/>
  <c r="E122" i="56"/>
  <c r="F122" i="56"/>
  <c r="D123" i="56"/>
  <c r="E123" i="56"/>
  <c r="F123" i="56"/>
  <c r="D124" i="56"/>
  <c r="E124" i="56"/>
  <c r="F124" i="56"/>
  <c r="D125" i="56"/>
  <c r="E125" i="56"/>
  <c r="F125" i="56"/>
  <c r="D126" i="56"/>
  <c r="E126" i="56"/>
  <c r="F126" i="56"/>
  <c r="D127" i="56"/>
  <c r="E127" i="56"/>
  <c r="F127" i="56"/>
  <c r="D128" i="56"/>
  <c r="E128" i="56"/>
  <c r="F128" i="56"/>
  <c r="D129" i="56"/>
  <c r="E129" i="56"/>
  <c r="F129" i="56"/>
  <c r="D130" i="56"/>
  <c r="E130" i="56"/>
  <c r="F130" i="56"/>
  <c r="D131" i="56"/>
  <c r="E131" i="56"/>
  <c r="F131" i="56"/>
  <c r="D132" i="56"/>
  <c r="E132" i="56"/>
  <c r="F132" i="56"/>
  <c r="D133" i="56"/>
  <c r="E133" i="56"/>
  <c r="F133" i="56"/>
  <c r="D134" i="56"/>
  <c r="E134" i="56"/>
  <c r="F134" i="56"/>
  <c r="D135" i="56"/>
  <c r="E135" i="56"/>
  <c r="F135" i="56"/>
  <c r="D136" i="56"/>
  <c r="E136" i="56"/>
  <c r="F136" i="56"/>
  <c r="D137" i="56"/>
  <c r="E137" i="56"/>
  <c r="F137" i="56"/>
  <c r="D138" i="56"/>
  <c r="E138" i="56"/>
  <c r="F138" i="56"/>
  <c r="D139" i="56"/>
  <c r="E139" i="56"/>
  <c r="F139" i="56"/>
  <c r="D140" i="56"/>
  <c r="E140" i="56"/>
  <c r="F140" i="56"/>
  <c r="D141" i="56"/>
  <c r="E141" i="56"/>
  <c r="F141" i="56"/>
  <c r="D142" i="56"/>
  <c r="E142" i="56"/>
  <c r="F142" i="56"/>
  <c r="D143" i="56"/>
  <c r="E143" i="56"/>
  <c r="F143" i="56"/>
  <c r="D144" i="56"/>
  <c r="E144" i="56"/>
  <c r="F144" i="56"/>
  <c r="D145" i="56"/>
  <c r="E145" i="56"/>
  <c r="F145" i="56"/>
  <c r="D146" i="56"/>
  <c r="E146" i="56"/>
  <c r="F146" i="56"/>
  <c r="D147" i="56"/>
  <c r="E147" i="56"/>
  <c r="F147" i="56"/>
  <c r="D148" i="56"/>
  <c r="E148" i="56"/>
  <c r="F148" i="56"/>
  <c r="D149" i="56"/>
  <c r="E149" i="56"/>
  <c r="F149" i="56"/>
  <c r="D150" i="56"/>
  <c r="E150" i="56"/>
  <c r="F150" i="56"/>
  <c r="D151" i="56"/>
  <c r="E151" i="56"/>
  <c r="F151" i="56"/>
  <c r="D152" i="56"/>
  <c r="E152" i="56"/>
  <c r="F152" i="56"/>
  <c r="D153" i="56"/>
  <c r="E153" i="56"/>
  <c r="F153" i="56"/>
  <c r="D154" i="56"/>
  <c r="E154" i="56"/>
  <c r="F154" i="56"/>
  <c r="D155" i="56"/>
  <c r="E155" i="56"/>
  <c r="F155" i="56"/>
  <c r="D156" i="56"/>
  <c r="E156" i="56"/>
  <c r="F156" i="56"/>
  <c r="D157" i="56"/>
  <c r="E157" i="56"/>
  <c r="F157" i="56"/>
  <c r="D158" i="56"/>
  <c r="E158" i="56"/>
  <c r="F158" i="56"/>
  <c r="D159" i="56"/>
  <c r="E159" i="56"/>
  <c r="F159" i="56"/>
  <c r="D160" i="56"/>
  <c r="E160" i="56"/>
  <c r="F160" i="56"/>
  <c r="D161" i="56"/>
  <c r="E161" i="56"/>
  <c r="F161" i="56"/>
  <c r="D162" i="56"/>
  <c r="E162" i="56"/>
  <c r="F162" i="56"/>
  <c r="D163" i="56"/>
  <c r="E163" i="56"/>
  <c r="F163" i="56"/>
  <c r="D164" i="56"/>
  <c r="E164" i="56"/>
  <c r="F164" i="56"/>
  <c r="D165" i="56"/>
  <c r="E165" i="56"/>
  <c r="F165" i="56"/>
  <c r="D166" i="56"/>
  <c r="E166" i="56"/>
  <c r="F166" i="56"/>
  <c r="D167" i="56"/>
  <c r="E167" i="56"/>
  <c r="F167" i="56"/>
  <c r="D168" i="56"/>
  <c r="E168" i="56"/>
  <c r="F168" i="56"/>
  <c r="D169" i="56"/>
  <c r="E169" i="56"/>
  <c r="F169" i="56"/>
  <c r="D170" i="56"/>
  <c r="E170" i="56"/>
  <c r="F170" i="56"/>
  <c r="D171" i="56"/>
  <c r="E171" i="56"/>
  <c r="F171" i="56"/>
  <c r="D172" i="56"/>
  <c r="E172" i="56"/>
  <c r="F172" i="56"/>
  <c r="D173" i="56"/>
  <c r="E173" i="56"/>
  <c r="F173" i="56"/>
  <c r="D174" i="56"/>
  <c r="E174" i="56"/>
  <c r="F174" i="56"/>
  <c r="D175" i="56"/>
  <c r="E175" i="56"/>
  <c r="F175" i="56"/>
  <c r="D176" i="56"/>
  <c r="E176" i="56"/>
  <c r="F176" i="56"/>
  <c r="D177" i="56"/>
  <c r="E177" i="56"/>
  <c r="F177" i="56"/>
  <c r="D178" i="56"/>
  <c r="E178" i="56"/>
  <c r="F178" i="56"/>
  <c r="D179" i="56"/>
  <c r="E179" i="56"/>
  <c r="F179" i="56"/>
  <c r="D180" i="56"/>
  <c r="E180" i="56"/>
  <c r="F180" i="56"/>
  <c r="D181" i="56"/>
  <c r="E181" i="56"/>
  <c r="F181" i="56"/>
  <c r="D182" i="56"/>
  <c r="E182" i="56"/>
  <c r="F182" i="56"/>
  <c r="D183" i="56"/>
  <c r="E183" i="56"/>
  <c r="F183" i="56"/>
  <c r="D184" i="56"/>
  <c r="E184" i="56"/>
  <c r="F184" i="56"/>
  <c r="D185" i="56"/>
  <c r="E185" i="56"/>
  <c r="F185" i="56"/>
  <c r="D186" i="56"/>
  <c r="E186" i="56"/>
  <c r="F186" i="56"/>
  <c r="D187" i="56"/>
  <c r="E187" i="56"/>
  <c r="F187" i="56"/>
  <c r="D188" i="56"/>
  <c r="E188" i="56"/>
  <c r="F188" i="56"/>
  <c r="D189" i="56"/>
  <c r="E189" i="56"/>
  <c r="F189" i="56"/>
  <c r="D190" i="56"/>
  <c r="E190" i="56"/>
  <c r="F190" i="56"/>
  <c r="D191" i="56"/>
  <c r="E191" i="56"/>
  <c r="F191" i="56"/>
  <c r="D192" i="56"/>
  <c r="E192" i="56"/>
  <c r="F192" i="56"/>
  <c r="D193" i="56"/>
  <c r="E193" i="56"/>
  <c r="F193" i="56"/>
  <c r="D194" i="56"/>
  <c r="E194" i="56"/>
  <c r="F194" i="56"/>
  <c r="D195" i="56"/>
  <c r="E195" i="56"/>
  <c r="F195" i="56"/>
  <c r="D196" i="56"/>
  <c r="E196" i="56"/>
  <c r="F196" i="56"/>
  <c r="D197" i="56"/>
  <c r="E197" i="56"/>
  <c r="F197" i="56"/>
  <c r="D198" i="56"/>
  <c r="E198" i="56"/>
  <c r="F198" i="56"/>
  <c r="D199" i="56"/>
  <c r="E199" i="56"/>
  <c r="F199" i="56"/>
  <c r="D200" i="56"/>
  <c r="E200" i="56"/>
  <c r="F200" i="56"/>
  <c r="D201" i="56"/>
  <c r="E201" i="56"/>
  <c r="F201" i="56"/>
  <c r="D202" i="56"/>
  <c r="E202" i="56"/>
  <c r="F202" i="56"/>
  <c r="D203" i="56"/>
  <c r="E203" i="56"/>
  <c r="F203" i="56"/>
  <c r="D204" i="56"/>
  <c r="E204" i="56"/>
  <c r="F204" i="56"/>
  <c r="D205" i="56"/>
  <c r="E205" i="56"/>
  <c r="F205" i="56"/>
  <c r="D206" i="56"/>
  <c r="E206" i="56"/>
  <c r="F206" i="56"/>
  <c r="D207" i="56"/>
  <c r="E207" i="56"/>
  <c r="F207" i="56"/>
  <c r="D208" i="56"/>
  <c r="E208" i="56"/>
  <c r="F208" i="56"/>
  <c r="D209" i="56"/>
  <c r="E209" i="56"/>
  <c r="F209" i="56"/>
  <c r="D210" i="56"/>
  <c r="E210" i="56"/>
  <c r="F210" i="56"/>
  <c r="D211" i="56"/>
  <c r="E211" i="56"/>
  <c r="F211" i="56"/>
  <c r="D212" i="56"/>
  <c r="E212" i="56"/>
  <c r="F212" i="56"/>
  <c r="D213" i="56"/>
  <c r="E213" i="56"/>
  <c r="F213" i="56"/>
  <c r="D214" i="56"/>
  <c r="E214" i="56"/>
  <c r="F214" i="56"/>
  <c r="D215" i="56"/>
  <c r="E215" i="56"/>
  <c r="F215" i="56"/>
  <c r="D216" i="56"/>
  <c r="E216" i="56"/>
  <c r="F216" i="56"/>
  <c r="D217" i="56"/>
  <c r="E217" i="56"/>
  <c r="F217" i="56"/>
  <c r="D218" i="56"/>
  <c r="E218" i="56"/>
  <c r="F218" i="56"/>
  <c r="D219" i="56"/>
  <c r="E219" i="56"/>
  <c r="F219" i="56"/>
  <c r="D220" i="56"/>
  <c r="E220" i="56"/>
  <c r="F220" i="56"/>
  <c r="D221" i="56"/>
  <c r="E221" i="56"/>
  <c r="F221" i="56"/>
  <c r="D222" i="56"/>
  <c r="E222" i="56"/>
  <c r="F222" i="56"/>
  <c r="D223" i="56"/>
  <c r="E223" i="56"/>
  <c r="F223" i="56"/>
  <c r="D224" i="56"/>
  <c r="E224" i="56"/>
  <c r="F224" i="56"/>
  <c r="D225" i="56"/>
  <c r="E225" i="56"/>
  <c r="F225" i="56"/>
  <c r="D226" i="56"/>
  <c r="E226" i="56"/>
  <c r="F226" i="56"/>
  <c r="D227" i="56"/>
  <c r="E227" i="56"/>
  <c r="F227" i="56"/>
  <c r="D228" i="56"/>
  <c r="E228" i="56"/>
  <c r="F228" i="56"/>
  <c r="D229" i="56"/>
  <c r="E229" i="56"/>
  <c r="F229" i="56"/>
  <c r="D230" i="56"/>
  <c r="E230" i="56"/>
  <c r="F230" i="56"/>
  <c r="D231" i="56"/>
  <c r="E231" i="56"/>
  <c r="F231" i="56"/>
  <c r="D232" i="56"/>
  <c r="E232" i="56"/>
  <c r="F232" i="56"/>
  <c r="D233" i="56"/>
  <c r="E233" i="56"/>
  <c r="F233" i="56"/>
  <c r="D234" i="56"/>
  <c r="E234" i="56"/>
  <c r="F234" i="56"/>
  <c r="D235" i="56"/>
  <c r="E235" i="56"/>
  <c r="F235" i="56"/>
  <c r="D236" i="56"/>
  <c r="E236" i="56"/>
  <c r="F236" i="56"/>
  <c r="D237" i="56"/>
  <c r="E237" i="56"/>
  <c r="F237" i="56"/>
  <c r="D238" i="56"/>
  <c r="E238" i="56"/>
  <c r="F238" i="56"/>
  <c r="D239" i="56"/>
  <c r="E239" i="56"/>
  <c r="F239" i="56"/>
  <c r="D240" i="56"/>
  <c r="E240" i="56"/>
  <c r="F240" i="56"/>
  <c r="D241" i="56"/>
  <c r="E241" i="56"/>
  <c r="F241" i="56"/>
  <c r="D242" i="56"/>
  <c r="E242" i="56"/>
  <c r="F242" i="56"/>
  <c r="D243" i="56"/>
  <c r="E243" i="56"/>
  <c r="F243" i="56"/>
  <c r="D244" i="56"/>
  <c r="E244" i="56"/>
  <c r="F244" i="56"/>
  <c r="D245" i="56"/>
  <c r="E245" i="56"/>
  <c r="F245" i="56"/>
  <c r="D246" i="56"/>
  <c r="E246" i="56"/>
  <c r="F246" i="56"/>
  <c r="D247" i="56"/>
  <c r="E247" i="56"/>
  <c r="F247" i="56"/>
  <c r="D248" i="56"/>
  <c r="E248" i="56"/>
  <c r="F248" i="56"/>
  <c r="D249" i="56"/>
  <c r="E249" i="56"/>
  <c r="F249" i="56"/>
  <c r="D250" i="56"/>
  <c r="E250" i="56"/>
  <c r="F250" i="56"/>
  <c r="D251" i="56"/>
  <c r="E251" i="56"/>
  <c r="F251" i="56"/>
  <c r="D252" i="56"/>
  <c r="E252" i="56"/>
  <c r="F252" i="56"/>
  <c r="D253" i="56"/>
  <c r="E253" i="56"/>
  <c r="F253" i="56"/>
  <c r="D254" i="56"/>
  <c r="E254" i="56"/>
  <c r="F254" i="56"/>
  <c r="D255" i="56"/>
  <c r="E255" i="56"/>
  <c r="F255" i="56"/>
  <c r="D256" i="56"/>
  <c r="E256" i="56"/>
  <c r="F256" i="56"/>
  <c r="D257" i="56"/>
  <c r="E257" i="56"/>
  <c r="F257" i="56"/>
  <c r="D258" i="56"/>
  <c r="E258" i="56"/>
  <c r="F258" i="56"/>
  <c r="D259" i="56"/>
  <c r="E259" i="56"/>
  <c r="F259" i="56"/>
  <c r="D260" i="56"/>
  <c r="E260" i="56"/>
  <c r="F260" i="56"/>
  <c r="D261" i="56"/>
  <c r="E261" i="56"/>
  <c r="F261" i="56"/>
  <c r="D262" i="56"/>
  <c r="E262" i="56"/>
  <c r="F262" i="56"/>
  <c r="D263" i="56"/>
  <c r="E263" i="56"/>
  <c r="F263" i="56"/>
  <c r="D264" i="56"/>
  <c r="E264" i="56"/>
  <c r="F264" i="56"/>
  <c r="D265" i="56"/>
  <c r="E265" i="56"/>
  <c r="F265" i="56"/>
  <c r="D266" i="56"/>
  <c r="E266" i="56"/>
  <c r="F266" i="56"/>
  <c r="D267" i="56"/>
  <c r="E267" i="56"/>
  <c r="F267" i="56"/>
  <c r="D268" i="56"/>
  <c r="E268" i="56"/>
  <c r="F268" i="56"/>
  <c r="D269" i="56"/>
  <c r="E269" i="56"/>
  <c r="F269" i="56"/>
  <c r="D270" i="56"/>
  <c r="E270" i="56"/>
  <c r="F270" i="56"/>
  <c r="D271" i="56"/>
  <c r="E271" i="56"/>
  <c r="F271" i="56"/>
  <c r="D272" i="56"/>
  <c r="E272" i="56"/>
  <c r="F272" i="56"/>
  <c r="D273" i="56"/>
  <c r="E273" i="56"/>
  <c r="F273" i="56"/>
  <c r="D274" i="56"/>
  <c r="E274" i="56"/>
  <c r="F274" i="56"/>
  <c r="D275" i="56"/>
  <c r="E275" i="56"/>
  <c r="F275" i="56"/>
  <c r="D276" i="56"/>
  <c r="E276" i="56"/>
  <c r="F276" i="56"/>
  <c r="D277" i="56"/>
  <c r="E277" i="56"/>
  <c r="F277" i="56"/>
  <c r="D278" i="56"/>
  <c r="E278" i="56"/>
  <c r="F278" i="56"/>
  <c r="D279" i="56"/>
  <c r="E279" i="56"/>
  <c r="F279" i="56"/>
  <c r="D280" i="56"/>
  <c r="E280" i="56"/>
  <c r="F280" i="56"/>
  <c r="D281" i="56"/>
  <c r="E281" i="56"/>
  <c r="F281" i="56"/>
  <c r="D282" i="56"/>
  <c r="E282" i="56"/>
  <c r="F282" i="56"/>
  <c r="D283" i="56"/>
  <c r="E283" i="56"/>
  <c r="F283" i="56"/>
  <c r="D284" i="56"/>
  <c r="E284" i="56"/>
  <c r="F284" i="56"/>
  <c r="D285" i="56"/>
  <c r="E285" i="56"/>
  <c r="F285" i="56"/>
  <c r="D286" i="56"/>
  <c r="E286" i="56"/>
  <c r="F286" i="56"/>
  <c r="D287" i="56"/>
  <c r="E287" i="56"/>
  <c r="F287" i="56"/>
  <c r="D288" i="56"/>
  <c r="E288" i="56"/>
  <c r="F288" i="56"/>
  <c r="D289" i="56"/>
  <c r="E289" i="56"/>
  <c r="F289" i="56"/>
  <c r="D290" i="56"/>
  <c r="E290" i="56"/>
  <c r="F290" i="56"/>
  <c r="D291" i="56"/>
  <c r="E291" i="56"/>
  <c r="F291" i="56"/>
  <c r="D292" i="56"/>
  <c r="E292" i="56"/>
  <c r="F292" i="56"/>
  <c r="D293" i="56"/>
  <c r="E293" i="56"/>
  <c r="F293" i="56"/>
  <c r="D294" i="56"/>
  <c r="E294" i="56"/>
  <c r="F294" i="56"/>
  <c r="D295" i="56"/>
  <c r="E295" i="56"/>
  <c r="F295" i="56"/>
  <c r="D296" i="56"/>
  <c r="E296" i="56"/>
  <c r="F296" i="56"/>
  <c r="D297" i="56"/>
  <c r="E297" i="56"/>
  <c r="F297" i="56"/>
  <c r="D298" i="56"/>
  <c r="E298" i="56"/>
  <c r="F298" i="56"/>
  <c r="D299" i="56"/>
  <c r="E299" i="56"/>
  <c r="F299" i="56"/>
  <c r="D300" i="56"/>
  <c r="E300" i="56"/>
  <c r="F300" i="56"/>
  <c r="D301" i="56"/>
  <c r="E301" i="56"/>
  <c r="F301" i="56"/>
  <c r="D302" i="56"/>
  <c r="E302" i="56"/>
  <c r="F302" i="56"/>
  <c r="D303" i="56"/>
  <c r="E303" i="56"/>
  <c r="F303" i="56"/>
  <c r="D304" i="56"/>
  <c r="E304" i="56"/>
  <c r="F304" i="56"/>
  <c r="D305" i="56"/>
  <c r="E305" i="56"/>
  <c r="F305" i="56"/>
  <c r="D306" i="56"/>
  <c r="E306" i="56"/>
  <c r="F306" i="56"/>
  <c r="D307" i="56"/>
  <c r="E307" i="56"/>
  <c r="F307" i="56"/>
  <c r="D308" i="56"/>
  <c r="E308" i="56"/>
  <c r="F308" i="56"/>
  <c r="D309" i="56"/>
  <c r="E309" i="56"/>
  <c r="F309" i="56"/>
  <c r="D310" i="56"/>
  <c r="E310" i="56"/>
  <c r="F310" i="56"/>
  <c r="D311" i="56"/>
  <c r="E311" i="56"/>
  <c r="F311" i="56"/>
  <c r="D312" i="56"/>
  <c r="E312" i="56"/>
  <c r="F312" i="56"/>
  <c r="D313" i="56"/>
  <c r="E313" i="56"/>
  <c r="F313" i="56"/>
  <c r="D314" i="56"/>
  <c r="E314" i="56"/>
  <c r="F314" i="56"/>
  <c r="D315" i="56"/>
  <c r="E315" i="56"/>
  <c r="F315" i="56"/>
  <c r="D316" i="56"/>
  <c r="E316" i="56"/>
  <c r="F316" i="56"/>
  <c r="D317" i="56"/>
  <c r="E317" i="56"/>
  <c r="F317" i="56"/>
  <c r="D318" i="56"/>
  <c r="E318" i="56"/>
  <c r="F318" i="56"/>
  <c r="D319" i="56"/>
  <c r="E319" i="56"/>
  <c r="F319" i="56"/>
  <c r="D320" i="56"/>
  <c r="E320" i="56"/>
  <c r="F320" i="56"/>
  <c r="D321" i="56"/>
  <c r="E321" i="56"/>
  <c r="F321" i="56"/>
  <c r="D322" i="56"/>
  <c r="E322" i="56"/>
  <c r="F322" i="56"/>
  <c r="D323" i="56"/>
  <c r="E323" i="56"/>
  <c r="F323" i="56"/>
  <c r="D324" i="56"/>
  <c r="E324" i="56"/>
  <c r="F324" i="56"/>
  <c r="D325" i="56"/>
  <c r="E325" i="56"/>
  <c r="F325" i="56"/>
  <c r="D326" i="56"/>
  <c r="E326" i="56"/>
  <c r="F326" i="56"/>
  <c r="D327" i="56"/>
  <c r="E327" i="56"/>
  <c r="F327" i="56"/>
  <c r="D328" i="56"/>
  <c r="E328" i="56"/>
  <c r="F328" i="56"/>
  <c r="D329" i="56"/>
  <c r="E329" i="56"/>
  <c r="F329" i="56"/>
  <c r="D330" i="56"/>
  <c r="E330" i="56"/>
  <c r="F330" i="56"/>
  <c r="D331" i="56"/>
  <c r="E331" i="56"/>
  <c r="F331" i="56"/>
  <c r="D332" i="56"/>
  <c r="E332" i="56"/>
  <c r="F332" i="56"/>
  <c r="D333" i="56"/>
  <c r="E333" i="56"/>
  <c r="F333" i="56"/>
  <c r="D334" i="56"/>
  <c r="E334" i="56"/>
  <c r="F334" i="56"/>
  <c r="D335" i="56"/>
  <c r="E335" i="56"/>
  <c r="F335" i="56"/>
  <c r="D336" i="56"/>
  <c r="E336" i="56"/>
  <c r="F336" i="56"/>
  <c r="D337" i="56"/>
  <c r="E337" i="56"/>
  <c r="F337" i="56"/>
  <c r="D338" i="56"/>
  <c r="E338" i="56"/>
  <c r="F338" i="56"/>
  <c r="D339" i="56"/>
  <c r="E339" i="56"/>
  <c r="F339" i="56"/>
  <c r="D340" i="56"/>
  <c r="E340" i="56"/>
  <c r="F340" i="56"/>
  <c r="D341" i="56"/>
  <c r="E341" i="56"/>
  <c r="F341" i="56"/>
  <c r="D342" i="56"/>
  <c r="E342" i="56"/>
  <c r="F342" i="56"/>
  <c r="D343" i="56"/>
  <c r="E343" i="56"/>
  <c r="F343" i="56"/>
  <c r="F10" i="56"/>
  <c r="C10" i="56"/>
  <c r="E10" i="56"/>
  <c r="D10" i="56"/>
</calcChain>
</file>

<file path=xl/sharedStrings.xml><?xml version="1.0" encoding="utf-8"?>
<sst xmlns="http://schemas.openxmlformats.org/spreadsheetml/2006/main" count="9009" uniqueCount="4106">
  <si>
    <t>key</t>
  </si>
  <si>
    <t>主键</t>
  </si>
  <si>
    <t>mName</t>
  </si>
  <si>
    <t>代码</t>
  </si>
  <si>
    <t>mIsPlayerFacing</t>
  </si>
  <si>
    <t>可见性</t>
  </si>
  <si>
    <t>mGameModeName</t>
  </si>
  <si>
    <t>游戏模式</t>
  </si>
  <si>
    <t>mGameMutator</t>
  </si>
  <si>
    <t>子模式</t>
  </si>
  <si>
    <t>AssociatedChampions</t>
  </si>
  <si>
    <t>相关英雄</t>
  </si>
  <si>
    <t>{bd50bdef}</t>
  </si>
  <si>
    <t>指令列表</t>
  </si>
  <si>
    <t>mIsUIAlwaysShown</t>
  </si>
  <si>
    <t>总是呈现</t>
  </si>
  <si>
    <t>Index</t>
    <phoneticPr fontId="2" type="noConversion"/>
  </si>
  <si>
    <t>Key</t>
  </si>
  <si>
    <t>Key</t>
    <phoneticPr fontId="2" type="noConversion"/>
  </si>
  <si>
    <t>Value</t>
    <phoneticPr fontId="2" type="noConversion"/>
  </si>
  <si>
    <t>DirectlyImport?</t>
    <phoneticPr fontId="2" type="noConversion"/>
  </si>
  <si>
    <t>OutputOrder</t>
    <phoneticPr fontId="2" type="noConversion"/>
  </si>
  <si>
    <t>√</t>
    <phoneticPr fontId="2" type="noConversion"/>
  </si>
  <si>
    <t>Flexible</t>
    <phoneticPr fontId="2" type="noConversion"/>
  </si>
  <si>
    <t>mScriptCallback</t>
  </si>
  <si>
    <t>调用方法</t>
  </si>
  <si>
    <t>标题键</t>
  </si>
  <si>
    <t>说明键</t>
  </si>
  <si>
    <t>详细信息键</t>
  </si>
  <si>
    <t>快捷键代码</t>
  </si>
  <si>
    <t>可用快捷键代码</t>
  </si>
  <si>
    <t>开关型</t>
  </si>
  <si>
    <t>指令菜单数据类型</t>
  </si>
  <si>
    <t>belonging_cheatset_mName</t>
  </si>
  <si>
    <t>所属指令集代码</t>
  </si>
  <si>
    <t>mModeName</t>
  </si>
  <si>
    <t>模式代号</t>
    <phoneticPr fontId="2" type="noConversion"/>
  </si>
  <si>
    <t>Configs</t>
  </si>
  <si>
    <t>ConfigsClient</t>
  </si>
  <si>
    <t>模式基础信息目录</t>
    <phoneticPr fontId="2" type="noConversion"/>
  </si>
  <si>
    <t>客户端配置目录</t>
    <phoneticPr fontId="2" type="noConversion"/>
  </si>
  <si>
    <t>itemLists</t>
  </si>
  <si>
    <t>装备目录</t>
    <phoneticPr fontId="2" type="noConversion"/>
  </si>
  <si>
    <t>mItemShopData</t>
  </si>
  <si>
    <t>商店数据</t>
    <phoneticPr fontId="2" type="noConversion"/>
  </si>
  <si>
    <t>AdditionalPropertyDataPaths</t>
  </si>
  <si>
    <t>附加说明文件路径</t>
    <phoneticPr fontId="2" type="noConversion"/>
  </si>
  <si>
    <t>AnnouncementsMapping</t>
  </si>
  <si>
    <t>通告映射</t>
    <phoneticPr fontId="2" type="noConversion"/>
  </si>
  <si>
    <t>mRelativeColorization</t>
  </si>
  <si>
    <t>采用相对着色法</t>
    <phoneticPr fontId="2" type="noConversion"/>
  </si>
  <si>
    <t>mCursorConfig</t>
  </si>
  <si>
    <t>指针配置文件</t>
    <phoneticPr fontId="2" type="noConversion"/>
  </si>
  <si>
    <t>mCursorConfigUpdate</t>
  </si>
  <si>
    <t>新版指针配置文件</t>
    <phoneticPr fontId="2" type="noConversion"/>
  </si>
  <si>
    <t>mStatsUiData</t>
  </si>
  <si>
    <t>属性面板数据</t>
    <phoneticPr fontId="2" type="noConversion"/>
  </si>
  <si>
    <t>StartupCheats</t>
  </si>
  <si>
    <t>启动指令</t>
    <phoneticPr fontId="2" type="noConversion"/>
  </si>
  <si>
    <t>mExperienceCurveData</t>
  </si>
  <si>
    <t>经验曲线算法</t>
    <phoneticPr fontId="2" type="noConversion"/>
  </si>
  <si>
    <t>mExperienceModData</t>
  </si>
  <si>
    <t>经验获取调整</t>
    <phoneticPr fontId="2" type="noConversion"/>
  </si>
  <si>
    <t>mDeathTimes</t>
  </si>
  <si>
    <t>复活计时器</t>
    <phoneticPr fontId="2" type="noConversion"/>
  </si>
  <si>
    <t>mMapLocators</t>
  </si>
  <si>
    <t>地图物件坐标</t>
    <phoneticPr fontId="2" type="noConversion"/>
  </si>
  <si>
    <t>mGameModeConstants</t>
  </si>
  <si>
    <t>游戏模式常数</t>
    <phoneticPr fontId="2" type="noConversion"/>
  </si>
  <si>
    <t>mGameplayConfig</t>
  </si>
  <si>
    <t>游戏玩法信息</t>
    <phoneticPr fontId="2" type="noConversion"/>
  </si>
  <si>
    <t>mSurrenderSettings</t>
  </si>
  <si>
    <t>投降设置</t>
    <phoneticPr fontId="2" type="noConversion"/>
  </si>
  <si>
    <t>mAutoItemPurchasingConfig</t>
  </si>
  <si>
    <t>装备构件购买信息</t>
    <phoneticPr fontId="2" type="noConversion"/>
  </si>
  <si>
    <t>DefaultRespawnPoints</t>
  </si>
  <si>
    <t>默认重生位置</t>
    <phoneticPr fontId="2" type="noConversion"/>
  </si>
  <si>
    <t>mChampionIndicatorEnabled</t>
  </si>
  <si>
    <t>英雄指示器可用性</t>
    <phoneticPr fontId="2" type="noConversion"/>
  </si>
  <si>
    <t>JungleRecommendationMapInformation</t>
  </si>
  <si>
    <t>DefaultJunglePathRecommendation</t>
  </si>
  <si>
    <t>默认打野路线</t>
    <phoneticPr fontId="2" type="noConversion"/>
  </si>
  <si>
    <t>mPerkReplacements</t>
  </si>
  <si>
    <t>符文替换信息</t>
    <phoneticPr fontId="2" type="noConversion"/>
  </si>
  <si>
    <t>mChampionLists</t>
  </si>
  <si>
    <t>英雄列表</t>
    <phoneticPr fontId="2" type="noConversion"/>
  </si>
  <si>
    <t>{dc2bc473}</t>
  </si>
  <si>
    <t>模式特定装备目录</t>
    <phoneticPr fontId="2" type="noConversion"/>
  </si>
  <si>
    <t>LevelControllers</t>
  </si>
  <si>
    <t>荣誉等级管理</t>
    <phoneticPr fontId="2" type="noConversion"/>
  </si>
  <si>
    <t>Configs SmartPingData {5aa830e8}</t>
  </si>
  <si>
    <t>Configs SmartPingData {aa8eb438}</t>
  </si>
  <si>
    <t>Configs SmartPingData {1e98bb0e}</t>
  </si>
  <si>
    <t>Configs CharacterQuestListConfig CharacterQuestList</t>
  </si>
  <si>
    <t>Configs CharacterQuestListConfig CharacterQuestDefinitionsList</t>
  </si>
  <si>
    <t>Configs ReciprocityConfig throttleLimit</t>
  </si>
  <si>
    <t>Configs ReciprocityConfig {8e26fcb2}</t>
  </si>
  <si>
    <t>Configs {6b91544a} BlurTextures</t>
  </si>
  <si>
    <t>Configs {6b91544a} UpscaleTextures</t>
  </si>
  <si>
    <t>Configs {6b91544a} {46edf5aa}</t>
  </si>
  <si>
    <t>Configs {6b91544a} VfxSystems</t>
  </si>
  <si>
    <t>Configs {9f30b8a6} BaseGold</t>
  </si>
  <si>
    <t>Configs {9f30b8a6} AssistDurationOverride</t>
  </si>
  <si>
    <t>Configs {9f30b8a6} {11f10a40}</t>
  </si>
  <si>
    <t>Configs {9f30b8a6} {937cc95a}</t>
  </si>
  <si>
    <t>Configs {9f30b8a6} {08c1b120}</t>
  </si>
  <si>
    <t>Configs {9f30b8a6} {1eacb90a}</t>
  </si>
  <si>
    <t>Configs {9f30b8a6} {ce073fe8}</t>
  </si>
  <si>
    <t>Configs {9f30b8a6} {fd43d59f}</t>
  </si>
  <si>
    <t>Configs {9f30b8a6} {3cf326fa}</t>
  </si>
  <si>
    <t>Configs {9f30b8a6} {907442e7}</t>
  </si>
  <si>
    <t>Configs {9f30b8a6} {fe1b406e}</t>
  </si>
  <si>
    <t>Configs {9f30b8a6} {d1f9fb6a}</t>
  </si>
  <si>
    <t>Configs {9f30b8a6} {54ccd262}</t>
  </si>
  <si>
    <t>Configs {9f30b8a6} {c29d06b9}</t>
  </si>
  <si>
    <t>Configs {9f30b8a6} {fa93507d}</t>
  </si>
  <si>
    <t>Configs {9f30b8a6} {ec211346}</t>
  </si>
  <si>
    <t>Configs {9f30b8a6} {7c29d4b9}</t>
  </si>
  <si>
    <t>Configs {9f30b8a6} {40b0d0ff}</t>
  </si>
  <si>
    <t>Configs {9f30b8a6} {a7e2cc37}</t>
  </si>
  <si>
    <t>Configs {9f30b8a6} {a966473c}</t>
  </si>
  <si>
    <t>Configs {9f30b8a6} ObjectiveBountyConfig</t>
  </si>
  <si>
    <t>Configs {9f30b8a6} NegativeBountyConfig</t>
  </si>
  <si>
    <t>Configs {9f30b8a6} {4e0d7b75}</t>
  </si>
  <si>
    <t>Configs {9f30b8a6} FirstBloodBonus</t>
  </si>
  <si>
    <t>Configs {1ff0e246} {5ba4ad0f}</t>
  </si>
  <si>
    <t>Configs {1ff0e246} {960dcbff}</t>
  </si>
  <si>
    <t>Configs {1ff0e246} {e999961a}</t>
  </si>
  <si>
    <t>Configs {1ff0e246} {f39f8571}</t>
  </si>
  <si>
    <t>Configs {1ff0e246} {d1e56ce4}</t>
  </si>
  <si>
    <t>Configs {1ff0e246} {f34f5793}</t>
  </si>
  <si>
    <t>Configs {90f7282b} {116cb40d}</t>
  </si>
  <si>
    <t>Configs {4a0e85bf} {38ad90f3}</t>
  </si>
  <si>
    <t>Configs {4a0e85bf} {bc94aba4}</t>
  </si>
  <si>
    <t>Configs {92309121} {8eb174a9}</t>
  </si>
  <si>
    <t>Configs {92309121} {9c8d113e}</t>
  </si>
  <si>
    <t>Configs {92309121} {17659fc6}</t>
  </si>
  <si>
    <t>Configs {92309121} {20fc97e7}</t>
  </si>
  <si>
    <t>Configs {92309121} {83f73f14}</t>
  </si>
  <si>
    <t>Configs {92309121} {8fcc8a74}</t>
  </si>
  <si>
    <t>Configs {92309121} {30b50544}</t>
  </si>
  <si>
    <t>Configs {92309121} {bc9ba03a}</t>
  </si>
  <si>
    <t>Configs {92309121} {4fb25d9f}</t>
  </si>
  <si>
    <t>Configs {92309121} {4721facd}</t>
  </si>
  <si>
    <t>Configs {92309121} {02253423}</t>
  </si>
  <si>
    <t>Configs {92309121} {51274048}</t>
  </si>
  <si>
    <t>Configs {92309121} {52d1e5c3}</t>
  </si>
  <si>
    <t>Configs {92309121} {433be97f}</t>
  </si>
  <si>
    <t>Configs {92309121} {6df5dc15}</t>
  </si>
  <si>
    <t>Configs {92309121} {d7396d73}</t>
  </si>
  <si>
    <t>Configs {92309121} {1e88b9d4}</t>
  </si>
  <si>
    <t>Configs {5a92b195} {68d95a00}</t>
  </si>
  <si>
    <t>Configs {5a92b195} {911d1120}</t>
  </si>
  <si>
    <t>Configs {5858e503} {8a68bc86}</t>
  </si>
  <si>
    <t>Configs {5858e503} EventLists</t>
  </si>
  <si>
    <t>Configs {9a722730} {146b3900}</t>
  </si>
  <si>
    <t>ConfigsClient {60e2ec74} LoadScreenTipConfiguration</t>
  </si>
  <si>
    <t>ConfigsClient {60e2ec74} LoadingScreenBackground</t>
  </si>
  <si>
    <t>ConfigsClient {60e2ec74} MutatorControlledLoadingScreenBackgrounds</t>
  </si>
  <si>
    <t>ConfigsClient ScoreboardGameModeConfig ScoreboardTeamScoreTypes</t>
  </si>
  <si>
    <t>ConfigsClient ScoreboardGameModeConfig {c72e2257}</t>
  </si>
  <si>
    <t>ConfigsClient ScoreboardGameModeConfig {7ed80272}</t>
  </si>
  <si>
    <t>ConfigsClient {c3a44766} {a86fc2ef}</t>
  </si>
  <si>
    <t>ConfigsClient {c3a44766} {95823356}</t>
  </si>
  <si>
    <t>ConfigsClient {c3a44766} {22728a51}</t>
  </si>
  <si>
    <t>ConfigsClient {c3a44766} {ed23ad91}</t>
  </si>
  <si>
    <t>ConfigsClient {c3a44766} {eb6c72dd}</t>
  </si>
  <si>
    <t>ConfigsClient {c3a44766} {44735f30}</t>
  </si>
  <si>
    <t>ConfigsClient {e348122d} {f2c97a22}</t>
  </si>
  <si>
    <t>ConfigsClient {e348122d} {5c333500}</t>
  </si>
  <si>
    <t>itemLists GameModeItemList mItems</t>
  </si>
  <si>
    <t>mItemShopData ItemShopGameModeData RecOverrideSmiteStartingItems</t>
  </si>
  <si>
    <t>mItemShopData ItemShopGameModeData PurchasedItemExclusionItems</t>
  </si>
  <si>
    <t>mItemShopData ItemShopGameModeData CompletedItems</t>
  </si>
  <si>
    <t>mItemShopData ItemShopGameModeData RecFallbackMapId</t>
  </si>
  <si>
    <t>mItemShopData ItemShopGameModeData RecFallbackModeName</t>
  </si>
  <si>
    <t>mItemShopData ItemShopGameModeData ConsumablesQuickBuyData</t>
  </si>
  <si>
    <t>mItemShopData ItemShopGameModeData BootsQuickBuyData</t>
  </si>
  <si>
    <t>mItemShopData ItemShopGameModeData RecItemsSwaps</t>
  </si>
  <si>
    <t>mItemShopData ItemShopGameModeData AllItemGroupDefinitionsOverride</t>
  </si>
  <si>
    <t>AnnouncementsMapping AnnouncementMap ParentList</t>
  </si>
  <si>
    <t>AnnouncementsMapping AnnouncementMap SpectatorOffsetRegion</t>
  </si>
  <si>
    <t>AnnouncementsMapping AnnouncementMap DeathRecapOffsetRegion</t>
  </si>
  <si>
    <t>AnnouncementsMapping AnnouncementMap Announcements</t>
  </si>
  <si>
    <t>mStatsUiData GlobalStatsUIData mStatUIData</t>
  </si>
  <si>
    <t>mStatsUiData GlobalStatsUIData BaseOutputIconModifier</t>
  </si>
  <si>
    <t>mStatsUiData GlobalStatsUIData BonusOutputIconModifier</t>
  </si>
  <si>
    <t>mStatsUiData GlobalStatsUIData mNumberStyle</t>
  </si>
  <si>
    <t>mStatsUiData GlobalStatsUIData mNumberStylePercent</t>
  </si>
  <si>
    <t>mStatsUiData GlobalStatsUIData mNumberStyleBonus</t>
  </si>
  <si>
    <t>mStatsUiData GlobalStatsUIData mNumberStyleBonusPercent</t>
  </si>
  <si>
    <t>mStatsUiData GlobalStatsUIData FormulaPartStyleBonus</t>
  </si>
  <si>
    <t>mStatsUiData GlobalStatsUIData FormulaPartStyleBonusPercent</t>
  </si>
  <si>
    <t>mStatsUiData GlobalStatsUIData FormulaPartStyle</t>
  </si>
  <si>
    <t>mStatsUiData GlobalStatsUIData FormulaPartStylePercent</t>
  </si>
  <si>
    <t>mStatsUiData GlobalStatsUIData FormulaPartRangeStyleBonus</t>
  </si>
  <si>
    <t>mStatsUiData GlobalStatsUIData FormulaPartRangeStyleBonusPercent</t>
  </si>
  <si>
    <t>mStatsUiData GlobalStatsUIData FormulaPartRangeStyle</t>
  </si>
  <si>
    <t>mStatsUiData GlobalStatsUIData FormulaPartRangeStylePercent</t>
  </si>
  <si>
    <t>mStatsUiData GlobalStatsUIData mNumberStyleTotalAndCoefficient</t>
  </si>
  <si>
    <t>mStatsUiData GlobalStatsUIData mNumberStyleTotalAndCoefficientPercent</t>
  </si>
  <si>
    <t>mStatsUiData GlobalStatsUIData NumberStyleTotalAndScalingIcons</t>
  </si>
  <si>
    <t>mStatsUiData GlobalStatsUIData NumberStyleTotalAndFormula</t>
  </si>
  <si>
    <t>mStatsUiData GlobalStatsUIData mManaIconKey</t>
  </si>
  <si>
    <t>mStatsUiData GlobalStatsUIData mManaScalingTagKey</t>
  </si>
  <si>
    <t>mStatsUiData GlobalStatsUIData mCharLevelScalingTagKey</t>
  </si>
  <si>
    <t>mStatsUiData GlobalStatsUIData CharLevelIconKey</t>
  </si>
  <si>
    <t>mStatsUiData GlobalStatsUIData mTooltipCalculationExpansion</t>
  </si>
  <si>
    <t>mStatsUiData GlobalStatsUIData mExpandedTooltipCalculationExpansion</t>
  </si>
  <si>
    <t>mExperienceCurveData ExperienceCurveData mExperienceRequiredPerLevel</t>
  </si>
  <si>
    <t>mExperienceCurveData ExperienceCurveData mExperienceGrantedForKillPerLevel</t>
  </si>
  <si>
    <t>mExperienceCurveData ExperienceCurveData mExperienceGrantedMultForSharedKillPerLevel</t>
  </si>
  <si>
    <t>mExperienceCurveData ExperienceCurveData LevelDifferenceExperienceMultiplierPerLevel</t>
  </si>
  <si>
    <t>mExperienceCurveData ExperienceCurveData mBaseExperienceMultiplier</t>
  </si>
  <si>
    <t>mExperienceCurveData ExperienceCurveData mMinimumExperienceMultiplier</t>
  </si>
  <si>
    <t>mExperienceModData ExperienceModData mPlayerMinionSplitXp</t>
  </si>
  <si>
    <t>mDeathTimes DeathTimes mTimeDeadPerLevel</t>
  </si>
  <si>
    <t>mDeathTimes DeathTimes mScalingStartTime</t>
  </si>
  <si>
    <t>mDeathTimes DeathTimes mScalingIncrementTime</t>
  </si>
  <si>
    <t>mDeathTimes DeathTimes mScalingPercentIncrease</t>
  </si>
  <si>
    <t>mDeathTimes DeathTimes mScalingPercentCap</t>
  </si>
  <si>
    <t>mDeathTimes DeathTimes mScalingPoints</t>
  </si>
  <si>
    <t>mMapLocators MapLocatorArray locators</t>
  </si>
  <si>
    <t>mGameModeConstants GameModeConstants mGroups</t>
  </si>
  <si>
    <t>mGameplayConfig GameplayConfig mAutoAttackMinPreCastLockoutDeltaTimeSec</t>
  </si>
  <si>
    <t>mGameplayConfig GameplayConfig mAutoAttackMinPostCastLockoutDeltaTimeSec</t>
  </si>
  <si>
    <t>mGameplayConfig GameplayConfig mLethalityPercentGivenAtLevel0</t>
  </si>
  <si>
    <t>mGameplayConfig GameplayConfig mLethalityScalesToLevel</t>
  </si>
  <si>
    <t>mGameplayConfig GameplayConfig mLethalityScalesCapsAtLevel</t>
  </si>
  <si>
    <t>mGameplayConfig GameplayConfig mLethalityRatioFromTarget</t>
  </si>
  <si>
    <t>mGameplayConfig GameplayConfig mLethalityRatioFromAttacker</t>
  </si>
  <si>
    <t>mGameplayConfig GameplayConfig AbilityHasteMax</t>
  </si>
  <si>
    <t>mGameplayConfig GameplayConfig mAdaptiveForceAbilityPowerScale</t>
  </si>
  <si>
    <t>mGameplayConfig GameplayConfig mAdaptiveForceAttackDamageScale</t>
  </si>
  <si>
    <t>mGameplayConfig GameplayConfig mMinionDeathDelay</t>
  </si>
  <si>
    <t>mGameplayConfig GameplayConfig mMinionAutoLeeway</t>
  </si>
  <si>
    <t>mGameplayConfig GameplayConfig mMinionAAHelperLimit</t>
  </si>
  <si>
    <t>mGameplayConfig GameplayConfig mItemSellQueueTime</t>
  </si>
  <si>
    <t>mGameplayConfig GameplayConfig ExtendedVisibilityDuration</t>
  </si>
  <si>
    <t>mGameplayConfig GameplayConfig mCCScoreMultipliers</t>
  </si>
  <si>
    <t>mGameplayConfig GameplayConfig mSummonerSpells</t>
  </si>
  <si>
    <t>mGameplayConfig GameplayConfig mLegacySummonerSpells</t>
  </si>
  <si>
    <t>mGameplayConfig GameplayConfig mBasicAttackCalculation</t>
  </si>
  <si>
    <t>mGameplayConfig GameplayConfig mPerkRootSpellOrigination</t>
  </si>
  <si>
    <t>mGameplayConfig GameplayConfig mItemRootSpellOrigination</t>
  </si>
  <si>
    <t>mSurrenderSettings SurrenderData {4987e889}</t>
  </si>
  <si>
    <t>mSurrenderSettings SurrenderData {d9d17df4}</t>
  </si>
  <si>
    <t>mSurrenderSettings SurrenderData mMinAfkTimeForNoVote</t>
  </si>
  <si>
    <t>mSurrenderSettings SurrenderData FountainDetectionDurationSecs</t>
  </si>
  <si>
    <t>mSurrenderSettings SurrenderData mTypeData</t>
  </si>
  <si>
    <t>mSurrenderSettings SurrenderData TimeInactiveForEarlySurrenderSecs</t>
  </si>
  <si>
    <t>mSurrenderSettings SurrenderData mMinTimeBetweenSurrenders</t>
  </si>
  <si>
    <t>mAutoItemPurchasingConfig GameModeAutoItemPurchasingConfig mMaxPurchaseAttemptsPerSession</t>
  </si>
  <si>
    <t>mAutoItemPurchasingConfig GameModeAutoItemPurchasingConfig mSequentiallyPurchasedRecItemBlockTypes</t>
  </si>
  <si>
    <t>mAutoItemPurchasingConfig GameModeAutoItemPurchasingConfig mRandomlyPurchasedRecItemBlockTypes</t>
  </si>
  <si>
    <t>mAutoItemPurchasingConfig GameModeAutoItemPurchasingConfig mSituationalPurchasedRecItemBlockTypes</t>
  </si>
  <si>
    <t>mAutoItemPurchasingConfig GameModeAutoItemPurchasingConfig mItemGroupToAvoidSellingAndSetCostCeiling</t>
  </si>
  <si>
    <t>DefaultRespawnPoints RespawnPointDataList RespawnPoints</t>
  </si>
  <si>
    <t>通告父级列表引用</t>
    <phoneticPr fontId="2" type="noConversion"/>
  </si>
  <si>
    <t>观战模式偏移区域</t>
    <phoneticPr fontId="2" type="noConversion"/>
  </si>
  <si>
    <t>死亡回放偏移区域</t>
    <phoneticPr fontId="2" type="noConversion"/>
  </si>
  <si>
    <t>通告</t>
    <phoneticPr fontId="2" type="noConversion"/>
  </si>
  <si>
    <t>基础属性</t>
    <phoneticPr fontId="2" type="noConversion"/>
  </si>
  <si>
    <t>基础属性图标修饰语</t>
    <phoneticPr fontId="2" type="noConversion"/>
  </si>
  <si>
    <t>额外属性图标修饰语</t>
    <phoneticPr fontId="2" type="noConversion"/>
  </si>
  <si>
    <t>属性数字格式</t>
    <phoneticPr fontId="2" type="noConversion"/>
  </si>
  <si>
    <t>属性数字百分比格式</t>
    <phoneticPr fontId="2" type="noConversion"/>
  </si>
  <si>
    <t>额外属性数字格式</t>
    <phoneticPr fontId="2" type="noConversion"/>
  </si>
  <si>
    <t>额外属性数字百分比格式</t>
    <phoneticPr fontId="2" type="noConversion"/>
  </si>
  <si>
    <t>公式额外属性范围格式</t>
    <phoneticPr fontId="2" type="noConversion"/>
  </si>
  <si>
    <t>公式额外属性范围百分比格式</t>
    <phoneticPr fontId="2" type="noConversion"/>
  </si>
  <si>
    <t>公式属性范围格式</t>
    <phoneticPr fontId="2" type="noConversion"/>
  </si>
  <si>
    <t>公式属性范围百分比格式</t>
    <phoneticPr fontId="2" type="noConversion"/>
  </si>
  <si>
    <t>法力值图标键</t>
    <phoneticPr fontId="2" type="noConversion"/>
  </si>
  <si>
    <t>额外属性公式格式</t>
    <phoneticPr fontId="2" type="noConversion"/>
  </si>
  <si>
    <t>额外属性百分比公式格式</t>
    <phoneticPr fontId="2" type="noConversion"/>
  </si>
  <si>
    <t>基础公式格式</t>
    <phoneticPr fontId="2" type="noConversion"/>
  </si>
  <si>
    <t>基础百分比属性格式</t>
    <phoneticPr fontId="2" type="noConversion"/>
  </si>
  <si>
    <t>总和与系数数字格式</t>
    <phoneticPr fontId="2" type="noConversion"/>
  </si>
  <si>
    <t>总和与系数百分比格式</t>
    <phoneticPr fontId="2" type="noConversion"/>
  </si>
  <si>
    <t>总和与缩放图标格式</t>
    <phoneticPr fontId="2" type="noConversion"/>
  </si>
  <si>
    <t>总和与公式格式</t>
    <phoneticPr fontId="2" type="noConversion"/>
  </si>
  <si>
    <t>法力值成长标签</t>
    <phoneticPr fontId="2" type="noConversion"/>
  </si>
  <si>
    <t>角色等级成长标签</t>
    <phoneticPr fontId="2" type="noConversion"/>
  </si>
  <si>
    <t>等级图标键</t>
    <phoneticPr fontId="2" type="noConversion"/>
  </si>
  <si>
    <t>说明文本展开级别</t>
    <phoneticPr fontId="2" type="noConversion"/>
  </si>
  <si>
    <t>扩展说明文本展开级别</t>
    <phoneticPr fontId="2" type="noConversion"/>
  </si>
  <si>
    <t>击杀经验</t>
    <phoneticPr fontId="2" type="noConversion"/>
  </si>
  <si>
    <t>升级所需经验</t>
    <phoneticPr fontId="2" type="noConversion"/>
  </si>
  <si>
    <t>共享击杀经验倍率</t>
    <phoneticPr fontId="2" type="noConversion"/>
  </si>
  <si>
    <t>等级差异经验倍率</t>
    <phoneticPr fontId="2" type="noConversion"/>
  </si>
  <si>
    <t>基础经验倍率</t>
    <phoneticPr fontId="2" type="noConversion"/>
  </si>
  <si>
    <t>最小经验倍率</t>
    <phoneticPr fontId="2" type="noConversion"/>
  </si>
  <si>
    <t>小兵经验分配倍率</t>
    <phoneticPr fontId="2" type="noConversion"/>
  </si>
  <si>
    <t>基础复活时间</t>
    <phoneticPr fontId="2" type="noConversion"/>
  </si>
  <si>
    <t>游戏时长产生影响的时间</t>
    <phoneticPr fontId="2" type="noConversion"/>
  </si>
  <si>
    <t>游戏时长缩放间隔</t>
    <phoneticPr fontId="2" type="noConversion"/>
  </si>
  <si>
    <t>游戏时长缩放百分比增量</t>
    <phoneticPr fontId="2" type="noConversion"/>
  </si>
  <si>
    <t>游戏时长缩放复活时间百分比上限</t>
    <phoneticPr fontId="2" type="noConversion"/>
  </si>
  <si>
    <t>游戏时长缩放节点</t>
    <phoneticPr fontId="2" type="noConversion"/>
  </si>
  <si>
    <t>地图物件位置矩阵</t>
    <phoneticPr fontId="2" type="noConversion"/>
  </si>
  <si>
    <t>自动攻击前摇最小锁定时间</t>
    <phoneticPr fontId="2" type="noConversion"/>
  </si>
  <si>
    <t>自动攻击后摇最小锁定时间</t>
    <phoneticPr fontId="2" type="noConversion"/>
  </si>
  <si>
    <t>初始护甲穿透</t>
    <phoneticPr fontId="2" type="noConversion"/>
  </si>
  <si>
    <t>穿甲提升最大等级</t>
    <phoneticPr fontId="2" type="noConversion"/>
  </si>
  <si>
    <t>穿甲计算等级上限</t>
    <phoneticPr fontId="2" type="noConversion"/>
  </si>
  <si>
    <t>来自目标的护甲穿透</t>
    <phoneticPr fontId="2" type="noConversion"/>
  </si>
  <si>
    <t>来自攻击者的护甲穿透</t>
    <phoneticPr fontId="2" type="noConversion"/>
  </si>
  <si>
    <t>技能急速上限</t>
    <phoneticPr fontId="2" type="noConversion"/>
  </si>
  <si>
    <t>适应之力转法术强度比例</t>
    <phoneticPr fontId="2" type="noConversion"/>
  </si>
  <si>
    <t>适应之力转攻击力比例</t>
    <phoneticPr fontId="2" type="noConversion"/>
  </si>
  <si>
    <t>小兵死亡延迟</t>
    <phoneticPr fontId="2" type="noConversion"/>
  </si>
  <si>
    <t>小兵自动攻击容差</t>
    <phoneticPr fontId="2" type="noConversion"/>
  </si>
  <si>
    <t>小兵攻击辅助距离限制</t>
    <phoneticPr fontId="2" type="noConversion"/>
  </si>
  <si>
    <t>装备出售队列时间</t>
    <phoneticPr fontId="2" type="noConversion"/>
  </si>
  <si>
    <t>视野延续时间</t>
    <phoneticPr fontId="2" type="noConversion"/>
  </si>
  <si>
    <t>控制得分计分方式</t>
    <phoneticPr fontId="2" type="noConversion"/>
  </si>
  <si>
    <t>召唤师技能</t>
    <phoneticPr fontId="2" type="noConversion"/>
  </si>
  <si>
    <t>传统召唤师技能</t>
    <phoneticPr fontId="2" type="noConversion"/>
  </si>
  <si>
    <t>普通伤害计算方式</t>
    <phoneticPr fontId="2" type="noConversion"/>
  </si>
  <si>
    <t>符文效果相关文件</t>
    <phoneticPr fontId="2" type="noConversion"/>
  </si>
  <si>
    <t>装备效果相关文件</t>
    <phoneticPr fontId="2" type="noConversion"/>
  </si>
  <si>
    <t>最小投降间隔时间</t>
    <phoneticPr fontId="2" type="noConversion"/>
  </si>
  <si>
    <t>挂机玩家剥夺投票权时间</t>
    <phoneticPr fontId="2" type="noConversion"/>
  </si>
  <si>
    <t>泉水检测持续时间</t>
    <phoneticPr fontId="2" type="noConversion"/>
  </si>
  <si>
    <t>投降具体数据</t>
    <phoneticPr fontId="2" type="noConversion"/>
  </si>
  <si>
    <t>允许提前投降时间</t>
    <phoneticPr fontId="2" type="noConversion"/>
  </si>
  <si>
    <t>允许重开时间</t>
    <phoneticPr fontId="2" type="noConversion"/>
  </si>
  <si>
    <t>自动购买最大尝试次数</t>
    <phoneticPr fontId="2" type="noConversion"/>
  </si>
  <si>
    <t>重生位置</t>
    <phoneticPr fontId="2" type="noConversion"/>
  </si>
  <si>
    <t>英雄彩蛋列表</t>
    <phoneticPr fontId="2" type="noConversion"/>
  </si>
  <si>
    <t>英雄彩蛋定义</t>
    <phoneticPr fontId="2" type="noConversion"/>
  </si>
  <si>
    <t>启用模糊纹理</t>
    <phoneticPr fontId="2" type="noConversion"/>
  </si>
  <si>
    <t>启用放大纹理</t>
    <phoneticPr fontId="2" type="noConversion"/>
  </si>
  <si>
    <t>视觉特效系统</t>
    <phoneticPr fontId="2" type="noConversion"/>
  </si>
  <si>
    <t>额外属性图标修饰语字符串</t>
  </si>
  <si>
    <t>属性数字格式字符串</t>
  </si>
  <si>
    <t>属性数字百分比格式字符串</t>
  </si>
  <si>
    <t>额外属性数字格式字符串</t>
  </si>
  <si>
    <t>额外属性数字百分比格式字符串</t>
  </si>
  <si>
    <t>额外属性公式格式字符串</t>
  </si>
  <si>
    <t>额外属性百分比公式格式字符串</t>
  </si>
  <si>
    <t>基础公式格式字符串</t>
  </si>
  <si>
    <t>基础百分比属性格式字符串</t>
  </si>
  <si>
    <t>公式额外属性范围格式字符串</t>
  </si>
  <si>
    <t>公式额外属性范围百分比格式字符串</t>
  </si>
  <si>
    <t>公式属性范围格式字符串</t>
  </si>
  <si>
    <t>公式属性范围百分比格式字符串</t>
  </si>
  <si>
    <t>总和与系数数字格式字符串</t>
  </si>
  <si>
    <t>总和与系数百分比格式字符串</t>
  </si>
  <si>
    <t>总和与缩放图标格式字符串</t>
  </si>
  <si>
    <t>总和与公式格式字符串</t>
  </si>
  <si>
    <t>mStatsUiData GlobalStatsUIData BaseOutputIconModifier string</t>
  </si>
  <si>
    <t>mStatsUiData GlobalStatsUIData BonusOutputIconModifier string</t>
  </si>
  <si>
    <t>mStatsUiData GlobalStatsUIData mNumberStyle string</t>
  </si>
  <si>
    <t>mStatsUiData GlobalStatsUIData mNumberStylePercent string</t>
  </si>
  <si>
    <t>mStatsUiData GlobalStatsUIData mNumberStyleBonus string</t>
  </si>
  <si>
    <t>mStatsUiData GlobalStatsUIData mNumberStyleBonusPercent string</t>
  </si>
  <si>
    <t>mStatsUiData GlobalStatsUIData FormulaPartStyleBonus string</t>
  </si>
  <si>
    <t>mStatsUiData GlobalStatsUIData FormulaPartStyleBonusPercent string</t>
  </si>
  <si>
    <t>mStatsUiData GlobalStatsUIData FormulaPartStyle string</t>
  </si>
  <si>
    <t>mStatsUiData GlobalStatsUIData FormulaPartStylePercent string</t>
  </si>
  <si>
    <t>mStatsUiData GlobalStatsUIData FormulaPartRangeStyleBonus string</t>
  </si>
  <si>
    <t>mStatsUiData GlobalStatsUIData FormulaPartRangeStyleBonusPercent string</t>
  </si>
  <si>
    <t>mStatsUiData GlobalStatsUIData FormulaPartRangeStyle string</t>
  </si>
  <si>
    <t>mStatsUiData GlobalStatsUIData FormulaPartRangeStylePercent string</t>
  </si>
  <si>
    <t>mStatsUiData GlobalStatsUIData mNumberStyleTotalAndCoefficient string</t>
  </si>
  <si>
    <t>mStatsUiData GlobalStatsUIData mNumberStyleTotalAndCoefficientPercent string</t>
  </si>
  <si>
    <t>mStatsUiData GlobalStatsUIData NumberStyleTotalAndScalingIcons string</t>
  </si>
  <si>
    <t>mStatsUiData GlobalStatsUIData NumberStyleTotalAndFormula string</t>
  </si>
  <si>
    <t>推荐打野路线信息</t>
    <phoneticPr fontId="2" type="noConversion"/>
  </si>
  <si>
    <t>ConfigsClient {85bf79cf} {07aa36d0}</t>
  </si>
  <si>
    <t>ConfigsClient {85bf79cf} {c5b58261}</t>
  </si>
  <si>
    <t>LevelControllers BehaviorLevelController Guid</t>
  </si>
  <si>
    <t>LevelControllers BehaviorLevelController LevelBehaviors</t>
  </si>
  <si>
    <t>mChampionLists GameModeChampionList mChampions</t>
  </si>
  <si>
    <t>{dc2bc473} GameModeItemList mItems</t>
  </si>
  <si>
    <t>JungleRecommendationMapInformation JungleRecommendationMapInformation JungleLocationInformation</t>
  </si>
  <si>
    <t>DefaultJunglePathRecommendation JunglePathRecommendation OrderJunglePath</t>
  </si>
  <si>
    <t>DefaultJunglePathRecommendation JunglePathRecommendation ChaosJunglePath</t>
  </si>
  <si>
    <t>√</t>
  </si>
  <si>
    <t>击杀基础金币</t>
    <phoneticPr fontId="2" type="noConversion"/>
  </si>
  <si>
    <t>第一滴血额外金币</t>
    <phoneticPr fontId="2" type="noConversion"/>
  </si>
  <si>
    <t>助攻窗口时间</t>
    <phoneticPr fontId="2" type="noConversion"/>
  </si>
  <si>
    <t>正悬赏信息</t>
    <phoneticPr fontId="2" type="noConversion"/>
  </si>
  <si>
    <t>战略点悬赏信息</t>
    <phoneticPr fontId="2" type="noConversion"/>
  </si>
  <si>
    <t>负悬赏信息</t>
    <phoneticPr fontId="2" type="noConversion"/>
  </si>
  <si>
    <t>加载界面提示信息</t>
    <phoneticPr fontId="2" type="noConversion"/>
  </si>
  <si>
    <t>加载界面背景</t>
    <phoneticPr fontId="2" type="noConversion"/>
  </si>
  <si>
    <t>特殊模式加载界面背景</t>
    <phoneticPr fontId="2" type="noConversion"/>
  </si>
  <si>
    <t>游戏模式装备目录</t>
    <phoneticPr fontId="2" type="noConversion"/>
  </si>
  <si>
    <t>惩戒强制购买初始装备</t>
    <phoneticPr fontId="2" type="noConversion"/>
  </si>
  <si>
    <t>不可购买的装备</t>
    <phoneticPr fontId="2" type="noConversion"/>
  </si>
  <si>
    <t>成装</t>
    <phoneticPr fontId="2" type="noConversion"/>
  </si>
  <si>
    <t>推荐回退地图序号</t>
    <phoneticPr fontId="2" type="noConversion"/>
  </si>
  <si>
    <t>推荐回退模式</t>
    <phoneticPr fontId="2" type="noConversion"/>
  </si>
  <si>
    <t>消耗品</t>
    <phoneticPr fontId="2" type="noConversion"/>
  </si>
  <si>
    <t>鞋子</t>
    <phoneticPr fontId="2" type="noConversion"/>
  </si>
  <si>
    <t>装备替换</t>
    <phoneticPr fontId="2" type="noConversion"/>
  </si>
  <si>
    <t>装备分组重定义信息</t>
    <phoneticPr fontId="2" type="noConversion"/>
  </si>
  <si>
    <t>顺序购买的推荐装备类型</t>
    <phoneticPr fontId="2" type="noConversion"/>
  </si>
  <si>
    <t>随机购买的推荐装备类型</t>
    <phoneticPr fontId="2" type="noConversion"/>
  </si>
  <si>
    <t>情境购买的推荐装备类型</t>
    <phoneticPr fontId="2" type="noConversion"/>
  </si>
  <si>
    <t>无法出售且设置价格上限的推荐装备类型</t>
    <phoneticPr fontId="2" type="noConversion"/>
  </si>
  <si>
    <t>计分类型</t>
    <phoneticPr fontId="2" type="noConversion"/>
  </si>
  <si>
    <t>末日人工智能配置名称</t>
    <phoneticPr fontId="2" type="noConversion"/>
  </si>
  <si>
    <t>末日人工智能事件列表</t>
    <phoneticPr fontId="2" type="noConversion"/>
  </si>
  <si>
    <t>基础属性图标修饰语字符串</t>
    <phoneticPr fontId="2" type="noConversion"/>
  </si>
  <si>
    <t>行为动作识别码</t>
    <phoneticPr fontId="2" type="noConversion"/>
  </si>
  <si>
    <t>行为动作参数</t>
    <phoneticPr fontId="2" type="noConversion"/>
  </si>
  <si>
    <t>游戏模式限定英雄列表</t>
    <phoneticPr fontId="2" type="noConversion"/>
  </si>
  <si>
    <t>游戏模式特殊装备列表</t>
    <phoneticPr fontId="2" type="noConversion"/>
  </si>
  <si>
    <t>野怪位置参数</t>
    <phoneticPr fontId="2" type="noConversion"/>
  </si>
  <si>
    <t>蓝方推荐打野路线</t>
    <phoneticPr fontId="2" type="noConversion"/>
  </si>
  <si>
    <t>红方推荐打野路线</t>
    <phoneticPr fontId="2" type="noConversion"/>
  </si>
  <si>
    <t>Configs CharacterQuestListConfig {6f7129e6}</t>
  </si>
  <si>
    <t>Configs CharacterQuestListConfig {702d99a3}</t>
  </si>
  <si>
    <t>ConfigsClient {60e2ec74} LoadingScreenBackgroundOverride</t>
  </si>
  <si>
    <t>mItemShopData ItemShopGameModeData RecRoleSwaps</t>
  </si>
  <si>
    <t>mStatsUiData GlobalStatsUIData NewStatUiData</t>
  </si>
  <si>
    <t>mExperienceCurveData ExperienceCurveData DefaultMaxLevel</t>
  </si>
  <si>
    <t>Configs {df6e7fa5} {a3627eca}</t>
  </si>
  <si>
    <t>Configs AdditionalMapContainersConfig MapContainers</t>
  </si>
  <si>
    <t>Configs {409a5657} {8794a0e6}</t>
  </si>
  <si>
    <t>Configs {409a5657} {ba9783c7}</t>
  </si>
  <si>
    <t>Configs {e8c34b52} AugmentColors</t>
  </si>
  <si>
    <t>Configs {e8c34b52} EliminatedColor</t>
  </si>
  <si>
    <t>Configs {e8c34b52} {f021feb3}</t>
  </si>
  <si>
    <t>加载界面背景重载</t>
    <phoneticPr fontId="2" type="noConversion"/>
  </si>
  <si>
    <t>角色定位替换</t>
    <phoneticPr fontId="2" type="noConversion"/>
  </si>
  <si>
    <t>新版界面</t>
    <phoneticPr fontId="2" type="noConversion"/>
  </si>
  <si>
    <t>默认最大等级</t>
    <phoneticPr fontId="2" type="noConversion"/>
  </si>
  <si>
    <t>子地图</t>
    <phoneticPr fontId="2" type="noConversion"/>
  </si>
  <si>
    <t>强化符文边框颜色配置方案</t>
    <phoneticPr fontId="2" type="noConversion"/>
  </si>
  <si>
    <t>强化符文卡颜色</t>
    <phoneticPr fontId="2" type="noConversion"/>
  </si>
  <si>
    <t>强化符文淘汰显示颜色</t>
    <phoneticPr fontId="2" type="noConversion"/>
  </si>
  <si>
    <t>游戏模式常数分组</t>
    <phoneticPr fontId="2" type="noConversion"/>
  </si>
  <si>
    <t>AugmentNameId</t>
  </si>
  <si>
    <t>强化符文代码</t>
    <phoneticPr fontId="2" type="noConversion"/>
  </si>
  <si>
    <t>NameTra</t>
    <phoneticPr fontId="2" type="noConversion"/>
  </si>
  <si>
    <t>DescriptionTra</t>
    <phoneticPr fontId="2" type="noConversion"/>
  </si>
  <si>
    <t>AugmentTooltipTra</t>
    <phoneticPr fontId="2" type="noConversion"/>
  </si>
  <si>
    <t>名称键</t>
    <phoneticPr fontId="2" type="noConversion"/>
  </si>
  <si>
    <t>简介键</t>
    <phoneticPr fontId="2" type="noConversion"/>
  </si>
  <si>
    <t>强化符文详细信息键</t>
    <phoneticPr fontId="2" type="noConversion"/>
  </si>
  <si>
    <t>RootSpell</t>
    <phoneticPr fontId="2" type="noConversion"/>
  </si>
  <si>
    <t>根指令</t>
    <phoneticPr fontId="2" type="noConversion"/>
  </si>
  <si>
    <t>Enabled</t>
    <phoneticPr fontId="2" type="noConversion"/>
  </si>
  <si>
    <t>可用性</t>
    <phoneticPr fontId="2" type="noConversion"/>
  </si>
  <si>
    <t>mAugmentTags</t>
    <phoneticPr fontId="2" type="noConversion"/>
  </si>
  <si>
    <t>强化符文标签</t>
    <phoneticPr fontId="2" type="noConversion"/>
  </si>
  <si>
    <t>mBuildTags</t>
    <phoneticPr fontId="2" type="noConversion"/>
  </si>
  <si>
    <t>构建标签</t>
    <phoneticPr fontId="2" type="noConversion"/>
  </si>
  <si>
    <t>AugmentSmallIconPath</t>
    <phoneticPr fontId="2" type="noConversion"/>
  </si>
  <si>
    <t>强化符文小图标路径</t>
    <phoneticPr fontId="2" type="noConversion"/>
  </si>
  <si>
    <t>AugmentDisplayTags</t>
    <phoneticPr fontId="2" type="noConversion"/>
  </si>
  <si>
    <t>强化符文显示标签</t>
    <phoneticPr fontId="2" type="noConversion"/>
  </si>
  <si>
    <t>rarity</t>
    <phoneticPr fontId="2" type="noConversion"/>
  </si>
  <si>
    <t>稀有度</t>
    <phoneticPr fontId="2" type="noConversion"/>
  </si>
  <si>
    <t>AugmentPlatformId</t>
    <phoneticPr fontId="2" type="noConversion"/>
  </si>
  <si>
    <t>rarityValue</t>
    <phoneticPr fontId="2" type="noConversion"/>
  </si>
  <si>
    <t>位阶</t>
    <phoneticPr fontId="2" type="noConversion"/>
  </si>
  <si>
    <t>AugmentDisplayTags_content</t>
    <phoneticPr fontId="2" type="noConversion"/>
  </si>
  <si>
    <t>强化符文显示标签内容</t>
    <phoneticPr fontId="2" type="noConversion"/>
  </si>
  <si>
    <t>强化符文序号</t>
    <phoneticPr fontId="2" type="noConversion"/>
  </si>
  <si>
    <t>AugmentLargeIconPath</t>
    <phoneticPr fontId="2" type="noConversion"/>
  </si>
  <si>
    <t>强化符文大图标路径</t>
    <phoneticPr fontId="2" type="noConversion"/>
  </si>
  <si>
    <t>NameTra_content_zh</t>
    <phoneticPr fontId="2" type="noConversion"/>
  </si>
  <si>
    <t>DescriptionTra_content_zh</t>
    <phoneticPr fontId="2" type="noConversion"/>
  </si>
  <si>
    <t>AugmentTooltipTra_content_zh</t>
    <phoneticPr fontId="2" type="noConversion"/>
  </si>
  <si>
    <t>NameTra_content_en</t>
    <phoneticPr fontId="2" type="noConversion"/>
  </si>
  <si>
    <t>DescriptionTra_content_en</t>
    <phoneticPr fontId="2" type="noConversion"/>
  </si>
  <si>
    <t>AugmentTooltipTra_content_en</t>
    <phoneticPr fontId="2" type="noConversion"/>
  </si>
  <si>
    <t>强化符文详细信息（英文）</t>
    <phoneticPr fontId="2" type="noConversion"/>
  </si>
  <si>
    <t>名称（中文）</t>
    <phoneticPr fontId="2" type="noConversion"/>
  </si>
  <si>
    <t>名称（英文）</t>
    <phoneticPr fontId="2" type="noConversion"/>
  </si>
  <si>
    <t>简介（中文）</t>
    <phoneticPr fontId="2" type="noConversion"/>
  </si>
  <si>
    <t>简介（英文）</t>
    <phoneticPr fontId="2" type="noConversion"/>
  </si>
  <si>
    <t>强化符文详细信息（中文）</t>
    <phoneticPr fontId="2" type="noConversion"/>
  </si>
  <si>
    <t>RootSpellObject</t>
    <phoneticPr fontId="2" type="noConversion"/>
  </si>
  <si>
    <t>根指令对象</t>
    <phoneticPr fontId="2" type="noConversion"/>
  </si>
  <si>
    <t>DescriptionTra_content_zh_burn</t>
    <phoneticPr fontId="2" type="noConversion"/>
  </si>
  <si>
    <t>简介（中文/数值转换）</t>
    <phoneticPr fontId="2" type="noConversion"/>
  </si>
  <si>
    <t>DescriptionTra_content_en_burn</t>
    <phoneticPr fontId="2" type="noConversion"/>
  </si>
  <si>
    <t>简介（英文/数值转换）</t>
    <phoneticPr fontId="2" type="noConversion"/>
  </si>
  <si>
    <t>AugmentTooltipTra_content_zh_burn</t>
    <phoneticPr fontId="2" type="noConversion"/>
  </si>
  <si>
    <t>AugmentTooltipTra_content_en_burn</t>
    <phoneticPr fontId="2" type="noConversion"/>
  </si>
  <si>
    <t>强化符文详细信息（中文/数值转换）</t>
    <phoneticPr fontId="2" type="noConversion"/>
  </si>
  <si>
    <t>强化符文详细信息（英文/数值转换）</t>
    <phoneticPr fontId="2" type="noConversion"/>
  </si>
  <si>
    <t>mCharacterName</t>
  </si>
  <si>
    <t>baseHP</t>
  </si>
  <si>
    <t>hpPerLevel</t>
  </si>
  <si>
    <t>baseStaticHPRegen</t>
  </si>
  <si>
    <t>hpRegenPerLevel</t>
  </si>
  <si>
    <t>healthBarHeight</t>
  </si>
  <si>
    <t>primaryAbilityResource</t>
  </si>
  <si>
    <t>secondaryAbilityResource</t>
  </si>
  <si>
    <t>baseDamage</t>
  </si>
  <si>
    <t>damagePerLevel</t>
  </si>
  <si>
    <t>baseArmor</t>
  </si>
  <si>
    <t>armorPerLevel</t>
  </si>
  <si>
    <t>baseSpellBlock</t>
  </si>
  <si>
    <t>spellBlockPerLevel</t>
  </si>
  <si>
    <t>baseMoveSpeed</t>
  </si>
  <si>
    <t>attackRange</t>
  </si>
  <si>
    <t>attackSpeed</t>
  </si>
  <si>
    <t>attackSpeedRatio</t>
  </si>
  <si>
    <t>attackSpeedPerLevel</t>
  </si>
  <si>
    <t>mAdaptiveForceToAbilityPowerWeight</t>
  </si>
  <si>
    <t>acquisitionRange</t>
  </si>
  <si>
    <t>basicAttack</t>
  </si>
  <si>
    <t>extraAttacks</t>
  </si>
  <si>
    <t>critAttacks</t>
  </si>
  <si>
    <t>spellNames</t>
  </si>
  <si>
    <t>spells</t>
  </si>
  <si>
    <t>extraSpells</t>
  </si>
  <si>
    <t>{c1984296}</t>
  </si>
  <si>
    <t>mAbilities</t>
  </si>
  <si>
    <t>passiveName</t>
  </si>
  <si>
    <t>passiveLuaName</t>
  </si>
  <si>
    <t>passiveToolTip</t>
  </si>
  <si>
    <t>passiveSpell</t>
  </si>
  <si>
    <t>passive1IconName</t>
  </si>
  <si>
    <t>name</t>
  </si>
  <si>
    <t>mUseCCAnimations</t>
  </si>
  <si>
    <t>selectionHeight</t>
  </si>
  <si>
    <t>selectionRadius</t>
  </si>
  <si>
    <t>pathfindingCollisionRadius</t>
  </si>
  <si>
    <t>overrideGameplayCollisionRadius</t>
  </si>
  <si>
    <t>unitTagsString</t>
  </si>
  <si>
    <t>mEducationToolData</t>
  </si>
  <si>
    <t>characterToolData</t>
  </si>
  <si>
    <t>platformEnabled</t>
  </si>
  <si>
    <t>purchaseIdentities</t>
  </si>
  <si>
    <t>mPreferredPerkStyle</t>
  </si>
  <si>
    <t>mCharacterPassiveSpell</t>
  </si>
  <si>
    <t>mCharacterPassiveBuffs</t>
  </si>
  <si>
    <t>{c5c48b41}</t>
  </si>
  <si>
    <t>weaponMaterials</t>
  </si>
  <si>
    <t>mAbilitySlotCC</t>
  </si>
  <si>
    <t>flags</t>
  </si>
  <si>
    <t>expGivenOnDeath</t>
  </si>
  <si>
    <t>goldGivenOnDeath</t>
  </si>
  <si>
    <t>deathEventListeningRadius</t>
  </si>
  <si>
    <t>useRiotRelationships</t>
  </si>
  <si>
    <t>{6854087e}</t>
  </si>
  <si>
    <t>parName</t>
  </si>
  <si>
    <t>criticalAttack</t>
  </si>
  <si>
    <t>passiveRange</t>
  </si>
  <si>
    <t>charAudioNameOverride</t>
  </si>
  <si>
    <t>outlineBBoxExpansion</t>
  </si>
  <si>
    <t>critDamageMultiplier</t>
  </si>
  <si>
    <t>spellLevelUpInfo</t>
  </si>
  <si>
    <t>selfChampSpecificHealthSuffix</t>
  </si>
  <si>
    <t>selfCBChampSpecificHealthSuffix</t>
  </si>
  <si>
    <t>allyChampSpecificHealthSuffix</t>
  </si>
  <si>
    <t>enemyChampSpecificHealthSuffix</t>
  </si>
  <si>
    <t>evolutionData</t>
  </si>
  <si>
    <t>TreatAutoAttacksAsNormalSpells</t>
  </si>
  <si>
    <t>RecSpellRankUpInfolist</t>
  </si>
  <si>
    <t>silhouetteAttachmentAnim</t>
  </si>
  <si>
    <t>friendlyTooltip</t>
  </si>
  <si>
    <t>enemyTooltip</t>
  </si>
  <si>
    <t>friendlyUxOverrideTeam</t>
  </si>
  <si>
    <t>friendlyUxOverrideIncludeTagsString</t>
  </si>
  <si>
    <t>friendlyUxOverrideExcludeTagsString</t>
  </si>
  <si>
    <t>highlightHealthbarIcons</t>
  </si>
  <si>
    <t>{dd661aab}</t>
  </si>
  <si>
    <t>mCharacterCalculations</t>
  </si>
  <si>
    <t>PackmanagerData</t>
  </si>
  <si>
    <t>mFallbackCharacterName</t>
  </si>
  <si>
    <t>角色名称</t>
    <phoneticPr fontId="2" type="noConversion"/>
  </si>
  <si>
    <t>备用名称</t>
    <phoneticPr fontId="2" type="noConversion"/>
  </si>
  <si>
    <t>跟随者数据</t>
    <phoneticPr fontId="2" type="noConversion"/>
  </si>
  <si>
    <t>冲刺配置</t>
    <phoneticPr fontId="2" type="noConversion"/>
  </si>
  <si>
    <t>技能进化数据</t>
    <phoneticPr fontId="2" type="noConversion"/>
  </si>
  <si>
    <t>基础生命值</t>
    <phoneticPr fontId="2" type="noConversion"/>
  </si>
  <si>
    <t>成长生命值</t>
    <phoneticPr fontId="2" type="noConversion"/>
  </si>
  <si>
    <t>基础生命回复</t>
    <phoneticPr fontId="2" type="noConversion"/>
  </si>
  <si>
    <t>生命回复成长</t>
    <phoneticPr fontId="2" type="noConversion"/>
  </si>
  <si>
    <t>高亮生命槽</t>
    <phoneticPr fontId="2" type="noConversion"/>
  </si>
  <si>
    <t>血条高度</t>
    <phoneticPr fontId="2" type="noConversion"/>
  </si>
  <si>
    <t>己方视角下的英雄生命槽颜色</t>
    <phoneticPr fontId="2" type="noConversion"/>
  </si>
  <si>
    <t>己方色盲视角下的英雄生命槽颜色</t>
    <phoneticPr fontId="2" type="noConversion"/>
  </si>
  <si>
    <t>友方视角下的英雄生命槽颜色</t>
    <phoneticPr fontId="2" type="noConversion"/>
  </si>
  <si>
    <t>敌方视角下的英雄生命槽颜色</t>
    <phoneticPr fontId="2" type="noConversion"/>
  </si>
  <si>
    <t>主要施法资源</t>
    <phoneticPr fontId="2" type="noConversion"/>
  </si>
  <si>
    <t>次要施法资源</t>
    <phoneticPr fontId="2" type="noConversion"/>
  </si>
  <si>
    <t>基础攻击力</t>
    <phoneticPr fontId="2" type="noConversion"/>
  </si>
  <si>
    <t>成长攻击力</t>
    <phoneticPr fontId="2" type="noConversion"/>
  </si>
  <si>
    <t>基础护甲</t>
    <phoneticPr fontId="2" type="noConversion"/>
  </si>
  <si>
    <t>成长护甲</t>
    <phoneticPr fontId="2" type="noConversion"/>
  </si>
  <si>
    <t>基础魔法抗性</t>
    <phoneticPr fontId="2" type="noConversion"/>
  </si>
  <si>
    <t>成长魔法抗性</t>
    <phoneticPr fontId="2" type="noConversion"/>
  </si>
  <si>
    <t>暴击伤害修正率</t>
    <phoneticPr fontId="2" type="noConversion"/>
  </si>
  <si>
    <t>基础移动速度</t>
    <phoneticPr fontId="2" type="noConversion"/>
  </si>
  <si>
    <t>攻击距离</t>
    <phoneticPr fontId="2" type="noConversion"/>
  </si>
  <si>
    <t>攻击速度收益率</t>
    <phoneticPr fontId="2" type="noConversion"/>
  </si>
  <si>
    <t>成长攻击速度</t>
    <phoneticPr fontId="2" type="noConversion"/>
  </si>
  <si>
    <t>自动攻击视为技能配置</t>
    <phoneticPr fontId="2" type="noConversion"/>
  </si>
  <si>
    <t>适应之力转法强比例</t>
    <phoneticPr fontId="2" type="noConversion"/>
  </si>
  <si>
    <t>阵亡时获取经验值</t>
    <phoneticPr fontId="2" type="noConversion"/>
  </si>
  <si>
    <t>阵亡时获取金币</t>
    <phoneticPr fontId="2" type="noConversion"/>
  </si>
  <si>
    <t>索敌范围半径</t>
    <phoneticPr fontId="2" type="noConversion"/>
  </si>
  <si>
    <t>暴击指令键</t>
    <phoneticPr fontId="2" type="noConversion"/>
  </si>
  <si>
    <t>被动技能名称键</t>
    <phoneticPr fontId="2" type="noConversion"/>
  </si>
  <si>
    <t>被动技能脚本名</t>
    <phoneticPr fontId="2" type="noConversion"/>
  </si>
  <si>
    <t>被动技能范围</t>
    <phoneticPr fontId="2" type="noConversion"/>
  </si>
  <si>
    <t>被动技能指令键</t>
    <phoneticPr fontId="2" type="noConversion"/>
  </si>
  <si>
    <t>被动技能图标1路径</t>
    <phoneticPr fontId="2" type="noConversion"/>
  </si>
  <si>
    <t>附身轮廓动画名称</t>
    <phoneticPr fontId="2" type="noConversion"/>
  </si>
  <si>
    <t>次要施法资源名称键</t>
    <phoneticPr fontId="2" type="noConversion"/>
  </si>
  <si>
    <t>武器材料</t>
    <phoneticPr fontId="2" type="noConversion"/>
  </si>
  <si>
    <t>轮廓扩展半径</t>
    <phoneticPr fontId="2" type="noConversion"/>
  </si>
  <si>
    <t>英雄语音覆盖代码</t>
    <phoneticPr fontId="2" type="noConversion"/>
  </si>
  <si>
    <t>寻路碰撞体积半径</t>
    <phoneticPr fontId="2" type="noConversion"/>
  </si>
  <si>
    <t>鼠标指针选择高度</t>
    <phoneticPr fontId="2" type="noConversion"/>
  </si>
  <si>
    <t>鼠标指针选择半径</t>
    <phoneticPr fontId="2" type="noConversion"/>
  </si>
  <si>
    <t>特定条件覆盖碰撞体积半径</t>
    <phoneticPr fontId="2" type="noConversion"/>
  </si>
  <si>
    <t>单位类型标签字符串</t>
    <phoneticPr fontId="2" type="noConversion"/>
  </si>
  <si>
    <t>友方界面队伍取值</t>
    <phoneticPr fontId="2" type="noConversion"/>
  </si>
  <si>
    <t>友方界面队伍包含字符串</t>
    <phoneticPr fontId="2" type="noConversion"/>
  </si>
  <si>
    <t>友方界面队伍不包含字符串</t>
    <phoneticPr fontId="2" type="noConversion"/>
  </si>
  <si>
    <t>教程配置</t>
    <phoneticPr fontId="2" type="noConversion"/>
  </si>
  <si>
    <t>技能槽位控制效果分类变量</t>
    <phoneticPr fontId="2" type="noConversion"/>
  </si>
  <si>
    <t>英雄说明</t>
    <phoneticPr fontId="2" type="noConversion"/>
  </si>
  <si>
    <t>大区可用性</t>
    <phoneticPr fontId="2" type="noConversion"/>
  </si>
  <si>
    <t>技能升级信息</t>
    <phoneticPr fontId="2" type="noConversion"/>
  </si>
  <si>
    <t>推荐技能加点顺序列表</t>
    <phoneticPr fontId="2" type="noConversion"/>
  </si>
  <si>
    <t>采用新版设计理念</t>
    <phoneticPr fontId="2" type="noConversion"/>
  </si>
  <si>
    <t>旗标</t>
    <phoneticPr fontId="2" type="noConversion"/>
  </si>
  <si>
    <t>购买装备具备特质</t>
    <phoneticPr fontId="2" type="noConversion"/>
  </si>
  <si>
    <t>推荐符文主系</t>
    <phoneticPr fontId="2" type="noConversion"/>
  </si>
  <si>
    <t>英雄数据计算</t>
    <phoneticPr fontId="2" type="noConversion"/>
  </si>
  <si>
    <t>被动技能增益信息</t>
    <phoneticPr fontId="2" type="noConversion"/>
  </si>
  <si>
    <t>游戏模式数据覆盖</t>
    <phoneticPr fontId="2" type="noConversion"/>
  </si>
  <si>
    <t>PackmanagerData BuffOverrides</t>
    <phoneticPr fontId="2" type="noConversion"/>
  </si>
  <si>
    <t>跟随者特殊处理增益</t>
    <phoneticPr fontId="2" type="noConversion"/>
  </si>
  <si>
    <t>PackmanagerData FollowerCrossoverAnimation</t>
    <phoneticPr fontId="2" type="noConversion"/>
  </si>
  <si>
    <t>跟随者更换移动指令动画名称</t>
    <phoneticPr fontId="2" type="noConversion"/>
  </si>
  <si>
    <t>PackmanagerData OnLeaderMoveFollowerAnimation</t>
    <phoneticPr fontId="2" type="noConversion"/>
  </si>
  <si>
    <t>英雄移动时跟随动画名称</t>
    <phoneticPr fontId="2" type="noConversion"/>
  </si>
  <si>
    <t>PackmanagerData OrderTrailingDelay</t>
    <phoneticPr fontId="2" type="noConversion"/>
  </si>
  <si>
    <t>跟随者接受指令延迟</t>
    <phoneticPr fontId="2" type="noConversion"/>
  </si>
  <si>
    <t>PackmanagerData LeashDistance</t>
    <phoneticPr fontId="2" type="noConversion"/>
  </si>
  <si>
    <t>跟随距离限制</t>
    <phoneticPr fontId="2" type="noConversion"/>
  </si>
  <si>
    <t>PackmanagerData UiTargetForgivenessRange</t>
    <phoneticPr fontId="2" type="noConversion"/>
  </si>
  <si>
    <t>PackmanagerData AttackMoveTargetForgivenessRange</t>
    <phoneticPr fontId="2" type="noConversion"/>
  </si>
  <si>
    <t>用户选中跟随者宽限范围</t>
    <phoneticPr fontId="2" type="noConversion"/>
  </si>
  <si>
    <t>攻击移动目标宽限范围</t>
    <phoneticPr fontId="2" type="noConversion"/>
  </si>
  <si>
    <t>PackmanagerData {b97a9b92}</t>
    <phoneticPr fontId="2" type="noConversion"/>
  </si>
  <si>
    <t>PackmanagerData {377491e8}</t>
    <phoneticPr fontId="2" type="noConversion"/>
  </si>
  <si>
    <t>PackmanagerData RankToFormationMap</t>
    <phoneticPr fontId="2" type="noConversion"/>
  </si>
  <si>
    <t>跟随者相对英雄位置坐标映射</t>
    <phoneticPr fontId="2" type="noConversion"/>
  </si>
  <si>
    <t>PackmanagerData {377491e8} minDistance</t>
    <phoneticPr fontId="2" type="noConversion"/>
  </si>
  <si>
    <t>PackmanagerData {377491e8} maxDistance</t>
    <phoneticPr fontId="2" type="noConversion"/>
  </si>
  <si>
    <t>PackmanagerData {377491e8} {7863785e}</t>
    <phoneticPr fontId="2" type="noConversion"/>
  </si>
  <si>
    <t>evolutionData mFlags</t>
    <phoneticPr fontId="2" type="noConversion"/>
  </si>
  <si>
    <t>技能进化旗标</t>
    <phoneticPr fontId="2" type="noConversion"/>
  </si>
  <si>
    <t>evolutionData mTitle</t>
    <phoneticPr fontId="2" type="noConversion"/>
  </si>
  <si>
    <t>技能进化标题键</t>
    <phoneticPr fontId="2" type="noConversion"/>
  </si>
  <si>
    <t>evolutionData mTooltips</t>
    <phoneticPr fontId="2" type="noConversion"/>
  </si>
  <si>
    <t>技能进化说明文本列表</t>
    <phoneticPr fontId="2" type="noConversion"/>
  </si>
  <si>
    <t>evolutionData mIconNames</t>
    <phoneticPr fontId="2" type="noConversion"/>
  </si>
  <si>
    <t>技能进化图标路径列表</t>
    <phoneticPr fontId="2" type="noConversion"/>
  </si>
  <si>
    <t>evolutionData mTitle_content_zh</t>
    <phoneticPr fontId="2" type="noConversion"/>
  </si>
  <si>
    <t>evolutionData mTitle_content_en</t>
    <phoneticPr fontId="2" type="noConversion"/>
  </si>
  <si>
    <t>evolutionData mTooltips_content_zh</t>
    <phoneticPr fontId="2" type="noConversion"/>
  </si>
  <si>
    <t>evolutionData mTooltips_content_en</t>
    <phoneticPr fontId="2" type="noConversion"/>
  </si>
  <si>
    <t>evolutionData mTooltips_content_zh_burn</t>
    <phoneticPr fontId="2" type="noConversion"/>
  </si>
  <si>
    <t>evolutionData mTooltips_content_en_burn</t>
    <phoneticPr fontId="2" type="noConversion"/>
  </si>
  <si>
    <t>primaryAbilityResource arType</t>
    <phoneticPr fontId="2" type="noConversion"/>
  </si>
  <si>
    <t>技能进化标题（中文）</t>
    <phoneticPr fontId="2" type="noConversion"/>
  </si>
  <si>
    <t>技能进化标题（英文）</t>
    <phoneticPr fontId="2" type="noConversion"/>
  </si>
  <si>
    <t>技能进化说明文本（中文）</t>
    <phoneticPr fontId="2" type="noConversion"/>
  </si>
  <si>
    <t>技能进化说明文本（英文）</t>
    <phoneticPr fontId="2" type="noConversion"/>
  </si>
  <si>
    <t>技能进化说明文本（中文/数值转换）</t>
    <phoneticPr fontId="2" type="noConversion"/>
  </si>
  <si>
    <t>技能进化说明文本（英文/数值转换）</t>
    <phoneticPr fontId="2" type="noConversion"/>
  </si>
  <si>
    <t>主要施法资源类型</t>
    <phoneticPr fontId="2" type="noConversion"/>
  </si>
  <si>
    <t>primaryAbilityResource arBase</t>
    <phoneticPr fontId="2" type="noConversion"/>
  </si>
  <si>
    <t>primaryAbilityResource arPerLevel</t>
    <phoneticPr fontId="2" type="noConversion"/>
  </si>
  <si>
    <t>主要施法资源基础属性</t>
    <phoneticPr fontId="2" type="noConversion"/>
  </si>
  <si>
    <t>主要施法资源成长属性</t>
    <phoneticPr fontId="2" type="noConversion"/>
  </si>
  <si>
    <t>primaryAbilityResource arBaseStaticRegen</t>
    <phoneticPr fontId="2" type="noConversion"/>
  </si>
  <si>
    <t>主要施法资源回复</t>
    <phoneticPr fontId="2" type="noConversion"/>
  </si>
  <si>
    <t>primaryAbilityResource arRegenPerLevel</t>
    <phoneticPr fontId="2" type="noConversion"/>
  </si>
  <si>
    <t>主要施法资源回复成长属性</t>
    <phoneticPr fontId="2" type="noConversion"/>
  </si>
  <si>
    <t>primaryAbilityResource arIncrements</t>
    <phoneticPr fontId="2" type="noConversion"/>
  </si>
  <si>
    <t>主要施法资源增量</t>
    <phoneticPr fontId="2" type="noConversion"/>
  </si>
  <si>
    <t>primaryAbilityResource arMaxSegments</t>
    <phoneticPr fontId="2" type="noConversion"/>
  </si>
  <si>
    <t>主要施法资源最大层数</t>
    <phoneticPr fontId="2" type="noConversion"/>
  </si>
  <si>
    <t>primaryAbilityResource arHasRegenText</t>
    <phoneticPr fontId="2" type="noConversion"/>
  </si>
  <si>
    <t>主要施法资源显示充能文本</t>
    <phoneticPr fontId="2" type="noConversion"/>
  </si>
  <si>
    <t>primaryAbilityResource arAllowMaxValueToBeOverridden</t>
    <phoneticPr fontId="2" type="noConversion"/>
  </si>
  <si>
    <t>主要施法资源最大值可变</t>
    <phoneticPr fontId="2" type="noConversion"/>
  </si>
  <si>
    <t>primaryAbilityResource arDisplayAsPips</t>
    <phoneticPr fontId="2" type="noConversion"/>
  </si>
  <si>
    <t>主要施法资源以充能点显示</t>
    <phoneticPr fontId="2" type="noConversion"/>
  </si>
  <si>
    <t>primaryAbilityResource arIsShown</t>
    <phoneticPr fontId="2" type="noConversion"/>
  </si>
  <si>
    <t>主要施法资源可见性</t>
    <phoneticPr fontId="2" type="noConversion"/>
  </si>
  <si>
    <t>secondaryAbilityResource arType</t>
  </si>
  <si>
    <t>次要施法资源类型</t>
  </si>
  <si>
    <t>次要施法资源基础属性</t>
  </si>
  <si>
    <t>次要施法资源成长属性</t>
  </si>
  <si>
    <t>次要施法资源回复</t>
  </si>
  <si>
    <t>次要施法资源增量</t>
  </si>
  <si>
    <t>次要施法资源最大层数</t>
  </si>
  <si>
    <t>次要施法资源显示充能文本</t>
  </si>
  <si>
    <t>次要施法资源最大值可变</t>
  </si>
  <si>
    <t>次要施法资源以充能点显示</t>
  </si>
  <si>
    <t>次要施法资源可见性</t>
  </si>
  <si>
    <t>secondaryAbilityResource arBase</t>
  </si>
  <si>
    <t>secondaryAbilityResource arPerLevel</t>
  </si>
  <si>
    <t>secondaryAbilityResource arBaseStaticRegen</t>
  </si>
  <si>
    <t>secondaryAbilityResource arIncrements</t>
  </si>
  <si>
    <t>secondaryAbilityResource arMaxSegments</t>
  </si>
  <si>
    <t>secondaryAbilityResource arHasRegenText</t>
  </si>
  <si>
    <t>secondaryAbilityResource arAllowMaxValueToBeOverridden</t>
  </si>
  <si>
    <t>secondaryAbilityResource arDisplayAsPips</t>
  </si>
  <si>
    <t>secondaryAbilityResource arIsShown</t>
  </si>
  <si>
    <t>secondaryAbilityResource arOverrideSmallPipName</t>
    <phoneticPr fontId="2" type="noConversion"/>
  </si>
  <si>
    <t>secondaryAbilityResource arOverrideLargePipName</t>
    <phoneticPr fontId="2" type="noConversion"/>
  </si>
  <si>
    <t>次要施法资源重载大充能点名称</t>
    <phoneticPr fontId="2" type="noConversion"/>
  </si>
  <si>
    <t>次要施法资源重载小充能点名称</t>
    <phoneticPr fontId="2" type="noConversion"/>
  </si>
  <si>
    <t>secondaryAbilityResource arOverrideEmptyPipName</t>
    <phoneticPr fontId="2" type="noConversion"/>
  </si>
  <si>
    <t>次要施法资源重载空充能点名称</t>
    <phoneticPr fontId="2" type="noConversion"/>
  </si>
  <si>
    <t>secondaryAbilityResource VisibilityFlags</t>
    <phoneticPr fontId="2" type="noConversion"/>
  </si>
  <si>
    <t>次要施法资源可见性旗标</t>
    <phoneticPr fontId="2" type="noConversion"/>
  </si>
  <si>
    <t>secondaryAbilityResource arOverrideMediumPipName</t>
    <phoneticPr fontId="2" type="noConversion"/>
  </si>
  <si>
    <t>次要施法资源重载中充能点名称</t>
    <phoneticPr fontId="2" type="noConversion"/>
  </si>
  <si>
    <t>secondaryAbilityResource arOverrideSpacerName</t>
    <phoneticPr fontId="2" type="noConversion"/>
  </si>
  <si>
    <t>secondaryAbilityResource arNegativeSpacer</t>
    <phoneticPr fontId="2" type="noConversion"/>
  </si>
  <si>
    <t>secondaryAbilityResource HideEmptyPips</t>
    <phoneticPr fontId="2" type="noConversion"/>
  </si>
  <si>
    <t>次要施法资源重载充能格名称</t>
    <phoneticPr fontId="2" type="noConversion"/>
  </si>
  <si>
    <t>次要施法资源反向充能</t>
    <phoneticPr fontId="2" type="noConversion"/>
  </si>
  <si>
    <t>次要施法资源隐藏空充能点</t>
    <phoneticPr fontId="2" type="noConversion"/>
  </si>
  <si>
    <t>primaryAbilityResource {4eb6a404}</t>
    <phoneticPr fontId="2" type="noConversion"/>
  </si>
  <si>
    <t>secondaryAbilityResource {4eb6a404}</t>
    <phoneticPr fontId="2" type="noConversion"/>
  </si>
  <si>
    <t>basicAttack mAttackDelayCastOffsetPercent</t>
    <phoneticPr fontId="2" type="noConversion"/>
  </si>
  <si>
    <t>basicAttack mAttackProbability</t>
    <phoneticPr fontId="2" type="noConversion"/>
  </si>
  <si>
    <t>basicAttack mAttackName</t>
    <phoneticPr fontId="2" type="noConversion"/>
  </si>
  <si>
    <t>basicAttack mAttackTotalTime</t>
    <phoneticPr fontId="2" type="noConversion"/>
  </si>
  <si>
    <t>basicAttack mAttackCastTime</t>
    <phoneticPr fontId="2" type="noConversion"/>
  </si>
  <si>
    <t>basicAttack mAttackDelayCastOffsetPercentAttackSpeedRatio</t>
    <phoneticPr fontId="2" type="noConversion"/>
  </si>
  <si>
    <t>basicAttack mOverrideAutoattackCastTime</t>
    <phoneticPr fontId="2" type="noConversion"/>
  </si>
  <si>
    <t>普通攻击动作参数</t>
    <phoneticPr fontId="2" type="noConversion"/>
  </si>
  <si>
    <t>其它攻击动作参数</t>
    <phoneticPr fontId="2" type="noConversion"/>
  </si>
  <si>
    <t>暴击动作参数</t>
    <phoneticPr fontId="2" type="noConversion"/>
  </si>
  <si>
    <t>技能键列表</t>
    <phoneticPr fontId="2" type="noConversion"/>
  </si>
  <si>
    <t>技能指令名称列表</t>
    <phoneticPr fontId="2" type="noConversion"/>
  </si>
  <si>
    <t>技能指令代码列表</t>
    <phoneticPr fontId="2" type="noConversion"/>
  </si>
  <si>
    <t>其它指令代码列表</t>
    <phoneticPr fontId="2" type="noConversion"/>
  </si>
  <si>
    <t>更多指令代码列表</t>
    <phoneticPr fontId="2" type="noConversion"/>
  </si>
  <si>
    <t>spell1Object</t>
    <phoneticPr fontId="2" type="noConversion"/>
  </si>
  <si>
    <t>spell2Object</t>
    <phoneticPr fontId="2" type="noConversion"/>
  </si>
  <si>
    <t>spell3Object</t>
    <phoneticPr fontId="2" type="noConversion"/>
  </si>
  <si>
    <t>spell4Object</t>
    <phoneticPr fontId="2" type="noConversion"/>
  </si>
  <si>
    <t>技能1指令对象</t>
    <phoneticPr fontId="2" type="noConversion"/>
  </si>
  <si>
    <t>技能2指令对象</t>
  </si>
  <si>
    <t>技能3指令对象</t>
  </si>
  <si>
    <t>技能4指令对象</t>
  </si>
  <si>
    <t>普通攻击动画总时间</t>
    <phoneticPr fontId="2" type="noConversion"/>
  </si>
  <si>
    <t>普通攻击前摇窗口</t>
    <phoneticPr fontId="2" type="noConversion"/>
  </si>
  <si>
    <t>自动攻击前摇窗口变化</t>
    <phoneticPr fontId="2" type="noConversion"/>
  </si>
  <si>
    <t>投射物发出相对于普通攻击的偏差时间百分比</t>
    <phoneticPr fontId="2" type="noConversion"/>
  </si>
  <si>
    <t>投射物发出相对于普通攻击的偏差时间百分比与攻击速度的比值</t>
    <phoneticPr fontId="2" type="noConversion"/>
  </si>
  <si>
    <t>普通攻击动画触发概率</t>
    <phoneticPr fontId="2" type="noConversion"/>
  </si>
  <si>
    <t>普通攻击事件名称</t>
    <phoneticPr fontId="2" type="noConversion"/>
  </si>
  <si>
    <t>passiveName_content_zh</t>
    <phoneticPr fontId="2" type="noConversion"/>
  </si>
  <si>
    <t>passiveName_content_en</t>
    <phoneticPr fontId="2" type="noConversion"/>
  </si>
  <si>
    <t>name_content_zh</t>
    <phoneticPr fontId="2" type="noConversion"/>
  </si>
  <si>
    <t>name_content_en</t>
    <phoneticPr fontId="2" type="noConversion"/>
  </si>
  <si>
    <t>friendlyTooltip_content_zh</t>
    <phoneticPr fontId="2" type="noConversion"/>
  </si>
  <si>
    <t>friendlyTooltip_content_en</t>
    <phoneticPr fontId="2" type="noConversion"/>
  </si>
  <si>
    <t>enemyTooltip_content_zh</t>
    <phoneticPr fontId="2" type="noConversion"/>
  </si>
  <si>
    <t>enemyTooltip_content_en</t>
    <phoneticPr fontId="2" type="noConversion"/>
  </si>
  <si>
    <t>parName_content_zh</t>
    <phoneticPr fontId="2" type="noConversion"/>
  </si>
  <si>
    <t>parName_content_en</t>
    <phoneticPr fontId="2" type="noConversion"/>
  </si>
  <si>
    <t>移动受损动画已激活</t>
    <phoneticPr fontId="2" type="noConversion"/>
  </si>
  <si>
    <t>mEducationToolData firstItem</t>
    <phoneticPr fontId="2" type="noConversion"/>
  </si>
  <si>
    <t>出门装推荐</t>
    <phoneticPr fontId="2" type="noConversion"/>
  </si>
  <si>
    <t>mEducationToolData skillOrder</t>
    <phoneticPr fontId="2" type="noConversion"/>
  </si>
  <si>
    <t>技能加点顺序</t>
    <phoneticPr fontId="2" type="noConversion"/>
  </si>
  <si>
    <t>characterToolData recItems</t>
  </si>
  <si>
    <t>characterToolData TutorialRecItems</t>
  </si>
  <si>
    <t>characterToolData sound</t>
  </si>
  <si>
    <t>characterToolData spellData</t>
  </si>
  <si>
    <t>characterToolData weaponMaterialCrit</t>
  </si>
  <si>
    <t>characterToolData mapAIPresence</t>
  </si>
  <si>
    <t>characterToolData passLev1Desc</t>
  </si>
  <si>
    <t>characterToolData passiveData</t>
  </si>
  <si>
    <t>characterToolData alternateForms</t>
  </si>
  <si>
    <t>characterToolData searchTags</t>
  </si>
  <si>
    <t>characterToolData searchTagsSecondary</t>
  </si>
  <si>
    <t>characterToolData championId</t>
  </si>
  <si>
    <t>characterToolData roles</t>
  </si>
  <si>
    <t>characterToolData PARFadeColor</t>
  </si>
  <si>
    <t>characterToolData PostAttackMoveDelay</t>
  </si>
  <si>
    <t>characterToolData magicRank</t>
  </si>
  <si>
    <t>characterToolData Lore2</t>
  </si>
  <si>
    <t>characterToolData LevelSpellEffectiveness</t>
  </si>
  <si>
    <t>characterToolData difficultyRank</t>
  </si>
  <si>
    <t>characterToolData description</t>
  </si>
  <si>
    <t>characterToolData defenseRank</t>
  </si>
  <si>
    <t>characterToolData classification</t>
  </si>
  <si>
    <t>characterToolData ChasingAttackRangePercent</t>
  </si>
  <si>
    <t>characterToolData botEnabled</t>
  </si>
  <si>
    <t>characterToolData botEnabledMM</t>
  </si>
  <si>
    <t>characterToolData {aa75da9d}</t>
  </si>
  <si>
    <t>characterToolData attackSpeed</t>
  </si>
  <si>
    <t>characterToolData botDefaultSpell1</t>
  </si>
  <si>
    <t>characterToolData botDefaultSpell2</t>
  </si>
  <si>
    <t>characterToolData attackRank</t>
  </si>
  <si>
    <t>推荐装备序号列表</t>
    <phoneticPr fontId="2" type="noConversion"/>
  </si>
  <si>
    <t>新手教程推荐装备序号列表</t>
    <phoneticPr fontId="2" type="noConversion"/>
  </si>
  <si>
    <t>音效方案</t>
    <phoneticPr fontId="2" type="noConversion"/>
  </si>
  <si>
    <t>characterToolData sound attack</t>
    <phoneticPr fontId="2" type="noConversion"/>
  </si>
  <si>
    <t>characterToolData sound click</t>
    <phoneticPr fontId="2" type="noConversion"/>
  </si>
  <si>
    <t>characterToolData sound move</t>
    <phoneticPr fontId="2" type="noConversion"/>
  </si>
  <si>
    <t>characterToolData sound death</t>
    <phoneticPr fontId="2" type="noConversion"/>
  </si>
  <si>
    <t>characterToolData sound ready</t>
    <phoneticPr fontId="2" type="noConversion"/>
  </si>
  <si>
    <t>攻击音效列表</t>
    <phoneticPr fontId="2" type="noConversion"/>
  </si>
  <si>
    <t>单击音效列表</t>
    <phoneticPr fontId="2" type="noConversion"/>
  </si>
  <si>
    <t>移动音效列表</t>
    <phoneticPr fontId="2" type="noConversion"/>
  </si>
  <si>
    <t>阵亡音效</t>
    <phoneticPr fontId="2" type="noConversion"/>
  </si>
  <si>
    <t>就绪音效</t>
    <phoneticPr fontId="2" type="noConversion"/>
  </si>
  <si>
    <t>技能指令元数据</t>
    <phoneticPr fontId="2" type="noConversion"/>
  </si>
  <si>
    <t>武器暴击指令名称</t>
    <phoneticPr fontId="2" type="noConversion"/>
  </si>
  <si>
    <t>AI模型可用性</t>
    <phoneticPr fontId="2" type="noConversion"/>
  </si>
  <si>
    <t>被动等级描述</t>
    <phoneticPr fontId="2" type="noConversion"/>
  </si>
  <si>
    <t>被动数据</t>
    <phoneticPr fontId="2" type="noConversion"/>
  </si>
  <si>
    <t>其它形态</t>
    <phoneticPr fontId="2" type="noConversion"/>
  </si>
  <si>
    <t>检索标签：主要职业</t>
    <phoneticPr fontId="2" type="noConversion"/>
  </si>
  <si>
    <t>检索标签：次要职业</t>
    <phoneticPr fontId="2" type="noConversion"/>
  </si>
  <si>
    <t>英雄序号</t>
    <phoneticPr fontId="2" type="noConversion"/>
  </si>
  <si>
    <t>角色定位</t>
    <phoneticPr fontId="2" type="noConversion"/>
  </si>
  <si>
    <t>被动资源渐变色</t>
    <phoneticPr fontId="2" type="noConversion"/>
  </si>
  <si>
    <t>攻击后移动延迟</t>
    <phoneticPr fontId="2" type="noConversion"/>
  </si>
  <si>
    <t>技能风格</t>
    <phoneticPr fontId="2" type="noConversion"/>
  </si>
  <si>
    <t>使用难度</t>
    <phoneticPr fontId="2" type="noConversion"/>
  </si>
  <si>
    <t>普攻风格</t>
    <phoneticPr fontId="2" type="noConversion"/>
  </si>
  <si>
    <t>强韧风格</t>
    <phoneticPr fontId="2" type="noConversion"/>
  </si>
  <si>
    <t>背景故事</t>
    <phoneticPr fontId="2" type="noConversion"/>
  </si>
  <si>
    <t>技能升级效应因子</t>
    <phoneticPr fontId="2" type="noConversion"/>
  </si>
  <si>
    <t>描述键</t>
    <phoneticPr fontId="2" type="noConversion"/>
  </si>
  <si>
    <t>characterToolData description_content_zh</t>
    <phoneticPr fontId="2" type="noConversion"/>
  </si>
  <si>
    <t>characterToolData description_content_en</t>
    <phoneticPr fontId="2" type="noConversion"/>
  </si>
  <si>
    <t>描述（中文）</t>
    <phoneticPr fontId="2" type="noConversion"/>
  </si>
  <si>
    <t>描述（英文）</t>
    <phoneticPr fontId="2" type="noConversion"/>
  </si>
  <si>
    <t>分类</t>
    <phoneticPr fontId="2" type="noConversion"/>
  </si>
  <si>
    <t>追击移动攻击距离百分比</t>
    <phoneticPr fontId="2" type="noConversion"/>
  </si>
  <si>
    <t>电脑模型可用性</t>
    <phoneticPr fontId="2" type="noConversion"/>
  </si>
  <si>
    <t>电脑模型匹配对局可用性</t>
    <phoneticPr fontId="2" type="noConversion"/>
  </si>
  <si>
    <t>攻击速度上限</t>
    <phoneticPr fontId="2" type="noConversion"/>
  </si>
  <si>
    <t>电脑玩家默认携带召唤师技能1</t>
    <phoneticPr fontId="2" type="noConversion"/>
  </si>
  <si>
    <t>电脑玩家默认携带召唤师技能2</t>
    <phoneticPr fontId="2" type="noConversion"/>
  </si>
  <si>
    <t>key</t>
    <phoneticPr fontId="2" type="noConversion"/>
  </si>
  <si>
    <t>主键</t>
    <phoneticPr fontId="2" type="noConversion"/>
  </si>
  <si>
    <t>被动技能名称（中文）</t>
    <phoneticPr fontId="2" type="noConversion"/>
  </si>
  <si>
    <t>被动技能名称（英文）</t>
    <phoneticPr fontId="2" type="noConversion"/>
  </si>
  <si>
    <t>被动技能说明文本（中文）</t>
    <phoneticPr fontId="2" type="noConversion"/>
  </si>
  <si>
    <t>被动技能说明文本（英文）</t>
    <phoneticPr fontId="2" type="noConversion"/>
  </si>
  <si>
    <t>友军说明文本（中文）</t>
    <phoneticPr fontId="2" type="noConversion"/>
  </si>
  <si>
    <t>友军说明文本键</t>
    <phoneticPr fontId="2" type="noConversion"/>
  </si>
  <si>
    <t>敌军说明文本键</t>
    <phoneticPr fontId="2" type="noConversion"/>
  </si>
  <si>
    <t>友军说明文本（英文）</t>
    <phoneticPr fontId="2" type="noConversion"/>
  </si>
  <si>
    <t>敌军说明文本（中文）</t>
    <phoneticPr fontId="2" type="noConversion"/>
  </si>
  <si>
    <t>敌军说明文本（英文）</t>
    <phoneticPr fontId="2" type="noConversion"/>
  </si>
  <si>
    <t>显示名键</t>
    <phoneticPr fontId="2" type="noConversion"/>
  </si>
  <si>
    <t>显示名（中文）</t>
    <phoneticPr fontId="2" type="noConversion"/>
  </si>
  <si>
    <t>显示名（英文）</t>
    <phoneticPr fontId="2" type="noConversion"/>
  </si>
  <si>
    <t>次要施法资源名称（中文）</t>
    <phoneticPr fontId="2" type="noConversion"/>
  </si>
  <si>
    <t>次要施法资源名称（英文）</t>
    <phoneticPr fontId="2" type="noConversion"/>
  </si>
  <si>
    <t>基础攻击速度</t>
    <phoneticPr fontId="2" type="noConversion"/>
  </si>
  <si>
    <t>被动技能描述文本键</t>
    <phoneticPr fontId="2" type="noConversion"/>
  </si>
  <si>
    <t>被动技能指令代码</t>
    <phoneticPr fontId="2" type="noConversion"/>
  </si>
  <si>
    <t>modeFolder</t>
    <phoneticPr fontId="2" type="noConversion"/>
  </si>
  <si>
    <t>游戏模式文件夹</t>
    <phoneticPr fontId="2" type="noConversion"/>
  </si>
  <si>
    <t>passiveObject</t>
    <phoneticPr fontId="2" type="noConversion"/>
  </si>
  <si>
    <t>被动技能指令对象</t>
    <phoneticPr fontId="2" type="noConversion"/>
  </si>
  <si>
    <t>passiveToolTip_content_zh</t>
  </si>
  <si>
    <t>passiveToolTip_content_en</t>
  </si>
  <si>
    <t>defaultValue</t>
    <phoneticPr fontId="2" type="noConversion"/>
  </si>
  <si>
    <t>passiveToolTip_content_zh_burn</t>
    <phoneticPr fontId="2" type="noConversion"/>
  </si>
  <si>
    <t>passiveToolTip_content_en_burn</t>
    <phoneticPr fontId="2" type="noConversion"/>
  </si>
  <si>
    <t>被动技能说明文本（中文/数值转换）</t>
    <phoneticPr fontId="2" type="noConversion"/>
  </si>
  <si>
    <t>被动技能说明文本（英文/数值转换）</t>
    <phoneticPr fontId="2" type="noConversion"/>
  </si>
  <si>
    <t>spellName</t>
  </si>
  <si>
    <t>施法事件名称</t>
    <phoneticPr fontId="2" type="noConversion"/>
  </si>
  <si>
    <t>mDisplayName</t>
  </si>
  <si>
    <t>mRequiredPurchaseIdentities</t>
  </si>
  <si>
    <t>购买所需条件</t>
    <phoneticPr fontId="2" type="noConversion"/>
  </si>
  <si>
    <t>mRequiredChampion</t>
  </si>
  <si>
    <t>适用英雄</t>
    <phoneticPr fontId="2" type="noConversion"/>
  </si>
  <si>
    <t>mRequiredSpellName</t>
  </si>
  <si>
    <t>所需指令名</t>
    <phoneticPr fontId="2" type="noConversion"/>
  </si>
  <si>
    <t>mDisabledDescriptionOverride</t>
  </si>
  <si>
    <t>禁用信息重载</t>
    <phoneticPr fontId="2" type="noConversion"/>
  </si>
  <si>
    <t>mDeathRecapName</t>
  </si>
  <si>
    <t>死亡回放代码</t>
    <phoneticPr fontId="2" type="noConversion"/>
  </si>
  <si>
    <t>mRequiredLevel</t>
  </si>
  <si>
    <t>所需英雄等级</t>
    <phoneticPr fontId="2" type="noConversion"/>
  </si>
  <si>
    <t>itemID</t>
  </si>
  <si>
    <t>装备序号</t>
    <phoneticPr fontId="2" type="noConversion"/>
  </si>
  <si>
    <t>maxStack</t>
  </si>
  <si>
    <t>最大持有数量</t>
    <phoneticPr fontId="2" type="noConversion"/>
  </si>
  <si>
    <t>mItemGroups</t>
  </si>
  <si>
    <t>装备分组</t>
    <phoneticPr fontId="2" type="noConversion"/>
  </si>
  <si>
    <t>mItemAdviceAttributes</t>
  </si>
  <si>
    <t>装备推荐属性</t>
    <phoneticPr fontId="2" type="noConversion"/>
  </si>
  <si>
    <t>itemVOGroup</t>
  </si>
  <si>
    <t>装备音效分组</t>
    <phoneticPr fontId="2" type="noConversion"/>
  </si>
  <si>
    <t>price</t>
  </si>
  <si>
    <t>合成费用</t>
    <phoneticPr fontId="2" type="noConversion"/>
  </si>
  <si>
    <t>mRequiredBuffCurrencyCost</t>
  </si>
  <si>
    <t>其它费用</t>
    <phoneticPr fontId="2" type="noConversion"/>
  </si>
  <si>
    <t>mItemCalloutPlayer</t>
  </si>
  <si>
    <t>购买时弹出提示</t>
    <phoneticPr fontId="2" type="noConversion"/>
  </si>
  <si>
    <t>mRequiredBuffCurrencyName</t>
  </si>
  <si>
    <t>其它货币类型</t>
    <phoneticPr fontId="2" type="noConversion"/>
  </si>
  <si>
    <t>RestrictedBuffName</t>
  </si>
  <si>
    <t>限定增益名称</t>
    <phoneticPr fontId="2" type="noConversion"/>
  </si>
  <si>
    <t>consumed</t>
  </si>
  <si>
    <t>usableInStore</t>
  </si>
  <si>
    <t>商店中可用</t>
    <phoneticPr fontId="2" type="noConversion"/>
  </si>
  <si>
    <t>consumeOnAcquire</t>
  </si>
  <si>
    <t>购买时消耗</t>
    <phoneticPr fontId="2" type="noConversion"/>
  </si>
  <si>
    <t>clickable</t>
  </si>
  <si>
    <t>可单击使用</t>
    <phoneticPr fontId="2" type="noConversion"/>
  </si>
  <si>
    <t>mHiddenFromOpponents</t>
  </si>
  <si>
    <t>对手不可见</t>
    <phoneticPr fontId="2" type="noConversion"/>
  </si>
  <si>
    <t>mItemCalloutSpectator</t>
  </si>
  <si>
    <t>观战购买时弹出提示</t>
    <phoneticPr fontId="2" type="noConversion"/>
  </si>
  <si>
    <t>ShowCooldownVfxToAllies</t>
  </si>
  <si>
    <t>友军可见冷却时间</t>
    <phoneticPr fontId="2" type="noConversion"/>
  </si>
  <si>
    <t>ShowCooldownInPings</t>
  </si>
  <si>
    <t>可标记冷却时间</t>
    <phoneticPr fontId="2" type="noConversion"/>
  </si>
  <si>
    <t>mCanBeSold</t>
  </si>
  <si>
    <t>可以售出</t>
    <phoneticPr fontId="2" type="noConversion"/>
  </si>
  <si>
    <t>specialRecipe</t>
  </si>
  <si>
    <t>特殊合成材料序号</t>
    <phoneticPr fontId="2" type="noConversion"/>
  </si>
  <si>
    <t>epicness</t>
  </si>
  <si>
    <t>稀有度指数</t>
    <phoneticPr fontId="2" type="noConversion"/>
  </si>
  <si>
    <t>SecondaryEpicness</t>
  </si>
  <si>
    <t>次要稀有度指数</t>
    <phoneticPr fontId="2" type="noConversion"/>
  </si>
  <si>
    <t>sidegradeItemLinks</t>
  </si>
  <si>
    <t>同级替换路径</t>
    <phoneticPr fontId="2" type="noConversion"/>
  </si>
  <si>
    <t>mEffectAmount</t>
  </si>
  <si>
    <t>因子取值</t>
    <phoneticPr fontId="2" type="noConversion"/>
  </si>
  <si>
    <t>recipeItemLinks</t>
  </si>
  <si>
    <t>合成路径</t>
    <phoneticPr fontId="2" type="noConversion"/>
  </si>
  <si>
    <t>requiredItemLinks</t>
  </si>
  <si>
    <t>所需装备路径</t>
    <phoneticPr fontId="2" type="noConversion"/>
  </si>
  <si>
    <t>mScripts</t>
  </si>
  <si>
    <t>指令</t>
    <phoneticPr fontId="2" type="noConversion"/>
  </si>
  <si>
    <t>mItemModifiers</t>
  </si>
  <si>
    <t>装备调整策略</t>
    <phoneticPr fontId="2" type="noConversion"/>
  </si>
  <si>
    <t>mDataValues</t>
  </si>
  <si>
    <t>数值</t>
    <phoneticPr fontId="2" type="noConversion"/>
  </si>
  <si>
    <t>mFlatAttackRangeMod</t>
  </si>
  <si>
    <t>固定攻击距离</t>
    <phoneticPr fontId="2" type="noConversion"/>
  </si>
  <si>
    <t>mPercentArmorPenetrationMod</t>
  </si>
  <si>
    <t>护甲穿透</t>
    <phoneticPr fontId="2" type="noConversion"/>
  </si>
  <si>
    <t>DataValuesModeOverride</t>
  </si>
  <si>
    <t>模式数值重载</t>
    <phoneticPr fontId="2" type="noConversion"/>
  </si>
  <si>
    <t>mItemCalculations</t>
  </si>
  <si>
    <t>装备数值计算</t>
    <phoneticPr fontId="2" type="noConversion"/>
  </si>
  <si>
    <t>mEffectByLevelAmount</t>
  </si>
  <si>
    <t>等级成长效果</t>
    <phoneticPr fontId="2" type="noConversion"/>
  </si>
  <si>
    <t>{fe87f21e}</t>
  </si>
  <si>
    <t>攻击特效伤害计算</t>
    <phoneticPr fontId="2" type="noConversion"/>
  </si>
  <si>
    <t>mPercentTenacityItemMod</t>
  </si>
  <si>
    <t>韧性</t>
    <phoneticPr fontId="2" type="noConversion"/>
  </si>
  <si>
    <t>mFlatMovementSpeedMod</t>
  </si>
  <si>
    <t>移动速度固定值</t>
    <phoneticPr fontId="2" type="noConversion"/>
  </si>
  <si>
    <t>StringCalculations</t>
  </si>
  <si>
    <t>字符串计算方式</t>
    <phoneticPr fontId="2" type="noConversion"/>
  </si>
  <si>
    <t>mAbilityHasteMod</t>
  </si>
  <si>
    <t>技能急速</t>
    <phoneticPr fontId="2" type="noConversion"/>
  </si>
  <si>
    <t>mFlatArmorPenetrationMod</t>
  </si>
  <si>
    <t>穿甲</t>
    <phoneticPr fontId="2" type="noConversion"/>
  </si>
  <si>
    <t>mPercentMagicPenetrationMod</t>
  </si>
  <si>
    <t>法术穿透百分比</t>
    <phoneticPr fontId="2" type="noConversion"/>
  </si>
  <si>
    <t>mFlatMagicPenetrationMod</t>
  </si>
  <si>
    <t>法术穿透固定值</t>
    <phoneticPr fontId="2" type="noConversion"/>
  </si>
  <si>
    <t>mFlatHPPoolMod</t>
  </si>
  <si>
    <t>生命值</t>
    <phoneticPr fontId="2" type="noConversion"/>
  </si>
  <si>
    <t>mPercentSlowResistMod</t>
  </si>
  <si>
    <t>减速抗性</t>
    <phoneticPr fontId="2" type="noConversion"/>
  </si>
  <si>
    <t>mFlatHPRegenMod</t>
  </si>
  <si>
    <t>生命回复</t>
    <phoneticPr fontId="2" type="noConversion"/>
  </si>
  <si>
    <t>mPercentBaseHPRegenMod</t>
  </si>
  <si>
    <t>mFlatCritChanceMod</t>
  </si>
  <si>
    <t>暴击几率</t>
    <phoneticPr fontId="2" type="noConversion"/>
  </si>
  <si>
    <t>mFlatCritDamageMod</t>
  </si>
  <si>
    <t>暴击伤害</t>
    <phoneticPr fontId="2" type="noConversion"/>
  </si>
  <si>
    <t>mPercentMovementSpeedMod</t>
  </si>
  <si>
    <t>移动速度百分比</t>
    <phoneticPr fontId="2" type="noConversion"/>
  </si>
  <si>
    <t>mFlatArmorMod</t>
  </si>
  <si>
    <t>护甲</t>
    <phoneticPr fontId="2" type="noConversion"/>
  </si>
  <si>
    <t>mFlatSpellBlockMod</t>
  </si>
  <si>
    <t>魔法抗性</t>
    <phoneticPr fontId="2" type="noConversion"/>
  </si>
  <si>
    <t>mFlatPhysicalDamageMod</t>
  </si>
  <si>
    <t>攻击力</t>
    <phoneticPr fontId="2" type="noConversion"/>
  </si>
  <si>
    <t>PhysicalLethality</t>
  </si>
  <si>
    <t>mPercentAttackSpeedMod</t>
  </si>
  <si>
    <t>攻击速度</t>
    <phoneticPr fontId="2" type="noConversion"/>
  </si>
  <si>
    <t>mPercentMultiplicativeAttackSpeedMod</t>
  </si>
  <si>
    <t>总攻击速度</t>
    <phoneticPr fontId="2" type="noConversion"/>
  </si>
  <si>
    <t>mPercentLifeStealMod</t>
  </si>
  <si>
    <t>生命偷取</t>
    <phoneticPr fontId="2" type="noConversion"/>
  </si>
  <si>
    <t>mFlatMagicDamageMod</t>
  </si>
  <si>
    <t>法术强度</t>
    <phoneticPr fontId="2" type="noConversion"/>
  </si>
  <si>
    <t>PercentOmnivampMod</t>
  </si>
  <si>
    <t>全能吸血</t>
    <phoneticPr fontId="2" type="noConversion"/>
  </si>
  <si>
    <t>mPercentHealingAmountMod</t>
  </si>
  <si>
    <t>治疗和护盾强度</t>
    <phoneticPr fontId="2" type="noConversion"/>
  </si>
  <si>
    <t>percentBaseMPRegenMod</t>
  </si>
  <si>
    <t>基础法力回复</t>
    <phoneticPr fontId="2" type="noConversion"/>
  </si>
  <si>
    <t>flatMPPoolMod</t>
  </si>
  <si>
    <t>法力值</t>
    <phoneticPr fontId="2" type="noConversion"/>
  </si>
  <si>
    <t>sellBackModifier</t>
  </si>
  <si>
    <t>售价折扣</t>
    <phoneticPr fontId="2" type="noConversion"/>
  </si>
  <si>
    <t>flatMPRegenMod</t>
  </si>
  <si>
    <t>法力回复</t>
    <phoneticPr fontId="2" type="noConversion"/>
  </si>
  <si>
    <t>mCooldownShowDisabledDuration</t>
  </si>
  <si>
    <t>冷却时间冻结持续时长</t>
    <phoneticPr fontId="2" type="noConversion"/>
  </si>
  <si>
    <t>mItemDataBuild</t>
  </si>
  <si>
    <t>同品类装备合成信息</t>
    <phoneticPr fontId="2" type="noConversion"/>
  </si>
  <si>
    <t>mCategories</t>
  </si>
  <si>
    <t>类别</t>
    <phoneticPr fontId="2" type="noConversion"/>
  </si>
  <si>
    <t>mItemDataAvailability</t>
  </si>
  <si>
    <t>数据可用性</t>
    <phoneticPr fontId="2" type="noConversion"/>
  </si>
  <si>
    <t>RecommendationTags</t>
  </si>
  <si>
    <t>推荐标签</t>
    <phoneticPr fontId="2" type="noConversion"/>
  </si>
  <si>
    <t>mItemAttributes</t>
  </si>
  <si>
    <t>装备属性</t>
    <phoneticPr fontId="2" type="noConversion"/>
  </si>
  <si>
    <t>{4f958685}</t>
  </si>
  <si>
    <t>装备复制来源</t>
    <phoneticPr fontId="2" type="noConversion"/>
  </si>
  <si>
    <t>ShopOrderPriority</t>
  </si>
  <si>
    <t>商店排序优先级</t>
    <phoneticPr fontId="2" type="noConversion"/>
  </si>
  <si>
    <t>LastMajorChangeMajorPatchVersion</t>
  </si>
  <si>
    <t>装备效果重做大版本</t>
    <phoneticPr fontId="2" type="noConversion"/>
  </si>
  <si>
    <t>LastMajorChangeMinorPatchVersion</t>
  </si>
  <si>
    <t>装备效果重做小版本</t>
    <phoneticPr fontId="2" type="noConversion"/>
  </si>
  <si>
    <t>mItemDataClient</t>
  </si>
  <si>
    <t>客户端数据</t>
    <phoneticPr fontId="2" type="noConversion"/>
  </si>
  <si>
    <t>mVFXResourceResolver</t>
  </si>
  <si>
    <t>视觉效果资源解析</t>
    <phoneticPr fontId="2" type="noConversion"/>
  </si>
  <si>
    <t>mItemAdviceAttributes_content</t>
    <phoneticPr fontId="2" type="noConversion"/>
  </si>
  <si>
    <t>装备推荐属性内容</t>
    <phoneticPr fontId="2" type="noConversion"/>
  </si>
  <si>
    <t>totalPrice</t>
    <phoneticPr fontId="2" type="noConversion"/>
  </si>
  <si>
    <t>总费用</t>
    <phoneticPr fontId="2" type="noConversion"/>
  </si>
  <si>
    <t>特殊合成材料（中文）</t>
    <phoneticPr fontId="2" type="noConversion"/>
  </si>
  <si>
    <t>特殊合成材料（英文）</t>
    <phoneticPr fontId="2" type="noConversion"/>
  </si>
  <si>
    <t>secondaryRarity</t>
    <phoneticPr fontId="2" type="noConversion"/>
  </si>
  <si>
    <t>次要位阶</t>
    <phoneticPr fontId="2" type="noConversion"/>
  </si>
  <si>
    <t>同级替换装备（中文）</t>
    <phoneticPr fontId="2" type="noConversion"/>
  </si>
  <si>
    <t>同级替换装备（英文）</t>
    <phoneticPr fontId="2" type="noConversion"/>
  </si>
  <si>
    <t>合成材料（中文）</t>
    <phoneticPr fontId="2" type="noConversion"/>
  </si>
  <si>
    <t>合成材料（英文）</t>
    <phoneticPr fontId="2" type="noConversion"/>
  </si>
  <si>
    <t>所需材料（中文）</t>
    <phoneticPr fontId="2" type="noConversion"/>
  </si>
  <si>
    <t>所需材料（英文）</t>
    <phoneticPr fontId="2" type="noConversion"/>
  </si>
  <si>
    <t>同品类合成装备（中文）</t>
    <phoneticPr fontId="2" type="noConversion"/>
  </si>
  <si>
    <t>同品类合成装备（英文）</t>
    <phoneticPr fontId="2" type="noConversion"/>
  </si>
  <si>
    <t>LastMajorChangeVersion</t>
    <phoneticPr fontId="2" type="noConversion"/>
  </si>
  <si>
    <t>装备效果重做版本</t>
    <phoneticPr fontId="2" type="noConversion"/>
  </si>
  <si>
    <t>mItemDataAvailability mInStore</t>
    <phoneticPr fontId="2" type="noConversion"/>
  </si>
  <si>
    <t>商店可见性</t>
    <phoneticPr fontId="2" type="noConversion"/>
  </si>
  <si>
    <t>mItemDataAvailability mForceLoad</t>
    <phoneticPr fontId="2" type="noConversion"/>
  </si>
  <si>
    <t>强制加载</t>
    <phoneticPr fontId="2" type="noConversion"/>
  </si>
  <si>
    <t>mItemDataAvailability mHidefromAll</t>
    <phoneticPr fontId="2" type="noConversion"/>
  </si>
  <si>
    <t>对所有人隐藏</t>
    <phoneticPr fontId="2" type="noConversion"/>
  </si>
  <si>
    <t>mItemDataClient mTooltipData mObjectName</t>
    <phoneticPr fontId="2" type="noConversion"/>
  </si>
  <si>
    <t>详细信息对象名称</t>
    <phoneticPr fontId="2" type="noConversion"/>
  </si>
  <si>
    <t>mItemDataClient mTooltipData mFormat</t>
    <phoneticPr fontId="2" type="noConversion"/>
  </si>
  <si>
    <t>详细信息格式</t>
    <phoneticPr fontId="2" type="noConversion"/>
  </si>
  <si>
    <t>mItemDataClient mTooltipData EnableExtendedTooltip</t>
    <phoneticPr fontId="2" type="noConversion"/>
  </si>
  <si>
    <t>详细信息可展开</t>
    <phoneticPr fontId="2" type="noConversion"/>
  </si>
  <si>
    <t>mItemDataClient mTooltipData mLocKeys keyName</t>
    <phoneticPr fontId="2" type="noConversion"/>
  </si>
  <si>
    <t>mItemDataClient mTooltipData mLocKeys keyActive</t>
    <phoneticPr fontId="2" type="noConversion"/>
  </si>
  <si>
    <t>主动效果键</t>
    <phoneticPr fontId="2" type="noConversion"/>
  </si>
  <si>
    <t>mItemDataClient mTooltipData mLocKeys keyTooltip</t>
    <phoneticPr fontId="2" type="noConversion"/>
  </si>
  <si>
    <t>详细信息键</t>
    <phoneticPr fontId="2" type="noConversion"/>
  </si>
  <si>
    <t>mItemDataClient mTooltipData mLocKeys keyShopOnlyText</t>
    <phoneticPr fontId="2" type="noConversion"/>
  </si>
  <si>
    <t>仅商店呈现文本键</t>
    <phoneticPr fontId="2" type="noConversion"/>
  </si>
  <si>
    <t>mItemDataClient mTooltipData mLocKeys keyFlavorText</t>
    <phoneticPr fontId="2" type="noConversion"/>
  </si>
  <si>
    <t>旁白键</t>
    <phoneticPr fontId="2" type="noConversion"/>
  </si>
  <si>
    <t>mItemDataClient mTooltipData mLocKeys keyBrief</t>
    <phoneticPr fontId="2" type="noConversion"/>
  </si>
  <si>
    <t>mItemDataClient mTooltipData mLocKeys keySummary</t>
    <phoneticPr fontId="2" type="noConversion"/>
  </si>
  <si>
    <t>总结键</t>
    <phoneticPr fontId="2" type="noConversion"/>
  </si>
  <si>
    <t>mItemDataClient mTooltipData mLocKeys keyInventoryOnlyText</t>
    <phoneticPr fontId="2" type="noConversion"/>
  </si>
  <si>
    <t>仅装备栏呈现文本键</t>
    <phoneticPr fontId="2" type="noConversion"/>
  </si>
  <si>
    <t>mItemDataClient mTooltipData mLocKeys keyActiveInventory</t>
    <phoneticPr fontId="2" type="noConversion"/>
  </si>
  <si>
    <t>主动效果动态描述键</t>
    <phoneticPr fontId="2" type="noConversion"/>
  </si>
  <si>
    <t>mItemDataClient mTooltipData mLocKeys keyColloquialism</t>
    <phoneticPr fontId="2" type="noConversion"/>
  </si>
  <si>
    <t>检索键</t>
    <phoneticPr fontId="2" type="noConversion"/>
  </si>
  <si>
    <t>mItemDataClient mTooltipData mLocKeys keyTooltipInventory</t>
    <phoneticPr fontId="2" type="noConversion"/>
  </si>
  <si>
    <t>装备栏详细信息键</t>
    <phoneticPr fontId="2" type="noConversion"/>
  </si>
  <si>
    <t>mItemDataClient mTooltipData mLocKeys keyTooltipInventoryExtended</t>
    <phoneticPr fontId="2" type="noConversion"/>
  </si>
  <si>
    <t>装备栏展开详细信息键</t>
    <phoneticPr fontId="2" type="noConversion"/>
  </si>
  <si>
    <t>mItemDataClient mTooltipData mLocKeys keyTooltipExternal</t>
    <phoneticPr fontId="2" type="noConversion"/>
  </si>
  <si>
    <t>外部详细信息键</t>
    <phoneticPr fontId="2" type="noConversion"/>
  </si>
  <si>
    <t>mItemDataClient mTooltipData mLocKeys keyTooltipExtended</t>
    <phoneticPr fontId="2" type="noConversion"/>
  </si>
  <si>
    <t>展开详细信息键</t>
    <phoneticPr fontId="2" type="noConversion"/>
  </si>
  <si>
    <t>mItemDataClient mTooltipData mLocKeys keySecondaryBrief</t>
    <phoneticPr fontId="2" type="noConversion"/>
  </si>
  <si>
    <t>次要简介键</t>
    <phoneticPr fontId="2" type="noConversion"/>
  </si>
  <si>
    <t>mItemDataClient mTooltipData mLocKeys keyKeywordDefinitions</t>
    <phoneticPr fontId="2" type="noConversion"/>
  </si>
  <si>
    <t>关键词定义键</t>
    <phoneticPr fontId="2" type="noConversion"/>
  </si>
  <si>
    <t>mItemDataClient mTooltipData mLocKeys keyActiveExternal</t>
    <phoneticPr fontId="2" type="noConversion"/>
  </si>
  <si>
    <t>外部主动效果键</t>
    <phoneticPr fontId="2" type="noConversion"/>
  </si>
  <si>
    <t>mItemDataClient mTooltipData mLocKeys keyTooltipExtendedRules</t>
    <phoneticPr fontId="2" type="noConversion"/>
  </si>
  <si>
    <t>详细信息拓展规则键</t>
    <phoneticPr fontId="2" type="noConversion"/>
  </si>
  <si>
    <t>mItemDataClient mTooltipData mLocKeys keyActiveExtended</t>
    <phoneticPr fontId="2" type="noConversion"/>
  </si>
  <si>
    <t>展开主动效果键</t>
    <phoneticPr fontId="2" type="noConversion"/>
  </si>
  <si>
    <t>mItemDataClient mTooltipData mLocKeys keyPrice</t>
    <phoneticPr fontId="2" type="noConversion"/>
  </si>
  <si>
    <t>价格键</t>
    <phoneticPr fontId="2" type="noConversion"/>
  </si>
  <si>
    <t>mItemDataClient mDescription</t>
    <phoneticPr fontId="2" type="noConversion"/>
  </si>
  <si>
    <t>mItemDataClient mDynamicTooltip</t>
    <phoneticPr fontId="2" type="noConversion"/>
  </si>
  <si>
    <t>动态详细信息键</t>
    <phoneticPr fontId="2" type="noConversion"/>
  </si>
  <si>
    <t>mItemDataClient mShopTooltip</t>
    <phoneticPr fontId="2" type="noConversion"/>
  </si>
  <si>
    <t>商店详细信息键</t>
    <phoneticPr fontId="2" type="noConversion"/>
  </si>
  <si>
    <t>mItemDataClient inventoryIcon</t>
    <phoneticPr fontId="2" type="noConversion"/>
  </si>
  <si>
    <t>装备栏图标</t>
    <phoneticPr fontId="2" type="noConversion"/>
  </si>
  <si>
    <t>mItemDataClient InventoryIconSmall</t>
    <phoneticPr fontId="2" type="noConversion"/>
  </si>
  <si>
    <t>装备栏小图标</t>
    <phoneticPr fontId="2" type="noConversion"/>
  </si>
  <si>
    <t>mItemDataClient InventoryIconLarge</t>
    <phoneticPr fontId="2" type="noConversion"/>
  </si>
  <si>
    <t>装备栏大图标</t>
    <phoneticPr fontId="2" type="noConversion"/>
  </si>
  <si>
    <t>mItemDataClient epicness</t>
    <phoneticPr fontId="2" type="noConversion"/>
  </si>
  <si>
    <t>客户端内稀有度指数</t>
    <phoneticPr fontId="2" type="noConversion"/>
  </si>
  <si>
    <t>mItemDataClient effectRadius</t>
    <phoneticPr fontId="2" type="noConversion"/>
  </si>
  <si>
    <t>影响范围半径</t>
    <phoneticPr fontId="2" type="noConversion"/>
  </si>
  <si>
    <t>mItemDataClient InventoryIconMaterial</t>
    <phoneticPr fontId="2" type="noConversion"/>
  </si>
  <si>
    <t>装备栏图标修饰材料</t>
    <phoneticPr fontId="2" type="noConversion"/>
  </si>
  <si>
    <t>mItemDataClient mFloatVarsDecimals</t>
    <phoneticPr fontId="2" type="noConversion"/>
  </si>
  <si>
    <t>小数位数控制</t>
    <phoneticPr fontId="2" type="noConversion"/>
  </si>
  <si>
    <t>mItemDataClient mTooltipData mStatList</t>
    <phoneticPr fontId="2" type="noConversion"/>
  </si>
  <si>
    <t>属性效果</t>
    <phoneticPr fontId="2" type="noConversion"/>
  </si>
  <si>
    <t>mItemDataClient mTooltipData mLocKeys keyName_content_zh</t>
    <phoneticPr fontId="2" type="noConversion"/>
  </si>
  <si>
    <t>mItemDataClient mTooltipData mLocKeys keyName_content_en</t>
    <phoneticPr fontId="2" type="noConversion"/>
  </si>
  <si>
    <t>mItemDataClient mTooltipData mLocKeys keyActive_content_zh</t>
    <phoneticPr fontId="2" type="noConversion"/>
  </si>
  <si>
    <t>主动效果（中文）</t>
    <phoneticPr fontId="2" type="noConversion"/>
  </si>
  <si>
    <t>mItemDataClient mTooltipData mLocKeys keyActive_content_zh_burn</t>
    <phoneticPr fontId="2" type="noConversion"/>
  </si>
  <si>
    <t>主动效果（中文/数值转换）</t>
    <phoneticPr fontId="2" type="noConversion"/>
  </si>
  <si>
    <t>mItemDataClient mTooltipData mLocKeys keyActive_content_en</t>
    <phoneticPr fontId="2" type="noConversion"/>
  </si>
  <si>
    <t>主动效果（英文）</t>
    <phoneticPr fontId="2" type="noConversion"/>
  </si>
  <si>
    <t>mItemDataClient mTooltipData mLocKeys keyActive_content_en_burn</t>
    <phoneticPr fontId="2" type="noConversion"/>
  </si>
  <si>
    <t>主动效果（英文/数值转换）</t>
    <phoneticPr fontId="2" type="noConversion"/>
  </si>
  <si>
    <t>mItemDataClient mTooltipData mLocKeys keyTooltip_content_zh</t>
  </si>
  <si>
    <t>详细信息（中文）</t>
  </si>
  <si>
    <t>mItemDataClient mTooltipData mLocKeys keyTooltip_content_zh_burn</t>
  </si>
  <si>
    <t>详细信息（中文/数值转换）</t>
  </si>
  <si>
    <t>mItemDataClient mTooltipData mLocKeys keyTooltip_content_en</t>
  </si>
  <si>
    <t>详细信息（英文）</t>
  </si>
  <si>
    <t>mItemDataClient mTooltipData mLocKeys keyTooltip_content_en_burn</t>
    <phoneticPr fontId="2" type="noConversion"/>
  </si>
  <si>
    <t>详细信息（英文/数值转换）</t>
  </si>
  <si>
    <t>mItemDataClient mTooltipData mLocKeys keyShopOnlyText_content_zh</t>
  </si>
  <si>
    <t>仅商店呈现文本（中文）</t>
  </si>
  <si>
    <t>mItemDataClient mTooltipData mLocKeys keyShopOnlyText_content_zh_burn</t>
  </si>
  <si>
    <t>仅商店呈现文本（中文/数值转换）</t>
  </si>
  <si>
    <t>mItemDataClient mTooltipData mLocKeys keyShopOnlyText_content_en</t>
  </si>
  <si>
    <t>仅商店呈现文本（英文）</t>
  </si>
  <si>
    <t>mItemDataClient mTooltipData mLocKeys keyShopOnlyText_content_en_burn</t>
    <phoneticPr fontId="2" type="noConversion"/>
  </si>
  <si>
    <t>仅商店呈现文本（英文/数值转换）</t>
  </si>
  <si>
    <t>mItemDataClient mTooltipData mLocKeys keyFlavorText_content_zh</t>
  </si>
  <si>
    <t>旁白（中文）</t>
  </si>
  <si>
    <t>mItemDataClient mTooltipData mLocKeys keyFlavorText_content_en</t>
  </si>
  <si>
    <t>旁白（英文）</t>
  </si>
  <si>
    <t>mItemDataClient mTooltipData mLocKeys keyBrief_content_zh</t>
  </si>
  <si>
    <t>简介（中文）</t>
  </si>
  <si>
    <t>mItemDataClient mTooltipData mLocKeys keyBrief_content_zh_burn</t>
  </si>
  <si>
    <t>简介（中文/数值转换）</t>
  </si>
  <si>
    <t>mItemDataClient mTooltipData mLocKeys keyBrief_content_en</t>
  </si>
  <si>
    <t>简介（英文）</t>
  </si>
  <si>
    <t>mItemDataClient mTooltipData mLocKeys keyBrief_content_en_burn</t>
  </si>
  <si>
    <t>简介（英文/数值转换）</t>
  </si>
  <si>
    <t>mItemDataClient mTooltipData mLocKeys keySummary_content_zh</t>
  </si>
  <si>
    <t>总结（中文）</t>
  </si>
  <si>
    <t>mItemDataClient mTooltipData mLocKeys keySummary_content_zh_burn</t>
  </si>
  <si>
    <t>总结（中文/数值转换）</t>
  </si>
  <si>
    <t>mItemDataClient mTooltipData mLocKeys keySummary_content_en</t>
  </si>
  <si>
    <t>总结（英文）</t>
  </si>
  <si>
    <t>mItemDataClient mTooltipData mLocKeys keySummary_content_en_burn</t>
  </si>
  <si>
    <t>总结（英文/数值转换）</t>
  </si>
  <si>
    <t>mItemDataClient mTooltipData mLocKeys keyInventoryOnlyText_content_zh</t>
  </si>
  <si>
    <t>仅装备栏呈现文本（中文）</t>
  </si>
  <si>
    <t>mItemDataClient mTooltipData mLocKeys keyInventoryOnlyText_content_zh_burn</t>
  </si>
  <si>
    <t>仅装备栏呈现文本（中文/数值转换）</t>
  </si>
  <si>
    <t>mItemDataClient mTooltipData mLocKeys keyInventoryOnlyText_content_en</t>
  </si>
  <si>
    <t>仅装备栏呈现文本（英文）</t>
  </si>
  <si>
    <t>mItemDataClient mTooltipData mLocKeys keyInventoryOnlyText_content_en_burn</t>
  </si>
  <si>
    <t>仅装备栏呈现文本（英文/数值转换）</t>
  </si>
  <si>
    <t>mItemDataClient mTooltipData mLocKeys keyActiveInventory_content_zh</t>
  </si>
  <si>
    <t>主动效果动态描述（中文）</t>
  </si>
  <si>
    <t>mItemDataClient mTooltipData mLocKeys keyActiveInventory_content_zh_burn</t>
  </si>
  <si>
    <t>主动效果动态描述（中文/数值转换）</t>
  </si>
  <si>
    <t>mItemDataClient mTooltipData mLocKeys keyActiveInventory_content_en</t>
  </si>
  <si>
    <t>主动效果动态描述（英文）</t>
  </si>
  <si>
    <t>mItemDataClient mTooltipData mLocKeys keyActiveInventory_content_en_burn</t>
  </si>
  <si>
    <t>主动效果动态描述（英文/数值转换）</t>
  </si>
  <si>
    <t>mItemDataClient mTooltipData mLocKeys keyColloquialism_content_zh</t>
  </si>
  <si>
    <t>检索关键字（中文）</t>
  </si>
  <si>
    <t>mItemDataClient mTooltipData mLocKeys keyColloquialism_content_en</t>
  </si>
  <si>
    <t>检索关键字（英文）</t>
  </si>
  <si>
    <t>mItemDataClient mTooltipData mLocKeys keyTooltipInventory_content_zh</t>
  </si>
  <si>
    <t>装备栏详细信息（中文）</t>
  </si>
  <si>
    <t>mItemDataClient mTooltipData mLocKeys keyTooltipInventory_content_zh_burn</t>
  </si>
  <si>
    <t>装备栏详细信息（中文/数值转换）</t>
  </si>
  <si>
    <t>mItemDataClient mTooltipData mLocKeys keyTooltipInventory_content_en</t>
  </si>
  <si>
    <t>装备栏详细信息（英文）</t>
  </si>
  <si>
    <t>mItemDataClient mTooltipData mLocKeys keyTooltipInventory_content_en_burn</t>
  </si>
  <si>
    <t>装备栏详细信息（英文/数值转换）</t>
  </si>
  <si>
    <t>mItemDataClient mTooltipData mLocKeys keyTooltipInventoryExtended_content_zh</t>
  </si>
  <si>
    <t>装备栏展开详细信息（中文）</t>
  </si>
  <si>
    <t>mItemDataClient mTooltipData mLocKeys keyTooltipInventoryExtended_content_zh_burn</t>
  </si>
  <si>
    <t>装备栏展开详细信息（中文/数值转换）</t>
  </si>
  <si>
    <t>mItemDataClient mTooltipData mLocKeys keyTooltipInventoryExtended_content_en</t>
  </si>
  <si>
    <t>装备栏展开详细信息（英文）</t>
  </si>
  <si>
    <t>mItemDataClient mTooltipData mLocKeys keyTooltipInventoryExtended_content_en_burn</t>
  </si>
  <si>
    <t>装备栏展开详细信息（英文/数值转换）</t>
  </si>
  <si>
    <t>mItemDataClient mTooltipData mLocKeys keyTooltipExternal_content_zh</t>
  </si>
  <si>
    <t>外部详细信息（中文）</t>
  </si>
  <si>
    <t>mItemDataClient mTooltipData mLocKeys keyTooltipExternal_content_zh_burn</t>
  </si>
  <si>
    <t>外部详细信息（中文/数值转换）</t>
  </si>
  <si>
    <t>mItemDataClient mTooltipData mLocKeys keyTooltipExternal_content_en</t>
  </si>
  <si>
    <t>外部详细信息（英文）</t>
  </si>
  <si>
    <t>mItemDataClient mTooltipData mLocKeys keyTooltipExternal_content_en_burn</t>
  </si>
  <si>
    <t>外部详细信息（英文/数值转换）</t>
  </si>
  <si>
    <t>mItemDataClient mTooltipData mLocKeys keyTooltipExtended_content_zh</t>
  </si>
  <si>
    <t>展开详细信息（中文）</t>
  </si>
  <si>
    <t>mItemDataClient mTooltipData mLocKeys keyTooltipExtended_content_zh_burn</t>
  </si>
  <si>
    <t>展开详细信息（中文/数值转换）</t>
  </si>
  <si>
    <t>mItemDataClient mTooltipData mLocKeys keyTooltipExtended_content_en</t>
  </si>
  <si>
    <t>展开详细信息（英文）</t>
  </si>
  <si>
    <t>mItemDataClient mTooltipData mLocKeys keyTooltipExtended_content_en_burn</t>
  </si>
  <si>
    <t>展开详细信息（英文/数值转换）</t>
  </si>
  <si>
    <t>mItemDataClient mTooltipData mLocKeys keySecondaryBrief_content_zh</t>
  </si>
  <si>
    <t>次要简介（中文）</t>
  </si>
  <si>
    <t>mItemDataClient mTooltipData mLocKeys keySecondaryBrief_content_zh_burn</t>
  </si>
  <si>
    <t>次要简介（中文/数值转换）</t>
  </si>
  <si>
    <t>mItemDataClient mTooltipData mLocKeys keySecondaryBrief_content_en</t>
  </si>
  <si>
    <t>次要简介（英文）</t>
  </si>
  <si>
    <t>mItemDataClient mTooltipData mLocKeys keySecondaryBrief_content_en_burn</t>
  </si>
  <si>
    <t>次要简介（英文/数值转换）</t>
  </si>
  <si>
    <t>mItemDataClient mTooltipData mLocKeys keyKeywordDefinitions_content_zh</t>
  </si>
  <si>
    <t>关键词定义（中文）</t>
  </si>
  <si>
    <t>mItemDataClient mTooltipData mLocKeys keyKeywordDefinitions_content_en</t>
  </si>
  <si>
    <t>关键词定义（英文）</t>
  </si>
  <si>
    <t>mItemDataClient mTooltipData mLocKeys keyActiveExternal_content_zh</t>
  </si>
  <si>
    <t>外部主动效果（中文）</t>
  </si>
  <si>
    <t>mItemDataClient mTooltipData mLocKeys keyActiveExternal_content_zh_burn</t>
  </si>
  <si>
    <t>外部主动效果（中文/数值转换）</t>
  </si>
  <si>
    <t>mItemDataClient mTooltipData mLocKeys keyActiveExternal_content_en</t>
  </si>
  <si>
    <t>外部主动效果（英文）</t>
  </si>
  <si>
    <t>mItemDataClient mTooltipData mLocKeys keyActiveExternal_content_en_burn</t>
  </si>
  <si>
    <t>外部主动效果（英文/数值转换）</t>
  </si>
  <si>
    <t>mItemDataClient mTooltipData mLocKeys keyTooltipExtendedRules_content_zh</t>
  </si>
  <si>
    <t>详细信息拓展规则（中文）</t>
  </si>
  <si>
    <t>mItemDataClient mTooltipData mLocKeys keyTooltipExtendedRules_content_zh_burn</t>
  </si>
  <si>
    <t>详细信息拓展规则（中文/数值转换）</t>
  </si>
  <si>
    <t>mItemDataClient mTooltipData mLocKeys keyTooltipExtendedRules_content_en</t>
  </si>
  <si>
    <t>详细信息拓展规则（英文）</t>
  </si>
  <si>
    <t>mItemDataClient mTooltipData mLocKeys keyTooltipExtendedRules_content_en_burn</t>
  </si>
  <si>
    <t>详细信息拓展规则（英文/数值转换）</t>
  </si>
  <si>
    <t>mItemDataClient mTooltipData mLocKeys keyActiveExtended_content_zh</t>
  </si>
  <si>
    <t>展开主动效果（中文）</t>
  </si>
  <si>
    <t>mItemDataClient mTooltipData mLocKeys keyActiveExtended_content_zh_burn</t>
  </si>
  <si>
    <t>展开主动效果（中文/数值转换）</t>
  </si>
  <si>
    <t>mItemDataClient mTooltipData mLocKeys keyActiveExtended_content_en</t>
  </si>
  <si>
    <t>展开主动效果（英文）</t>
  </si>
  <si>
    <t>mItemDataClient mTooltipData mLocKeys keyActiveExtended_content_en_burn</t>
  </si>
  <si>
    <t>展开主动效果（英文/数值转换）</t>
  </si>
  <si>
    <t>mItemDataClient mDescription_content_zh</t>
    <phoneticPr fontId="2" type="noConversion"/>
  </si>
  <si>
    <t>mItemDataClient mDescription_content_zh_burn</t>
  </si>
  <si>
    <t>描述（中文/数值转换）</t>
    <phoneticPr fontId="2" type="noConversion"/>
  </si>
  <si>
    <t>mItemDataClient mDescription_content_en</t>
    <phoneticPr fontId="2" type="noConversion"/>
  </si>
  <si>
    <t>描述（英文）</t>
  </si>
  <si>
    <t>mItemDataClient mDescription_content_en_burn</t>
  </si>
  <si>
    <t>描述（英文/数值转换）</t>
  </si>
  <si>
    <t>mItemDataClient mDynamicTooltip_content_zh</t>
  </si>
  <si>
    <t>动态详细信息（中文）</t>
  </si>
  <si>
    <t>mItemDataClient mDynamicTooltip_content_zh_burn</t>
  </si>
  <si>
    <t>动态详细信息（中文/数值转换）</t>
  </si>
  <si>
    <t>mItemDataClient mDynamicTooltip_content_en</t>
  </si>
  <si>
    <t>动态详细信息（英文）</t>
  </si>
  <si>
    <t>mItemDataClient mDynamicTooltip_content_en_burn</t>
  </si>
  <si>
    <t>动态详细信息（英文/数值转换）</t>
  </si>
  <si>
    <t>mItemDataClient mShopTooltip_content_zh</t>
  </si>
  <si>
    <t>商店详细信息（中文）</t>
  </si>
  <si>
    <t>mItemDataClient mShopTooltip_content_zh_burn</t>
  </si>
  <si>
    <t>商店详细信息（中文/数值转换）</t>
  </si>
  <si>
    <t>mItemDataClient mShopTooltip_content_en</t>
  </si>
  <si>
    <t>商店详细信息（英文）</t>
  </si>
  <si>
    <t>mItemDataClient mShopTooltip_content_en_burn</t>
  </si>
  <si>
    <t>商店详细信息（英文/数值转换）</t>
  </si>
  <si>
    <t>mItemDataClient rarity</t>
    <phoneticPr fontId="2" type="noConversion"/>
  </si>
  <si>
    <t>客户端内位阶</t>
    <phoneticPr fontId="2" type="noConversion"/>
  </si>
  <si>
    <t>mDisplayName_content_zh</t>
  </si>
  <si>
    <t>mDisplayName_content_en</t>
  </si>
  <si>
    <t>specialRecipe_displayName_content_zh</t>
  </si>
  <si>
    <t>specialRecipe_displayName_content_en</t>
  </si>
  <si>
    <t>sidegradeItemNames_content_zh</t>
  </si>
  <si>
    <t>sidegradeItemNames_content_en</t>
  </si>
  <si>
    <t>recipeItemNames_content_zh</t>
  </si>
  <si>
    <t>recipeItemNames_content_en</t>
  </si>
  <si>
    <t>requiredItemNames_content_zh</t>
  </si>
  <si>
    <t>requiredItemNames_content_en</t>
  </si>
  <si>
    <t>mItemDataBuildNames_content_zh</t>
  </si>
  <si>
    <t>mItemDataBuildNames_content_en</t>
  </si>
  <si>
    <t>标题（中文）</t>
    <phoneticPr fontId="2" type="noConversion"/>
  </si>
  <si>
    <t>标题（英文）</t>
    <phoneticPr fontId="2" type="noConversion"/>
  </si>
  <si>
    <t>说明（中文）</t>
    <phoneticPr fontId="2" type="noConversion"/>
  </si>
  <si>
    <t>说明（英文）</t>
    <phoneticPr fontId="2" type="noConversion"/>
  </si>
  <si>
    <t>详细信息（中文）</t>
    <phoneticPr fontId="2" type="noConversion"/>
  </si>
  <si>
    <t>详细信息（英文）</t>
    <phoneticPr fontId="2" type="noConversion"/>
  </si>
  <si>
    <t>锻造器代码</t>
  </si>
  <si>
    <t>锻造器详细信息键</t>
  </si>
  <si>
    <t>锻造器标签</t>
  </si>
  <si>
    <t>锻造器大图标路径</t>
  </si>
  <si>
    <t>锻造器小图标路径</t>
  </si>
  <si>
    <t>锻造器显示标签</t>
  </si>
  <si>
    <t>锻造器详细信息（中文）</t>
  </si>
  <si>
    <t>锻造器详细信息（中文/数值转换）</t>
  </si>
  <si>
    <t>锻造器详细信息（英文）</t>
  </si>
  <si>
    <t>锻造器详细信息（英文/数值转换）</t>
  </si>
  <si>
    <t>锻造器显示标签内容</t>
  </si>
  <si>
    <t>锻造器类型</t>
    <phoneticPr fontId="2" type="noConversion"/>
  </si>
  <si>
    <t>ItemLink</t>
    <phoneticPr fontId="2" type="noConversion"/>
  </si>
  <si>
    <t>装备链接</t>
    <phoneticPr fontId="2" type="noConversion"/>
  </si>
  <si>
    <t>anvilRarities</t>
    <phoneticPr fontId="2" type="noConversion"/>
  </si>
  <si>
    <t>锻造器位阶</t>
    <phoneticPr fontId="2" type="noConversion"/>
  </si>
  <si>
    <t>AnvilTypes</t>
    <phoneticPr fontId="2" type="noConversion"/>
  </si>
  <si>
    <t>Flexible1</t>
    <phoneticPr fontId="2" type="noConversion"/>
  </si>
  <si>
    <t>Flexible2</t>
    <phoneticPr fontId="2" type="noConversion"/>
  </si>
  <si>
    <t>√</t>
    <phoneticPr fontId="2" type="noConversion"/>
  </si>
  <si>
    <t>useableData</t>
    <phoneticPr fontId="2" type="noConversion"/>
  </si>
  <si>
    <t>healthBarFullParallax</t>
    <phoneticPr fontId="2" type="noConversion"/>
  </si>
  <si>
    <t>生命槽使用完整视差效果</t>
    <phoneticPr fontId="2" type="noConversion"/>
  </si>
  <si>
    <t>√</t>
    <phoneticPr fontId="2" type="noConversion"/>
  </si>
  <si>
    <t>critPerLevel</t>
    <phoneticPr fontId="2" type="noConversion"/>
  </si>
  <si>
    <t>成长暴击几率</t>
    <phoneticPr fontId="2" type="noConversion"/>
  </si>
  <si>
    <t>baseCritChance</t>
  </si>
  <si>
    <t>基础暴击几率</t>
    <phoneticPr fontId="2" type="noConversion"/>
  </si>
  <si>
    <t>RotationSmoothing</t>
    <phoneticPr fontId="2" type="noConversion"/>
  </si>
  <si>
    <t>模型旋转平滑度</t>
    <phoneticPr fontId="2" type="noConversion"/>
  </si>
  <si>
    <t>perceptionBubbleRadius</t>
    <phoneticPr fontId="2" type="noConversion"/>
  </si>
  <si>
    <t>感知气泡半径</t>
    <phoneticPr fontId="2" type="noConversion"/>
  </si>
  <si>
    <t>significance</t>
    <phoneticPr fontId="2" type="noConversion"/>
  </si>
  <si>
    <t>选取优先级系数</t>
    <phoneticPr fontId="2" type="noConversion"/>
  </si>
  <si>
    <t>minimapIconOverride</t>
    <phoneticPr fontId="2" type="noConversion"/>
  </si>
  <si>
    <t>死亡事件监听范围半径</t>
    <phoneticPr fontId="2" type="noConversion"/>
  </si>
  <si>
    <t>tier</t>
    <phoneticPr fontId="2" type="noConversion"/>
  </si>
  <si>
    <t>NumToCombine</t>
    <phoneticPr fontId="2" type="noConversion"/>
  </si>
  <si>
    <t>BoardCountContribution</t>
    <phoneticPr fontId="2" type="noConversion"/>
  </si>
  <si>
    <t>mLinkedTraits</t>
    <phoneticPr fontId="2" type="noConversion"/>
  </si>
  <si>
    <t>CharacterRole</t>
    <phoneticPr fontId="2" type="noConversion"/>
  </si>
  <si>
    <t>mMoveInterval</t>
    <phoneticPr fontId="2" type="noConversion"/>
  </si>
  <si>
    <t>mMoveProximity</t>
    <phoneticPr fontId="2" type="noConversion"/>
  </si>
  <si>
    <t>mMoveRange</t>
    <phoneticPr fontId="2" type="noConversion"/>
  </si>
  <si>
    <t>mMoveHeight</t>
    <phoneticPr fontId="2" type="noConversion"/>
  </si>
  <si>
    <t>mInitialMana</t>
    <phoneticPr fontId="2" type="noConversion"/>
  </si>
  <si>
    <t>mShopData</t>
    <phoneticPr fontId="2" type="noConversion"/>
  </si>
  <si>
    <t>{184999c3}</t>
    <phoneticPr fontId="2" type="noConversion"/>
  </si>
  <si>
    <t>mIsDiscoverable</t>
    <phoneticPr fontId="2" type="noConversion"/>
  </si>
  <si>
    <t>{fe0d6477}</t>
    <phoneticPr fontId="2" type="noConversion"/>
  </si>
  <si>
    <t>mUnitInfoCardAttachToBone</t>
    <phoneticPr fontId="2" type="noConversion"/>
  </si>
  <si>
    <t>mUnitInfoCardWorldOffset</t>
    <phoneticPr fontId="2" type="noConversion"/>
  </si>
  <si>
    <t>UnitInfoCardDisplayType</t>
    <phoneticPr fontId="2" type="noConversion"/>
  </si>
  <si>
    <t>MobileHealthBarHeightOverride</t>
    <phoneticPr fontId="2" type="noConversion"/>
  </si>
  <si>
    <t>mUsesAbilityPower</t>
    <phoneticPr fontId="2" type="noConversion"/>
  </si>
  <si>
    <t>OmitFromCombatRecap</t>
    <phoneticPr fontId="2" type="noConversion"/>
  </si>
  <si>
    <t>OmitFromMatchHistory</t>
    <phoneticPr fontId="2" type="noConversion"/>
  </si>
  <si>
    <t>LinkedUnits</t>
    <phoneticPr fontId="2" type="noConversion"/>
  </si>
  <si>
    <t>ShowItemsUnsorted</t>
    <phoneticPr fontId="2" type="noConversion"/>
  </si>
  <si>
    <t>mManaPerAttack</t>
    <phoneticPr fontId="2" type="noConversion"/>
  </si>
  <si>
    <t>{f94987a3}</t>
    <phoneticPr fontId="2" type="noConversion"/>
  </si>
  <si>
    <t>卡费（仅云顶之弈）</t>
    <phoneticPr fontId="2" type="noConversion"/>
  </si>
  <si>
    <t>角色定位（仅云顶之弈）</t>
    <phoneticPr fontId="2" type="noConversion"/>
  </si>
  <si>
    <t>占用出战单位数（仅云顶之弈）</t>
    <phoneticPr fontId="2" type="noConversion"/>
  </si>
  <si>
    <t>相关羁绊信息（仅云顶之弈）</t>
    <phoneticPr fontId="2" type="noConversion"/>
  </si>
  <si>
    <t>移动间隔（秒）（仅云顶之弈）</t>
    <phoneticPr fontId="2" type="noConversion"/>
  </si>
  <si>
    <t>供应池可见性（仅云顶之弈）</t>
    <phoneticPr fontId="2" type="noConversion"/>
  </si>
  <si>
    <t>单次移动接近距离阈值（仅云顶之弈）</t>
    <phoneticPr fontId="2" type="noConversion"/>
  </si>
  <si>
    <t>单次移动范围半径（仅云顶之弈）</t>
    <phoneticPr fontId="2" type="noConversion"/>
  </si>
  <si>
    <t>单次移动高度（仅云顶之弈）</t>
    <phoneticPr fontId="2" type="noConversion"/>
  </si>
  <si>
    <t>初始法力值（仅云顶之弈）</t>
    <phoneticPr fontId="2" type="noConversion"/>
  </si>
  <si>
    <t>购物信息（仅云顶之弈）</t>
    <phoneticPr fontId="2" type="noConversion"/>
  </si>
  <si>
    <t>单位信息卡片附着点（仅云顶之弈）</t>
    <phoneticPr fontId="2" type="noConversion"/>
  </si>
  <si>
    <t>单位信息卡片显示位置偏移量（仅云顶之弈）</t>
    <phoneticPr fontId="2" type="noConversion"/>
  </si>
  <si>
    <t>单位信息卡片显示类型（仅云顶之弈）</t>
    <phoneticPr fontId="2" type="noConversion"/>
  </si>
  <si>
    <t>移动端血条高度覆盖值（仅云顶之弈）</t>
    <phoneticPr fontId="2" type="noConversion"/>
  </si>
  <si>
    <t>使用法术强度（仅云顶之弈）</t>
    <phoneticPr fontId="2" type="noConversion"/>
  </si>
  <si>
    <t>从战斗回放中省略（仅云顶之弈）</t>
    <phoneticPr fontId="2" type="noConversion"/>
  </si>
  <si>
    <t>从对局记录中省略（仅云顶之弈）</t>
    <phoneticPr fontId="2" type="noConversion"/>
  </si>
  <si>
    <t>相关单位（仅云顶之弈）</t>
    <phoneticPr fontId="2" type="noConversion"/>
  </si>
  <si>
    <t>UseableData flags</t>
    <phoneticPr fontId="2" type="noConversion"/>
  </si>
  <si>
    <t>UseableData useHeroSpellName</t>
    <phoneticPr fontId="2" type="noConversion"/>
  </si>
  <si>
    <t>UseableData useSpellName</t>
    <phoneticPr fontId="2" type="noConversion"/>
  </si>
  <si>
    <t>UseableData useCooldownSpellSlot</t>
    <phoneticPr fontId="2" type="noConversion"/>
  </si>
  <si>
    <t>可用数据</t>
    <phoneticPr fontId="2" type="noConversion"/>
  </si>
  <si>
    <t>可用数据：旗标</t>
    <phoneticPr fontId="2" type="noConversion"/>
  </si>
  <si>
    <t>使用英雄技能名称</t>
    <phoneticPr fontId="2" type="noConversion"/>
  </si>
  <si>
    <t>使用法术名称</t>
    <phoneticPr fontId="2" type="noConversion"/>
  </si>
  <si>
    <t>使用冷却时间的技能槽位</t>
    <phoneticPr fontId="2" type="noConversion"/>
  </si>
  <si>
    <t>小地图图标重载名称</t>
    <phoneticPr fontId="2" type="noConversion"/>
  </si>
  <si>
    <t>mLinkedTraits TraitData mDisplayNameTra_content_zh</t>
    <phoneticPr fontId="2" type="noConversion"/>
  </si>
  <si>
    <t>mLinkedTraits TraitData mDisplayNameTra_content_en</t>
    <phoneticPr fontId="2" type="noConversion"/>
  </si>
  <si>
    <t>相关羁绊名称（中文）（仅云顶之弈）</t>
    <phoneticPr fontId="2" type="noConversion"/>
  </si>
  <si>
    <t>相关羁绊名称（英文）（仅云顶之弈）</t>
    <phoneticPr fontId="2" type="noConversion"/>
  </si>
  <si>
    <t>CharacterRoleNameTra_content_zh</t>
    <phoneticPr fontId="2" type="noConversion"/>
  </si>
  <si>
    <t>CharacterRoleNameTra_content_en</t>
    <phoneticPr fontId="2" type="noConversion"/>
  </si>
  <si>
    <t>角色定位（中文）（仅云顶之弈）</t>
    <phoneticPr fontId="2" type="noConversion"/>
  </si>
  <si>
    <t>角色定位（英文）（仅云顶之弈）</t>
    <phoneticPr fontId="2" type="noConversion"/>
  </si>
  <si>
    <t>ShopDataObject</t>
    <phoneticPr fontId="2" type="noConversion"/>
  </si>
  <si>
    <t>购物数据对象（仅云顶之弈）</t>
    <phoneticPr fontId="2" type="noConversion"/>
  </si>
  <si>
    <t>每次攻击回复法力值（仅云顶之弈）</t>
    <phoneticPr fontId="2" type="noConversion"/>
  </si>
  <si>
    <t>按随机顺序显示（仅云顶之弈）</t>
    <phoneticPr fontId="2" type="noConversion"/>
  </si>
  <si>
    <t>升星所需单位数量（仅云顶之弈）</t>
    <phoneticPr fontId="2" type="noConversion"/>
  </si>
  <si>
    <t>mItemDataClient mTooltipData mLists Stats Elements</t>
    <phoneticPr fontId="2" type="noConversion"/>
  </si>
  <si>
    <t>属性元素</t>
    <phoneticPr fontId="2" type="noConversion"/>
  </si>
  <si>
    <t>√</t>
    <phoneticPr fontId="2" type="noConversion"/>
  </si>
  <si>
    <t>自我控制状态下目标选择优先级列表</t>
  </si>
  <si>
    <t>自我控制技能旗标</t>
  </si>
  <si>
    <t>ObjectName</t>
  </si>
  <si>
    <t>mScriptName</t>
  </si>
  <si>
    <t>mSpell mClientData mTooltipData mLocKeys keyNameUnformatted</t>
  </si>
  <si>
    <t>mSpell mClientData mTooltipData mLocKeys keyKaynHackType</t>
  </si>
  <si>
    <t>mSpell mClientData mTooltipData mLocKeys keyKaynHackValue</t>
  </si>
  <si>
    <t>mSpell mClientData mTooltipData mLocKeys keyName</t>
  </si>
  <si>
    <t>mSpell mClientData mTooltipData mLocKeys keyHotkey</t>
  </si>
  <si>
    <t>mSpell mClientData mTooltipData mLocKeys keyApheliosHack_TooltipLevelUp</t>
  </si>
  <si>
    <t>mSpell mClientData mTooltipData mLocKeys keyApheliosHack_TooltipLevelUp_Name</t>
  </si>
  <si>
    <t>mSpell mClientData mTooltipData mLocKeys keySummary</t>
  </si>
  <si>
    <t>mSpell mClientData mTooltipData mLocKeys keyTooltip</t>
  </si>
  <si>
    <t>mSpell mClientData mTooltipData mLocKeys keyCost</t>
  </si>
  <si>
    <t>mSpell mClientData mTooltipData mLocKeys keyTooltipSimple</t>
  </si>
  <si>
    <t>mSpell mClientData mTooltipData mLocKeys keyTooltipExtended</t>
  </si>
  <si>
    <t>mSpell mClientData mTooltipData mLocKeys keyCooldown</t>
  </si>
  <si>
    <t>mSpell mClientData mTooltipData mLocKeys keyTooltipExtendedBelowLine</t>
  </si>
  <si>
    <t>mSpell mClientData mTooltipData mLocKeys keyNameUnformatted_content_zh</t>
  </si>
  <si>
    <t>mSpell mClientData mTooltipData mLocKeys keyNameUnformatted_content_en</t>
  </si>
  <si>
    <t>mSpell mClientData mTooltipData mLocKeys keyKaynHackType_content_zh</t>
  </si>
  <si>
    <t>mSpell mClientData mTooltipData mLocKeys keyKaynHackType_content_en</t>
  </si>
  <si>
    <t>mSpell mClientData mTooltipData mLocKeys keyKaynHackValue_content_zh</t>
  </si>
  <si>
    <t>mSpell mClientData mTooltipData mLocKeys keyKaynHackValue_content_en</t>
  </si>
  <si>
    <t>mSpell mClientData mTooltipData mLocKeys keyApheliosHack_TooltipLevelUp_content_zh</t>
  </si>
  <si>
    <t>mSpell mClientData mTooltipData mLocKeys keyApheliosHack_TooltipLevelUp_content_en</t>
  </si>
  <si>
    <t>mSpell mClientData mTooltipData mLocKeys keyApheliosHack_TooltipLevelUp_content_zh_burn</t>
  </si>
  <si>
    <t>mSpell mClientData mTooltipData mLocKeys keyApheliosHack_TooltipLevelUp_content_en_burn</t>
  </si>
  <si>
    <t>mSpell mClientData mTooltipData mLocKeys keyApheliosHack_TooltipLevelUp_Name_content_zh</t>
  </si>
  <si>
    <t>mSpell mClientData mTooltipData mLocKeys keyApheliosHack_TooltipLevelUp_Name_content_en</t>
  </si>
  <si>
    <t>mSpell mClientData mTooltipData mLocKeys keyApheliosHack_TooltipLevelUp_Name_content_zh_burn</t>
  </si>
  <si>
    <t>mSpell mClientData mTooltipData mLocKeys keyApheliosHack_TooltipLevelUp_Name_content_en_burn</t>
  </si>
  <si>
    <t>mSpell mClientData mTooltipData mLocKeys keySummary_content_zh</t>
  </si>
  <si>
    <t>mSpell mClientData mTooltipData mLocKeys keySummary_content_en</t>
  </si>
  <si>
    <t>mSpell mClientData mTooltipData mLocKeys keyTooltip_content_zh</t>
  </si>
  <si>
    <t>mSpell mClientData mTooltipData mLocKeys keyTooltip_content_en</t>
  </si>
  <si>
    <t>mSpell mClientData mTooltipData mLocKeys keyTooltip_content_zh_burn</t>
  </si>
  <si>
    <t>mSpell mClientData mTooltipData mLocKeys keyTooltip_content_en_burn</t>
  </si>
  <si>
    <t>mSpell mClientData mTooltipData mLocKeys keyCost_content_zh</t>
  </si>
  <si>
    <t>mSpell mClientData mTooltipData mLocKeys keyCost_content_en</t>
  </si>
  <si>
    <t>mSpell mClientData mTooltipData mLocKeys keyCost_content_zh_burn</t>
  </si>
  <si>
    <t>mSpell mClientData mTooltipData mLocKeys keyCost_content_en_burn</t>
  </si>
  <si>
    <t>mSpell mClientData mTooltipData mLocKeys keyTooltipSimple_content_zh</t>
  </si>
  <si>
    <t>mSpell mClientData mTooltipData mLocKeys keyTooltipSimple_content_en</t>
  </si>
  <si>
    <t>mSpell mClientData mTooltipData mLocKeys keyTooltipSimple_content_zh_burn</t>
  </si>
  <si>
    <t>mSpell mClientData mTooltipData mLocKeys keyTooltipSimple_content_en_burn</t>
  </si>
  <si>
    <t>mSpell mClientData mTooltipData mLocKeys keyTooltipExtended_content_zh</t>
  </si>
  <si>
    <t>mSpell mClientData mTooltipData mLocKeys keyTooltipExtended_content_en</t>
  </si>
  <si>
    <t>mSpell mClientData mTooltipData mLocKeys keyTooltipExtended_content_zh_burn</t>
  </si>
  <si>
    <t>mSpell mClientData mTooltipData mLocKeys keyTooltipExtended_content_en_burn</t>
  </si>
  <si>
    <t>mSpell mClientData mTooltipData mLocKeys keyCooldown_content_zh</t>
  </si>
  <si>
    <t>mSpell mClientData mTooltipData mLocKeys keyCooldown_content_en</t>
  </si>
  <si>
    <t>mSpell mClientData mTooltipData mLocKeys keyCooldown_content_zh_burn</t>
  </si>
  <si>
    <t>mSpell mClientData mTooltipData mLocKeys keyCooldown_content_en_burn</t>
  </si>
  <si>
    <t>mSpell mClientData mTooltipData mLocKeys keyTooltipExtendedBelowLine_content_zh</t>
  </si>
  <si>
    <t>mSpell mClientData mTooltipData mLocKeys keyTooltipExtendedBelowLine_content_en</t>
  </si>
  <si>
    <t>mSpell mClientData mTooltipData mLocKeys keyTooltipExtendedBelowLine_content_zh_burn</t>
  </si>
  <si>
    <t>mSpell mClientData mTooltipData mLocKeys keyTooltipExtendedBelowLine_content_en_burn</t>
  </si>
  <si>
    <t>CcBehaviorData CcBehavior TargetingParametersList</t>
  </si>
  <si>
    <t>CcBehaviorData CcBehavior mSpellFlags</t>
  </si>
  <si>
    <t>mBuff mDescription</t>
  </si>
  <si>
    <t>mBuff mTooltipData mObjectName</t>
  </si>
  <si>
    <t>mBuff mTooltipData mFormat</t>
  </si>
  <si>
    <t>mBuff mTooltipData mLocKeys keyName</t>
  </si>
  <si>
    <t>mBuff mTooltipData mLocKeys keyTooltip</t>
  </si>
  <si>
    <t>mBuff mTooltipData mLocKeys keyTooltipSimple</t>
  </si>
  <si>
    <t>mBuff PersistentEffectConditions</t>
  </si>
  <si>
    <t>mBuff CanTimeoutWhileCasting</t>
  </si>
  <si>
    <t>mBuff mShowDuration</t>
  </si>
  <si>
    <t>mBuff mShowAccumulatedDuration</t>
  </si>
  <si>
    <t>mBuff mFloatVarsDecimals</t>
  </si>
  <si>
    <t>mBuff mBuffAttributeFlag</t>
  </si>
  <si>
    <t>mBuff mDescription_content_zh</t>
  </si>
  <si>
    <t>mBuff mDescription_content_en</t>
  </si>
  <si>
    <t>mBuff mDescription_content_zh_burn</t>
  </si>
  <si>
    <t>mBuff mDescription_content_en_burn</t>
  </si>
  <si>
    <t>mBuff mTooltipData mLocKeys keyName_content_zh</t>
  </si>
  <si>
    <t>mBuff mTooltipData mLocKeys keyName_content_en</t>
  </si>
  <si>
    <t>mBuff mTooltipData mLocKeys keyTooltip_content_zh</t>
  </si>
  <si>
    <t>mBuff mTooltipData mLocKeys keyTooltip_content_en</t>
  </si>
  <si>
    <t>mBuff mTooltipData mLocKeys keyTooltip_content_zh_burn</t>
  </si>
  <si>
    <t>mBuff mTooltipData mLocKeys keyTooltip_content_en_burn</t>
  </si>
  <si>
    <t>mBuff mTooltipData mLocKeys keyTooltipSimple_content_zh</t>
  </si>
  <si>
    <t>mBuff mTooltipData mLocKeys keyTooltipSimple_content_en</t>
  </si>
  <si>
    <t>mBuff mTooltipData mLocKeys keyTooltipSimple_content_zh_burn</t>
  </si>
  <si>
    <t>mBuff mTooltipData mLocKeys keyTooltipSimple_content_en_burn</t>
  </si>
  <si>
    <t>指令对象名称</t>
  </si>
  <si>
    <t>脚本名称</t>
  </si>
  <si>
    <t>未格式化名称键</t>
  </si>
  <si>
    <t>凯隐专用升级类型键</t>
  </si>
  <si>
    <t>凯隐专用升级数值键</t>
  </si>
  <si>
    <t>名称键</t>
  </si>
  <si>
    <t>热键</t>
  </si>
  <si>
    <t>厄斐琉斯专用升级文本键</t>
  </si>
  <si>
    <t>厄斐琉斯专用升级文本属性名称键</t>
  </si>
  <si>
    <t>简介键</t>
  </si>
  <si>
    <t>说明文本键</t>
  </si>
  <si>
    <t>消耗施法资源</t>
  </si>
  <si>
    <t>简要描述键</t>
  </si>
  <si>
    <t>详细描述键</t>
  </si>
  <si>
    <t>冷却时间键</t>
  </si>
  <si>
    <t>附加文本键</t>
  </si>
  <si>
    <t>未格式化名称（中文）</t>
  </si>
  <si>
    <t>未格式化名称（英文）</t>
  </si>
  <si>
    <t>凯隐特有升级类型（中文）</t>
  </si>
  <si>
    <t>凯隐特有升级类型（英文）</t>
  </si>
  <si>
    <t>凯隐特有升级数值（中文）</t>
  </si>
  <si>
    <t>凯隐特有升级数值（英文）</t>
  </si>
  <si>
    <t>名称（中文）</t>
  </si>
  <si>
    <t>名称（英文）</t>
  </si>
  <si>
    <t>厄斐琉斯专用升级文本（中文）</t>
  </si>
  <si>
    <t>厄斐琉斯专用升级文本（英文）</t>
  </si>
  <si>
    <t>厄斐琉斯专用升级文本（中文/数值转换）</t>
  </si>
  <si>
    <t>厄斐琉斯专用升级文本（英文/数值转换）</t>
  </si>
  <si>
    <t>厄斐琉斯专用升级文本属性名称（中文）</t>
  </si>
  <si>
    <t>厄斐琉斯专用升级文本属性名称（英文）</t>
  </si>
  <si>
    <t>厄斐琉斯专用升级文本属性名称（中文/数值转换）</t>
  </si>
  <si>
    <t>厄斐琉斯专用升级文本属性名称（英文/数值转换）</t>
  </si>
  <si>
    <t>说明文本（中文）</t>
  </si>
  <si>
    <t>说明文本（英文）</t>
  </si>
  <si>
    <t>说明文本（中文/数值转换）</t>
  </si>
  <si>
    <t>说明文本（英文/数值转换）</t>
  </si>
  <si>
    <t>消耗施法资源（中文）</t>
  </si>
  <si>
    <t>消耗施法资源（英文）</t>
  </si>
  <si>
    <t>消耗施法资源（中文/数值转换）</t>
  </si>
  <si>
    <t>消耗施法资源（英文/数值转换）</t>
  </si>
  <si>
    <t>简述（中文）</t>
  </si>
  <si>
    <t>简述（英文）</t>
  </si>
  <si>
    <t>简述（中文/数值转换）</t>
  </si>
  <si>
    <t>简述（英文/数值转换）</t>
  </si>
  <si>
    <t>详细描述（中文）</t>
  </si>
  <si>
    <t>详细描述（英文）</t>
  </si>
  <si>
    <t>详细描述（中文/数值转换）</t>
  </si>
  <si>
    <t>详细描述（英文/数值转换）</t>
  </si>
  <si>
    <t>冷却时间（中文）</t>
  </si>
  <si>
    <t>冷却时间（英文）</t>
  </si>
  <si>
    <t>冷却时间（中文/数值转换）</t>
  </si>
  <si>
    <t>冷却时间（英文/数值转换）</t>
  </si>
  <si>
    <t>附加文本（中文）</t>
  </si>
  <si>
    <t>附加文本（英文）</t>
  </si>
  <si>
    <t>附加文本（中文/数值转换）</t>
  </si>
  <si>
    <t>附加文本（英文/数值转换）</t>
  </si>
  <si>
    <t>增益描述键</t>
  </si>
  <si>
    <t>增益说明文本对象名称</t>
  </si>
  <si>
    <t>增益说明文本格式</t>
  </si>
  <si>
    <t>增益名称键</t>
  </si>
  <si>
    <t>增益说明文本键</t>
  </si>
  <si>
    <t>增益简述键</t>
  </si>
  <si>
    <t>增益持续效果条件</t>
  </si>
  <si>
    <t>增益显示持续时间</t>
  </si>
  <si>
    <t>增益显示累积时间</t>
  </si>
  <si>
    <t>增益浮点数显示精度</t>
  </si>
  <si>
    <t>增益属性旗标</t>
  </si>
  <si>
    <t>增益描述（中文）</t>
  </si>
  <si>
    <t>增益描述（英文）</t>
  </si>
  <si>
    <t>增益描述（中文/数值转换）</t>
  </si>
  <si>
    <t>增益描述（英文/数值转换）</t>
  </si>
  <si>
    <t>增益名称（中文）</t>
  </si>
  <si>
    <t>增益名称（英文）</t>
  </si>
  <si>
    <t>增益说明文本（中文）</t>
  </si>
  <si>
    <t>增益说明文本（英文）</t>
  </si>
  <si>
    <t>增益说明文本（中文/数值转换）</t>
  </si>
  <si>
    <t>增益说明文本（英文/数值转换）</t>
  </si>
  <si>
    <t>增益简述（中文）</t>
  </si>
  <si>
    <t>增益简述（英文）</t>
  </si>
  <si>
    <t>增益简述（中文/数值转换）</t>
  </si>
  <si>
    <t>增益简述（英文/数值转换）</t>
  </si>
  <si>
    <t>mSpell flags</t>
  </si>
  <si>
    <t>指令旗标</t>
    <phoneticPr fontId="2" type="noConversion"/>
  </si>
  <si>
    <t>mSpell mAffectsTypeFlags</t>
  </si>
  <si>
    <t>mSpell mAffectsStatusFlags</t>
  </si>
  <si>
    <t>mSpell mCastRequirementsCaster</t>
  </si>
  <si>
    <t>mSpell mCastRequirementsTarget</t>
  </si>
  <si>
    <t>mSpell mAlternateName</t>
  </si>
  <si>
    <t>mSpell mSpellTags</t>
  </si>
  <si>
    <t>mSpell mEffectAmount</t>
  </si>
  <si>
    <t>mSpell DataValues</t>
  </si>
  <si>
    <t>mSpell DataValuesModeOverride</t>
  </si>
  <si>
    <t>mSpell {b08bc498}</t>
  </si>
  <si>
    <t>mSpell {f9c2333e}</t>
  </si>
  <si>
    <t>mSpell mSpellCalculations</t>
  </si>
  <si>
    <t>mSpell mCoefficient</t>
  </si>
  <si>
    <t>mSpell mCoefficient2</t>
  </si>
  <si>
    <t>mSpell mAnimationName</t>
  </si>
  <si>
    <t>mSpell mAnimationLoopName</t>
  </si>
  <si>
    <t>mSpell mAnimationWinddownName</t>
  </si>
  <si>
    <t>mSpell mImgIconName</t>
  </si>
  <si>
    <t>mSpell mKeywordWhenAcquired</t>
  </si>
  <si>
    <t>mSpell PassiveSpellAffectedByCooldown</t>
  </si>
  <si>
    <t>mSpell ImgIconPath</t>
  </si>
  <si>
    <t>mSpell mMinimapIconName</t>
  </si>
  <si>
    <t>mSpell mCastTime</t>
  </si>
  <si>
    <t>mSpell mChannelDuration</t>
  </si>
  <si>
    <t>mSpell cooldownTime</t>
  </si>
  <si>
    <t>mSpell delayCastOffsetPercent</t>
  </si>
  <si>
    <t>mSpell delayTotalTimePercent</t>
  </si>
  <si>
    <t>mSpell mStartCooldown</t>
  </si>
  <si>
    <t>mSpell mIsDelayedByCastLocked</t>
  </si>
  <si>
    <t>mSpell mPreCastLockoutDeltaTime</t>
  </si>
  <si>
    <t>mSpell mPostCastLockoutDeltaTime</t>
  </si>
  <si>
    <t>mSpell mCasterPositionEndOfCastUpdate</t>
  </si>
  <si>
    <t>mSpell mCharacterPassiveBuffs</t>
  </si>
  <si>
    <t>mSpell mChargeUpdateInterval</t>
  </si>
  <si>
    <t>mSpell mCancelChargeOnRecastTime</t>
  </si>
  <si>
    <t>mSpell mCastRangeGrowthMax</t>
  </si>
  <si>
    <t>mSpell mCastRangeGrowthStartTime</t>
  </si>
  <si>
    <t>mSpell mCastRangeGrowthDuration</t>
  </si>
  <si>
    <t>mSpell {48201b0d}</t>
  </si>
  <si>
    <t>mSpell {f4ca428f}</t>
  </si>
  <si>
    <t>mSpell mMaxAmmo</t>
  </si>
  <si>
    <t>mSpell mAmmoUsed</t>
  </si>
  <si>
    <t>mSpell mAmmoRechargeTime</t>
  </si>
  <si>
    <t>mSpell mAmmoNotAffectedByCDR</t>
  </si>
  <si>
    <t>mSpell mCostAlwaysShownInUI</t>
  </si>
  <si>
    <t>mSpell mCooldownNotAffectedByCDR</t>
  </si>
  <si>
    <t>mSpell mAmmoCountHiddenInUI</t>
  </si>
  <si>
    <t>mSpell cannotBeSuppressed</t>
  </si>
  <si>
    <t>mSpell mCanTriggerChargeSpellWhileDisabled</t>
  </si>
  <si>
    <t>mSpell canCastWhileDisabled</t>
  </si>
  <si>
    <t>mSpell canCastOrQueueWhileCasting</t>
  </si>
  <si>
    <t>mSpell mCantCancelWhileWindingUp</t>
  </si>
  <si>
    <t>mSpell mCantCancelWhileWindingUpTargetingChampion</t>
  </si>
  <si>
    <t>mSpell mCantCancelWhileChanneling</t>
  </si>
  <si>
    <t>mSpell cantCastWhileRooted</t>
  </si>
  <si>
    <t>mSpell mChannelIsInterruptedByDisables</t>
  </si>
  <si>
    <t>mSpell mChannelIsInterruptedByAttacking</t>
  </si>
  <si>
    <t>mSpell mApplyAttackDamage</t>
  </si>
  <si>
    <t>mSpell mApplyAttackEffect</t>
  </si>
  <si>
    <t>mSpell mApplyMaterialOnHitSound</t>
  </si>
  <si>
    <t>mSpell mDoesntBreakChannels</t>
  </si>
  <si>
    <t>mSpell mCursorChangesInGrass</t>
  </si>
  <si>
    <t>mSpell mCursorChangesInTerrain</t>
  </si>
  <si>
    <t>mSpell mIsDisabledWhileDead</t>
  </si>
  <si>
    <t>mSpell canOnlyCastWhileDead</t>
  </si>
  <si>
    <t>mSpell mBelongsToAvatar</t>
  </si>
  <si>
    <t>mSpell mProjectTargetToCastRange</t>
  </si>
  <si>
    <t>mSpell mSpellRevealsChampion</t>
  </si>
  <si>
    <t>mSpell mUseMinimapTargeting</t>
  </si>
  <si>
    <t>mSpell mMinimapIconRotation</t>
  </si>
  <si>
    <t>mSpell mUseChargeChanneling</t>
  </si>
  <si>
    <t>mSpell ShowChannelBarPerSpellLevelOverride</t>
  </si>
  <si>
    <t>mSpell castRangeUseBoundingBoxes</t>
  </si>
  <si>
    <t>mSpell mCanMoveWhileChanneling</t>
  </si>
  <si>
    <t>mSpell mDisableCastBar</t>
  </si>
  <si>
    <t>mSpell mShowChannelBar</t>
  </si>
  <si>
    <t>mSpell alwaysSnapFacing</t>
  </si>
  <si>
    <t>mSpell useAnimatorFramerate</t>
  </si>
  <si>
    <t>mSpell bHaveHitEffect</t>
  </si>
  <si>
    <t>mSpell mOrientRadiusTextureFromPlayer</t>
  </si>
  <si>
    <t>mSpell bIsToggleSpell</t>
  </si>
  <si>
    <t>mSpell mDoNotNeedToFaceTarget</t>
  </si>
  <si>
    <t>mSpell mNoWinddownIfCancelled</t>
  </si>
  <si>
    <t>mSpell mTurnSpeedScalar</t>
  </si>
  <si>
    <t>mSpell mIgnoreRangeCheck</t>
  </si>
  <si>
    <t>mSpell mUpdateRotationWhenCasting</t>
  </si>
  <si>
    <t>mSpell mPingableWhileDisabled</t>
  </si>
  <si>
    <t>mSpell mConsideredAsAutoAttack</t>
  </si>
  <si>
    <t>mSpell mIgnoreAnimContinueUntilCastFrame</t>
  </si>
  <si>
    <t>mSpell mHideRangeIndicatorWhenCasting</t>
  </si>
  <si>
    <t>mSpell mDoesNotConsumeMana</t>
  </si>
  <si>
    <t>mSpell mLockedSpellOriginationCastID</t>
  </si>
  <si>
    <t>mSpell mDoesNotConsumeCooldown</t>
  </si>
  <si>
    <t>mSpell mRollForCriticalHit</t>
  </si>
  <si>
    <t>mSpell mMinimapIconDisplayFlag</t>
  </si>
  <si>
    <t>mSpell ShouldReceiveInputEvents</t>
  </si>
  <si>
    <t>mSpell castRange</t>
  </si>
  <si>
    <t>mSpell castRangeDisplayOverride</t>
  </si>
  <si>
    <t>mSpell castRadius</t>
  </si>
  <si>
    <t>mSpell castRadiusSecondary</t>
  </si>
  <si>
    <t>mSpell castConeAngle</t>
  </si>
  <si>
    <t>mSpell castConeDistance</t>
  </si>
  <si>
    <t>mSpell castTargetAdditionalUnitsRadius</t>
  </si>
  <si>
    <t>mSpell luaOnMissileUpdateDistanceInterval</t>
  </si>
  <si>
    <t>mSpell mCastType</t>
  </si>
  <si>
    <t>mSpell castFrame</t>
  </si>
  <si>
    <t>mSpell missileSpeed</t>
  </si>
  <si>
    <t>mSpell mMissileEffectName</t>
  </si>
  <si>
    <t>mSpell mMissileEffectKey</t>
  </si>
  <si>
    <t>mSpell MissileEffectMaxTurnSpeedDegreesPerSecond</t>
  </si>
  <si>
    <t>mSpell MissileEffectMaximumAngleDegrees</t>
  </si>
  <si>
    <t>mSpell mMissileEffectPlayerKey</t>
  </si>
  <si>
    <t>mSpell mMissileEffectEnemyKey</t>
  </si>
  <si>
    <t>mSpell mLineWidth</t>
  </si>
  <si>
    <t>mSpell mLineDragLength</t>
  </si>
  <si>
    <t>mSpell mResourceResolvers</t>
  </si>
  <si>
    <t>mSpell mLookAtPolicy</t>
  </si>
  <si>
    <t>mSpell mHitEffectOrientType</t>
  </si>
  <si>
    <t>mSpell mHitEffectName</t>
  </si>
  <si>
    <t>mSpell mHitEffectKey</t>
  </si>
  <si>
    <t>mSpell mAfterEffectKey</t>
  </si>
  <si>
    <t>mSpell mAfterEffectName</t>
  </si>
  <si>
    <t>mSpell bHaveHitBone</t>
  </si>
  <si>
    <t>mSpell mHitBoneName</t>
  </si>
  <si>
    <t>mSpell mParticleStartOffset</t>
  </si>
  <si>
    <t>mSpell mFloatVarsDecimals</t>
  </si>
  <si>
    <t>mSpell mana</t>
  </si>
  <si>
    <t>mSpell manaUiOverride</t>
  </si>
  <si>
    <t>mSpell selectionPriority</t>
  </si>
  <si>
    <t>mSpell SpellEventToAudioEventSuffix</t>
  </si>
  <si>
    <t>mSpell TargetingForgivenessDefinitions</t>
  </si>
  <si>
    <t>mSpell mSpellCooldownOrSealedQueueThreshold</t>
  </si>
  <si>
    <t>mSpell mDimensionBehavior</t>
  </si>
  <si>
    <t>mSpell mCastingBreaksStealth</t>
  </si>
  <si>
    <t>mSpell mCastingRevealsCasterStealth</t>
  </si>
  <si>
    <t>mSpell mCastingBreaksStealthWhileAttached</t>
  </si>
  <si>
    <t>mSpell {288b8edc}</t>
  </si>
  <si>
    <t>mSpell {66769fb4}</t>
  </si>
  <si>
    <t>作用目标类型旗标</t>
    <phoneticPr fontId="2" type="noConversion"/>
  </si>
  <si>
    <t>作用状态旗标</t>
    <phoneticPr fontId="2" type="noConversion"/>
  </si>
  <si>
    <t>mSpell mRequiredUnitTags mObjectTagList</t>
    <phoneticPr fontId="2" type="noConversion"/>
  </si>
  <si>
    <t>所需目标单位标签列表</t>
    <phoneticPr fontId="2" type="noConversion"/>
  </si>
  <si>
    <t>mSpell mPlatformSpellInfo mAvatarLevelRequired</t>
    <phoneticPr fontId="2" type="noConversion"/>
  </si>
  <si>
    <t>mSpell mPlatformSpellInfo mSpellID</t>
    <phoneticPr fontId="2" type="noConversion"/>
  </si>
  <si>
    <t>mSpell mPlatformSpellInfo mPlatformEnabled</t>
    <phoneticPr fontId="2" type="noConversion"/>
  </si>
  <si>
    <t>mSpell mPlatformSpellInfo mGameModes</t>
    <phoneticPr fontId="2" type="noConversion"/>
  </si>
  <si>
    <t>mSpell mExcludedUnitTags mObjectTagList</t>
    <phoneticPr fontId="2" type="noConversion"/>
  </si>
  <si>
    <t>无效目标单位标签列表</t>
    <phoneticPr fontId="2" type="noConversion"/>
  </si>
  <si>
    <t>展现化身所需等级</t>
    <phoneticPr fontId="2" type="noConversion"/>
  </si>
  <si>
    <t>指令序号</t>
    <phoneticPr fontId="2" type="noConversion"/>
  </si>
  <si>
    <t>适用游戏模式</t>
    <phoneticPr fontId="2" type="noConversion"/>
  </si>
  <si>
    <t>施法条件</t>
    <phoneticPr fontId="2" type="noConversion"/>
  </si>
  <si>
    <t>施法目标条件</t>
    <phoneticPr fontId="2" type="noConversion"/>
  </si>
  <si>
    <t>指令别名</t>
    <phoneticPr fontId="2" type="noConversion"/>
  </si>
  <si>
    <t>指令标签</t>
    <phoneticPr fontId="2" type="noConversion"/>
  </si>
  <si>
    <t>效应因子</t>
    <phoneticPr fontId="2" type="noConversion"/>
  </si>
  <si>
    <t>模式覆盖数值</t>
    <phoneticPr fontId="2" type="noConversion"/>
  </si>
  <si>
    <t>模式覆盖基础冷却时间</t>
    <phoneticPr fontId="2" type="noConversion"/>
  </si>
  <si>
    <t>模式覆盖基础充能时间</t>
    <phoneticPr fontId="2" type="noConversion"/>
  </si>
  <si>
    <t>系数1</t>
    <phoneticPr fontId="2" type="noConversion"/>
  </si>
  <si>
    <t>系数2</t>
    <phoneticPr fontId="2" type="noConversion"/>
  </si>
  <si>
    <t>动画名称</t>
    <phoneticPr fontId="2" type="noConversion"/>
  </si>
  <si>
    <t>动画循环名称</t>
    <phoneticPr fontId="2" type="noConversion"/>
  </si>
  <si>
    <t>淡出动画名称</t>
    <phoneticPr fontId="2" type="noConversion"/>
  </si>
  <si>
    <t>缩略图路径列表</t>
    <phoneticPr fontId="2" type="noConversion"/>
  </si>
  <si>
    <t>数值计算</t>
    <phoneticPr fontId="2" type="noConversion"/>
  </si>
  <si>
    <t>获得技能时的关键字</t>
    <phoneticPr fontId="2" type="noConversion"/>
  </si>
  <si>
    <t>被动技能冷却时间受技能急速影响</t>
    <phoneticPr fontId="2" type="noConversion"/>
  </si>
  <si>
    <t>缩略图路径</t>
    <phoneticPr fontId="2" type="noConversion"/>
  </si>
  <si>
    <t>小地图缩略图路径</t>
    <phoneticPr fontId="2" type="noConversion"/>
  </si>
  <si>
    <t>施法时间</t>
    <phoneticPr fontId="2" type="noConversion"/>
  </si>
  <si>
    <t>引导持续时间</t>
    <phoneticPr fontId="2" type="noConversion"/>
  </si>
  <si>
    <t>施法偏移百分比</t>
    <phoneticPr fontId="2" type="noConversion"/>
  </si>
  <si>
    <t>施法总时间百分比</t>
    <phoneticPr fontId="2" type="noConversion"/>
  </si>
  <si>
    <t>冷却计时时间点</t>
    <phoneticPr fontId="2" type="noConversion"/>
  </si>
  <si>
    <t>施法锁定延迟</t>
    <phoneticPr fontId="2" type="noConversion"/>
  </si>
  <si>
    <t>mSpell mPreCastLockoutDeltaTimeData mSpellLockDeltaTimeCalculation</t>
    <phoneticPr fontId="2" type="noConversion"/>
  </si>
  <si>
    <t>施法前锁定状态时间</t>
    <phoneticPr fontId="2" type="noConversion"/>
  </si>
  <si>
    <t>施法前锁定状态时间计算</t>
    <phoneticPr fontId="2" type="noConversion"/>
  </si>
  <si>
    <t>施法后锁定状态时间</t>
    <phoneticPr fontId="2" type="noConversion"/>
  </si>
  <si>
    <t>施法后更新施法者位置参数</t>
    <phoneticPr fontId="2" type="noConversion"/>
  </si>
  <si>
    <t>被动技能增益</t>
    <phoneticPr fontId="2" type="noConversion"/>
  </si>
  <si>
    <t>充能数更新间隔（秒）</t>
    <phoneticPr fontId="2" type="noConversion"/>
  </si>
  <si>
    <t>取消冲锋的再次施法冻结时间（秒）</t>
    <phoneticPr fontId="2" type="noConversion"/>
  </si>
  <si>
    <t>施法范围成长最大值</t>
    <phoneticPr fontId="2" type="noConversion"/>
  </si>
  <si>
    <t>施法范围成长开始时间</t>
    <phoneticPr fontId="2" type="noConversion"/>
  </si>
  <si>
    <t>施法范围成长持续时间</t>
    <phoneticPr fontId="2" type="noConversion"/>
  </si>
  <si>
    <t>最大充能数</t>
    <phoneticPr fontId="2" type="noConversion"/>
  </si>
  <si>
    <t>可用充能数</t>
    <phoneticPr fontId="2" type="noConversion"/>
  </si>
  <si>
    <t>充能时间不受冷却缩减影响</t>
    <phoneticPr fontId="2" type="noConversion"/>
  </si>
  <si>
    <t>总是显示技能消耗</t>
    <phoneticPr fontId="2" type="noConversion"/>
  </si>
  <si>
    <t>冷却时间不受冷却缩减影响</t>
    <phoneticPr fontId="2" type="noConversion"/>
  </si>
  <si>
    <t>充能数隐藏</t>
    <phoneticPr fontId="2" type="noConversion"/>
  </si>
  <si>
    <t>不受压制影响</t>
    <phoneticPr fontId="2" type="noConversion"/>
  </si>
  <si>
    <t>受到限制效果时仍能施法</t>
    <phoneticPr fontId="2" type="noConversion"/>
  </si>
  <si>
    <t>受到限制效果时仍能触发冲锋技能</t>
    <phoneticPr fontId="2" type="noConversion"/>
  </si>
  <si>
    <t>施放其它技能时允许施法或进入施法队列</t>
    <phoneticPr fontId="2" type="noConversion"/>
  </si>
  <si>
    <t>施法后无法取消</t>
    <phoneticPr fontId="2" type="noConversion"/>
  </si>
  <si>
    <t>对目标英雄施放后无法取消</t>
    <phoneticPr fontId="2" type="noConversion"/>
  </si>
  <si>
    <t>引导时无法取消</t>
    <phoneticPr fontId="2" type="noConversion"/>
  </si>
  <si>
    <t>定身时无法施放</t>
    <phoneticPr fontId="2" type="noConversion"/>
  </si>
  <si>
    <t>引导过程会被限制效果打断</t>
    <phoneticPr fontId="2" type="noConversion"/>
  </si>
  <si>
    <t>引导过程会被普通攻击打断</t>
    <phoneticPr fontId="2" type="noConversion"/>
  </si>
  <si>
    <t>施加攻击效果</t>
    <phoneticPr fontId="2" type="noConversion"/>
  </si>
  <si>
    <t>施加攻击伤害</t>
    <phoneticPr fontId="2" type="noConversion"/>
  </si>
  <si>
    <t>命中时触发音效</t>
    <phoneticPr fontId="2" type="noConversion"/>
  </si>
  <si>
    <t>不打断引导过程</t>
    <phoneticPr fontId="2" type="noConversion"/>
  </si>
  <si>
    <t>鼠标指针在草丛中变化</t>
    <phoneticPr fontId="2" type="noConversion"/>
  </si>
  <si>
    <t>鼠标指针在地形中变化</t>
    <phoneticPr fontId="2" type="noConversion"/>
  </si>
  <si>
    <t>阵亡时禁用</t>
    <phoneticPr fontId="2" type="noConversion"/>
  </si>
  <si>
    <t>仅阵亡时可施放</t>
    <phoneticPr fontId="2" type="noConversion"/>
  </si>
  <si>
    <t>化身型技能</t>
    <phoneticPr fontId="2" type="noConversion"/>
  </si>
  <si>
    <t>仅在最大施法位置处施放</t>
    <phoneticPr fontId="2" type="noConversion"/>
  </si>
  <si>
    <t>技能暴露施法者视野</t>
    <phoneticPr fontId="2" type="noConversion"/>
  </si>
  <si>
    <t>允许通过小地图施法</t>
    <phoneticPr fontId="2" type="noConversion"/>
  </si>
  <si>
    <t>小地图图标可旋转</t>
    <phoneticPr fontId="2" type="noConversion"/>
  </si>
  <si>
    <t>引导时冲锋</t>
    <phoneticPr fontId="2" type="noConversion"/>
  </si>
  <si>
    <t>不同等级是否展示引导条</t>
    <phoneticPr fontId="2" type="noConversion"/>
  </si>
  <si>
    <t>从边界框开始计算施法距离</t>
    <phoneticPr fontId="2" type="noConversion"/>
  </si>
  <si>
    <t>引导时可移动</t>
    <phoneticPr fontId="2" type="noConversion"/>
  </si>
  <si>
    <t>禁用施法条</t>
    <phoneticPr fontId="2" type="noConversion"/>
  </si>
  <si>
    <t>显示引导条</t>
    <phoneticPr fontId="2" type="noConversion"/>
  </si>
  <si>
    <t>施法时立即转向</t>
    <phoneticPr fontId="2" type="noConversion"/>
  </si>
  <si>
    <t>使用动画生成器帧率</t>
    <phoneticPr fontId="2" type="noConversion"/>
  </si>
  <si>
    <t>具有命中特效</t>
    <phoneticPr fontId="2" type="noConversion"/>
  </si>
  <si>
    <t>从玩家定义纹理半径</t>
    <phoneticPr fontId="2" type="noConversion"/>
  </si>
  <si>
    <t>开关型技能</t>
    <phoneticPr fontId="2" type="noConversion"/>
  </si>
  <si>
    <t>施法时不需要面向目标</t>
    <phoneticPr fontId="2" type="noConversion"/>
  </si>
  <si>
    <t>转向速度标量</t>
    <phoneticPr fontId="2" type="noConversion"/>
  </si>
  <si>
    <t>施法时不检查距离</t>
    <phoneticPr fontId="2" type="noConversion"/>
  </si>
  <si>
    <t>施法时更新服务器轮转</t>
    <phoneticPr fontId="2" type="noConversion"/>
  </si>
  <si>
    <t>禁用时可标记</t>
    <phoneticPr fontId="2" type="noConversion"/>
  </si>
  <si>
    <t>mSpell mOverrideAttackTime mTotalAttackTimeSecs</t>
    <phoneticPr fontId="2" type="noConversion"/>
  </si>
  <si>
    <t>mSpell mOverrideAttackTime SetOverrideAttackDelay</t>
    <phoneticPr fontId="2" type="noConversion"/>
  </si>
  <si>
    <t>mSpell mOverrideAttackTime mCastTimePercent</t>
    <phoneticPr fontId="2" type="noConversion"/>
  </si>
  <si>
    <t>覆盖攻击时间计算</t>
    <phoneticPr fontId="2" type="noConversion"/>
  </si>
  <si>
    <t>启用攻击延迟覆盖</t>
    <phoneticPr fontId="2" type="noConversion"/>
  </si>
  <si>
    <t>施放时间百分比</t>
    <phoneticPr fontId="2" type="noConversion"/>
  </si>
  <si>
    <t>mSpell mUseAutoattackCastTimeData mAutoattackCastTimeCalculation</t>
    <phoneticPr fontId="2" type="noConversion"/>
  </si>
  <si>
    <t>mSpell mUseAutoattackCastTimeData mUseCastTimeAsTotalTime</t>
    <phoneticPr fontId="2" type="noConversion"/>
  </si>
  <si>
    <t>自动攻击时间计算</t>
    <phoneticPr fontId="2" type="noConversion"/>
  </si>
  <si>
    <t>自动攻击时间作为总攻击时间</t>
    <phoneticPr fontId="2" type="noConversion"/>
  </si>
  <si>
    <t>视为自动攻击</t>
    <phoneticPr fontId="2" type="noConversion"/>
  </si>
  <si>
    <t>动画直到施放帧时持续</t>
    <phoneticPr fontId="2" type="noConversion"/>
  </si>
  <si>
    <t>施法时隐藏距离指示器</t>
    <phoneticPr fontId="2" type="noConversion"/>
  </si>
  <si>
    <t>不消耗法力值</t>
    <phoneticPr fontId="2" type="noConversion"/>
  </si>
  <si>
    <t>不立即进入冷却时间</t>
    <phoneticPr fontId="2" type="noConversion"/>
  </si>
  <si>
    <t>参与暴击概率计算</t>
    <phoneticPr fontId="2" type="noConversion"/>
  </si>
  <si>
    <t>小地图缩略图显示旗标</t>
    <phoneticPr fontId="2" type="noConversion"/>
  </si>
  <si>
    <t>需要接收输入事件以保持</t>
    <phoneticPr fontId="2" type="noConversion"/>
  </si>
  <si>
    <t>施法范围</t>
    <phoneticPr fontId="2" type="noConversion"/>
  </si>
  <si>
    <t>显示施法范围</t>
    <phoneticPr fontId="2" type="noConversion"/>
  </si>
  <si>
    <t>施法半径</t>
    <phoneticPr fontId="2" type="noConversion"/>
  </si>
  <si>
    <t>次要施法半径</t>
    <phoneticPr fontId="2" type="noConversion"/>
  </si>
  <si>
    <t>施法锥角度</t>
    <phoneticPr fontId="2" type="noConversion"/>
  </si>
  <si>
    <t>施法锥距离</t>
    <phoneticPr fontId="2" type="noConversion"/>
  </si>
  <si>
    <t>施法物体作用半径</t>
    <phoneticPr fontId="2" type="noConversion"/>
  </si>
  <si>
    <t>Lua脚本更新导弹距离间隔</t>
    <phoneticPr fontId="2" type="noConversion"/>
  </si>
  <si>
    <t>mSpell mMissileSpec mMissileWidth</t>
    <phoneticPr fontId="2" type="noConversion"/>
  </si>
  <si>
    <t>mSpell mMissileSpec missileGroupSpawners</t>
    <phoneticPr fontId="2" type="noConversion"/>
  </si>
  <si>
    <t>mSpell mMissileSpec behaviors</t>
    <phoneticPr fontId="2" type="noConversion"/>
  </si>
  <si>
    <t>mSpell mMissileSpec {c195fba6}</t>
    <phoneticPr fontId="2" type="noConversion"/>
  </si>
  <si>
    <t>mSpell mMissileSpec movementComponent mUseHeightOffsetAtEnd</t>
    <phoneticPr fontId="2" type="noConversion"/>
  </si>
  <si>
    <t>mSpell mMissileSpec movementComponent mVisualsTrackHiddenTargets</t>
    <phoneticPr fontId="2" type="noConversion"/>
  </si>
  <si>
    <t>mSpell mMissileSpec movementComponent {03046674}</t>
    <phoneticPr fontId="2" type="noConversion"/>
  </si>
  <si>
    <t>mSpell mMissileSpec movementComponent mTracksTarget</t>
    <phoneticPr fontId="2" type="noConversion"/>
  </si>
  <si>
    <t>mSpell mMissileSpec movementComponent mTargetHeightAugment</t>
    <phoneticPr fontId="2" type="noConversion"/>
  </si>
  <si>
    <t>mSpell mMissileSpec movementComponent mOffsetInitialTargetHeight</t>
    <phoneticPr fontId="2" type="noConversion"/>
  </si>
  <si>
    <t>mSpell mMissileSpec movementComponent mStartBoneName</t>
    <phoneticPr fontId="2" type="noConversion"/>
  </si>
  <si>
    <t>mSpell mMissileSpec movementComponent mStartBoneSkinOverrides</t>
    <phoneticPr fontId="2" type="noConversion"/>
  </si>
  <si>
    <t>mSpell mMissileSpec movementComponent mTargetBoneName</t>
    <phoneticPr fontId="2" type="noConversion"/>
  </si>
  <si>
    <t>mSpell mMissileSpec movementComponent mInferDirectionFromFacingIfNeeded</t>
    <phoneticPr fontId="2" type="noConversion"/>
  </si>
  <si>
    <t>mSpell mMissileSpec movementComponent mProjectTargetToCastRange</t>
    <phoneticPr fontId="2" type="noConversion"/>
  </si>
  <si>
    <t>mSpell mMissileSpec movementComponent AddBonusAttackRangeToCastRange</t>
    <phoneticPr fontId="2" type="noConversion"/>
  </si>
  <si>
    <t>mSpell mMissileSpec movementComponent mUseGroundHeightAtTarget</t>
    <phoneticPr fontId="2" type="noConversion"/>
  </si>
  <si>
    <t>mSpell mMissileSpec movementComponent mSpeed</t>
    <phoneticPr fontId="2" type="noConversion"/>
  </si>
  <si>
    <t>mSpell mMissileSpec movementComponent __type</t>
    <phoneticPr fontId="2" type="noConversion"/>
  </si>
  <si>
    <t>mSpell mMissileSpec movementComponent mUseMissilePositionAsOrigin</t>
    <phoneticPr fontId="2" type="noConversion"/>
  </si>
  <si>
    <t>mSpell mMissileSpec movementComponent mTravelTime</t>
    <phoneticPr fontId="2" type="noConversion"/>
  </si>
  <si>
    <t>mSpell mMissileSpec movementComponent mAcceleration</t>
    <phoneticPr fontId="2" type="noConversion"/>
  </si>
  <si>
    <t>mSpell mMissileSpec movementComponent mMinSpeed</t>
    <phoneticPr fontId="2" type="noConversion"/>
  </si>
  <si>
    <t>mSpell mMissileSpec movementComponent mMaxSpeed</t>
    <phoneticPr fontId="2" type="noConversion"/>
  </si>
  <si>
    <t>mSpell mMissileSpec movementComponent mInitialSpeed</t>
    <phoneticPr fontId="2" type="noConversion"/>
  </si>
  <si>
    <t>mSpell mMissileSpec movementComponent mAngularVelocity</t>
    <phoneticPr fontId="2" type="noConversion"/>
  </si>
  <si>
    <t>mSpell mMissileSpec movementComponent mLifetime</t>
    <phoneticPr fontId="2" type="noConversion"/>
  </si>
  <si>
    <t>mSpell mMissileSpec movementComponent mAxisOfRotation</t>
    <phoneticPr fontId="2" type="noConversion"/>
  </si>
  <si>
    <t>mSpell mMissileSpec movementComponent mRotateAroundCasterFacingDirection</t>
    <phoneticPr fontId="2" type="noConversion"/>
  </si>
  <si>
    <t>mSpell mMissileSpec movementComponent mLinearVelocity</t>
    <phoneticPr fontId="2" type="noConversion"/>
  </si>
  <si>
    <t>mSpell mMissileSpec movementComponent mDrag</t>
    <phoneticPr fontId="2" type="noConversion"/>
  </si>
  <si>
    <t>mSpell mMissileSpec movementComponent mWallSliding</t>
    <phoneticPr fontId="2" type="noConversion"/>
  </si>
  <si>
    <t>mSpell mMissileSpec movementComponent mWallSlidingFrictionMultiplier</t>
    <phoneticPr fontId="2" type="noConversion"/>
  </si>
  <si>
    <t>mSpell mMissileSpec movementComponent MovementEntries</t>
    <phoneticPr fontId="2" type="noConversion"/>
  </si>
  <si>
    <t>mSpell mMissileSpec movementComponent mCounterClockwise</t>
    <phoneticPr fontId="2" type="noConversion"/>
  </si>
  <si>
    <t>mSpell mMissileSpec movementComponent mWallOffset</t>
    <phoneticPr fontId="2" type="noConversion"/>
  </si>
  <si>
    <t>mSpell mMissileSpec movementComponent mWallLength</t>
    <phoneticPr fontId="2" type="noConversion"/>
  </si>
  <si>
    <t>mSpell mMissileSpec movementComponent mWallSearchRadius</t>
    <phoneticPr fontId="2" type="noConversion"/>
  </si>
  <si>
    <t>mSpell mMissileSpec movementComponent mStopHalfwayAround</t>
    <phoneticPr fontId="2" type="noConversion"/>
  </si>
  <si>
    <t>mSpell mMissileSpec movementComponent UsePointSmoothing</t>
    <phoneticPr fontId="2" type="noConversion"/>
  </si>
  <si>
    <t>mSpell mMissileSpec movementComponent mTurnRadiusByLevel</t>
    <phoneticPr fontId="2" type="noConversion"/>
  </si>
  <si>
    <t>mSpell mMissileSpec movementComponent mAntiLagDelay</t>
    <phoneticPr fontId="2" type="noConversion"/>
  </si>
  <si>
    <t>mSpell mMissileSpec heightSolver mHeightOffset</t>
    <phoneticPr fontId="2" type="noConversion"/>
  </si>
  <si>
    <t>mSpell mMissileSpec heightSolver mMaxSlope</t>
    <phoneticPr fontId="2" type="noConversion"/>
  </si>
  <si>
    <t>mSpell mMissileSpec heightSolver mGravity</t>
    <phoneticPr fontId="2" type="noConversion"/>
  </si>
  <si>
    <t>mSpell mMissileSpec heightSolver {922c17e5}</t>
    <phoneticPr fontId="2" type="noConversion"/>
  </si>
  <si>
    <t>mSpell mMissileSpec heightSolver mVerticalOffset</t>
    <phoneticPr fontId="2" type="noConversion"/>
  </si>
  <si>
    <t>mSpell mMissileSpec heightSolver mAmplitude</t>
    <phoneticPr fontId="2" type="noConversion"/>
  </si>
  <si>
    <t>mSpell mMissileSpec heightSolver mNumberOfPeriods</t>
    <phoneticPr fontId="2" type="noConversion"/>
  </si>
  <si>
    <t>mSpell mMissileSpec heightSolver {827af87a}</t>
    <phoneticPr fontId="2" type="noConversion"/>
  </si>
  <si>
    <t>mSpell mMissileSpec heightSolver mInitialTargetHeightOffset</t>
    <phoneticPr fontId="2" type="noConversion"/>
  </si>
  <si>
    <t>mSpell mMissileSpec heightSolver __type</t>
    <phoneticPr fontId="2" type="noConversion"/>
  </si>
  <si>
    <t>mSpell mMissileSpec verticalFacing __type</t>
    <phoneticPr fontId="2" type="noConversion"/>
  </si>
  <si>
    <t>mSpell mMissileSpec visibilityComponent mTargetControlsVisibility</t>
    <phoneticPr fontId="2" type="noConversion"/>
  </si>
  <si>
    <t>mSpell mMissileSpec visibilityComponent mMissileClientExitFOWPrediction</t>
    <phoneticPr fontId="2" type="noConversion"/>
  </si>
  <si>
    <t>mSpell mMissileSpec visibilityComponent mPerceptionBubbleRadius</t>
    <phoneticPr fontId="2" type="noConversion"/>
  </si>
  <si>
    <t>mSpell mMissileSpec visibilityComponent mMissileClientWaitForTargetUpdateBeforeMissileShow</t>
    <phoneticPr fontId="2" type="noConversion"/>
  </si>
  <si>
    <t>mSpell mMissileSpec visibilityComponent TrailTimeToConsiderForVisibility</t>
    <phoneticPr fontId="2" type="noConversion"/>
  </si>
  <si>
    <t>mSpell mMissileSpec visibilityComponent mVisibleToOwnerTeamOnly</t>
    <phoneticPr fontId="2" type="noConversion"/>
  </si>
  <si>
    <t>mSpell mMissileSpec visibilityComponent __type</t>
    <phoneticPr fontId="2" type="noConversion"/>
  </si>
  <si>
    <t>弹体宽度</t>
    <phoneticPr fontId="2" type="noConversion"/>
  </si>
  <si>
    <t>弹体移动要素：在目标位置使用高度偏移</t>
    <phoneticPr fontId="2" type="noConversion"/>
  </si>
  <si>
    <t>弹体移动要素：视觉效果追踪隐形目标</t>
    <phoneticPr fontId="2" type="noConversion"/>
  </si>
  <si>
    <t>弹体移动要素：追踪目标</t>
    <phoneticPr fontId="2" type="noConversion"/>
  </si>
  <si>
    <t>弹体移动要素：目标高度调整值</t>
    <phoneticPr fontId="2" type="noConversion"/>
  </si>
  <si>
    <t>弹体移动要素：初始目标高度偏移量</t>
    <phoneticPr fontId="2" type="noConversion"/>
  </si>
  <si>
    <t>弹体移动要素：起始骨骼名称</t>
    <phoneticPr fontId="2" type="noConversion"/>
  </si>
  <si>
    <t>弹体移动要素：皮肤覆盖起始骨骼名称</t>
    <phoneticPr fontId="2" type="noConversion"/>
  </si>
  <si>
    <t>弹体移动要素：目标骨骼名称</t>
    <phoneticPr fontId="2" type="noConversion"/>
  </si>
  <si>
    <t>弹体移动要素：需要时从面向推断移动方向</t>
    <phoneticPr fontId="2" type="noConversion"/>
  </si>
  <si>
    <t>弹体移动要素：将弹体投射到施法范围内</t>
    <phoneticPr fontId="2" type="noConversion"/>
  </si>
  <si>
    <t>弹体移动要素：基于额外攻击距离提升施法距离</t>
    <phoneticPr fontId="2" type="noConversion"/>
  </si>
  <si>
    <t>弹体移动要素：基于等级的转向半径</t>
    <phoneticPr fontId="2" type="noConversion"/>
  </si>
  <si>
    <t>弹体移动要素：在目标位置使用地面高度</t>
    <phoneticPr fontId="2" type="noConversion"/>
  </si>
  <si>
    <t>mSpell mMissileSpec movementComponent mSplineInfo mStartPositionOffset</t>
    <phoneticPr fontId="2" type="noConversion"/>
  </si>
  <si>
    <t>mSpell mMissileSpec movementComponent mSplineInfo mUseMissilePositionAsOrigin</t>
    <phoneticPr fontId="2" type="noConversion"/>
  </si>
  <si>
    <t>mSpell mMissileSpec movementComponent mSplineInfo mControlPoint1</t>
    <phoneticPr fontId="2" type="noConversion"/>
  </si>
  <si>
    <t>mSpell mMissileSpec movementComponent mSplineInfo mControlPoint2</t>
    <phoneticPr fontId="2" type="noConversion"/>
  </si>
  <si>
    <t>mSpell mMissileSpec movementComponent mSplineInfo __type</t>
    <phoneticPr fontId="2" type="noConversion"/>
  </si>
  <si>
    <t>弹体移动要素：样条曲线信息：起始位置偏移量</t>
    <phoneticPr fontId="2" type="noConversion"/>
  </si>
  <si>
    <t>弹体移动要素：样条曲线信息：使用弹体当前位置作为曲线原点</t>
    <phoneticPr fontId="2" type="noConversion"/>
  </si>
  <si>
    <t>弹体移动要素：样条曲线信息：控制点1</t>
    <phoneticPr fontId="2" type="noConversion"/>
  </si>
  <si>
    <t>弹体移动要素：样条曲线信息：控制点2</t>
    <phoneticPr fontId="2" type="noConversion"/>
  </si>
  <si>
    <t>弹体移动要素：样条曲线信息：曲线类型</t>
    <phoneticPr fontId="2" type="noConversion"/>
  </si>
  <si>
    <t>弹体移动要素：使用弹体当前位置作为原点</t>
    <phoneticPr fontId="2" type="noConversion"/>
  </si>
  <si>
    <t>弹体移动要素：移动速度</t>
    <phoneticPr fontId="2" type="noConversion"/>
  </si>
  <si>
    <t>弹体移动要素：飞行时间</t>
    <phoneticPr fontId="2" type="noConversion"/>
  </si>
  <si>
    <t>弹体移动要素：加速度</t>
    <phoneticPr fontId="2" type="noConversion"/>
  </si>
  <si>
    <t>弹体移动要素：最小速度</t>
    <phoneticPr fontId="2" type="noConversion"/>
  </si>
  <si>
    <t>弹体移动要素：最大速度</t>
    <phoneticPr fontId="2" type="noConversion"/>
  </si>
  <si>
    <t>弹体移动要素：初始速度</t>
    <phoneticPr fontId="2" type="noConversion"/>
  </si>
  <si>
    <t>弹体移动要素：角速度</t>
    <phoneticPr fontId="2" type="noConversion"/>
  </si>
  <si>
    <t>弹体移动要素：线速度</t>
    <phoneticPr fontId="2" type="noConversion"/>
  </si>
  <si>
    <t>弹体移动要素：生命周期</t>
    <phoneticPr fontId="2" type="noConversion"/>
  </si>
  <si>
    <t>弹体移动要素：旋转轴</t>
    <phoneticPr fontId="2" type="noConversion"/>
  </si>
  <si>
    <t>弹体移动要素：围绕施法者面向方向旋转</t>
    <phoneticPr fontId="2" type="noConversion"/>
  </si>
  <si>
    <t>弹体移动要素：阻力系数</t>
    <phoneticPr fontId="2" type="noConversion"/>
  </si>
  <si>
    <t>弹体移动要素：是否沿墙壁滑动</t>
    <phoneticPr fontId="2" type="noConversion"/>
  </si>
  <si>
    <t>弹体移动要素：墙壁滑动摩擦系数</t>
    <phoneticPr fontId="2" type="noConversion"/>
  </si>
  <si>
    <t>mSpell mMissileSpec movementComponent ParametricMovementType __type</t>
    <phoneticPr fontId="2" type="noConversion"/>
  </si>
  <si>
    <t>弹体移动要素：参数化移动类型</t>
    <phoneticPr fontId="2" type="noConversion"/>
  </si>
  <si>
    <t>弹体移动要素：移动项目</t>
    <phoneticPr fontId="2" type="noConversion"/>
  </si>
  <si>
    <t>弹体移动要素：逆时针旋转</t>
    <phoneticPr fontId="2" type="noConversion"/>
  </si>
  <si>
    <t>弹体移动要素：沿墙壁移动长度</t>
    <phoneticPr fontId="2" type="noConversion"/>
  </si>
  <si>
    <t>弹体移动要素：向墙外偏移量</t>
    <phoneticPr fontId="2" type="noConversion"/>
  </si>
  <si>
    <t>弹体移动要素：墙壁搜索半径</t>
    <phoneticPr fontId="2" type="noConversion"/>
  </si>
  <si>
    <t>弹体移动要素：中途停止</t>
    <phoneticPr fontId="2" type="noConversion"/>
  </si>
  <si>
    <t>弹体移动要素：使用点平滑处理</t>
    <phoneticPr fontId="2" type="noConversion"/>
  </si>
  <si>
    <t>弹体移动要素：实时引导抗延迟补偿</t>
    <phoneticPr fontId="2" type="noConversion"/>
  </si>
  <si>
    <t>弹体移动要素类型</t>
    <phoneticPr fontId="2" type="noConversion"/>
  </si>
  <si>
    <t>弹体组生成器</t>
    <phoneticPr fontId="2" type="noConversion"/>
  </si>
  <si>
    <t>弹体可视要素：目标可见性可控</t>
    <phoneticPr fontId="2" type="noConversion"/>
  </si>
  <si>
    <t>弹体可视要素：预测弹体脱离战争迷雾时的移动</t>
    <phoneticPr fontId="2" type="noConversion"/>
  </si>
  <si>
    <t>弹体可视要素：感知气泡半径</t>
    <phoneticPr fontId="2" type="noConversion"/>
  </si>
  <si>
    <t>弹体可视要素：客户端显示弹体前等待目标更新</t>
    <phoneticPr fontId="2" type="noConversion"/>
  </si>
  <si>
    <t>弹体可视要素：用于可见性考虑的轨迹存留时间</t>
    <phoneticPr fontId="2" type="noConversion"/>
  </si>
  <si>
    <t>弹体可视要素：仅对友方可见</t>
    <phoneticPr fontId="2" type="noConversion"/>
  </si>
  <si>
    <t>弹体可视要素类型</t>
    <phoneticPr fontId="2" type="noConversion"/>
  </si>
  <si>
    <t>弹体高度求解器：高度偏移量</t>
    <phoneticPr fontId="2" type="noConversion"/>
  </si>
  <si>
    <t>弹体高度求解器：最大坡度</t>
    <phoneticPr fontId="2" type="noConversion"/>
  </si>
  <si>
    <t>弹体高度求解器：重力因子</t>
    <phoneticPr fontId="2" type="noConversion"/>
  </si>
  <si>
    <t>弹体高度求解器：垂直偏移量</t>
    <phoneticPr fontId="2" type="noConversion"/>
  </si>
  <si>
    <t>弹体高度求解器：波形振幅</t>
    <phoneticPr fontId="2" type="noConversion"/>
  </si>
  <si>
    <t>弹体高度求解器：波形周期</t>
    <phoneticPr fontId="2" type="noConversion"/>
  </si>
  <si>
    <t>弹体高度求解器类型</t>
    <phoneticPr fontId="2" type="noConversion"/>
  </si>
  <si>
    <t>弹体垂直朝向类型</t>
    <phoneticPr fontId="2" type="noConversion"/>
  </si>
  <si>
    <t>弹体行为</t>
    <phoneticPr fontId="2" type="noConversion"/>
  </si>
  <si>
    <t>施法类型</t>
    <phoneticPr fontId="2" type="noConversion"/>
  </si>
  <si>
    <t>施法帧数</t>
    <phoneticPr fontId="2" type="noConversion"/>
  </si>
  <si>
    <t>弹体速度</t>
    <phoneticPr fontId="2" type="noConversion"/>
  </si>
  <si>
    <t>弹体特效名称</t>
    <phoneticPr fontId="2" type="noConversion"/>
  </si>
  <si>
    <t>弹体特效键</t>
    <phoneticPr fontId="2" type="noConversion"/>
  </si>
  <si>
    <t>弹体最大转向速度</t>
    <phoneticPr fontId="2" type="noConversion"/>
  </si>
  <si>
    <t>弹体最大转动角度</t>
    <phoneticPr fontId="2" type="noConversion"/>
  </si>
  <si>
    <t>玩家弹体特效键</t>
    <phoneticPr fontId="2" type="noConversion"/>
  </si>
  <si>
    <t>敌方弹体特效键</t>
    <phoneticPr fontId="2" type="noConversion"/>
  </si>
  <si>
    <t>线条宽度</t>
    <phoneticPr fontId="2" type="noConversion"/>
  </si>
  <si>
    <t>线条拖拽长度</t>
    <phoneticPr fontId="2" type="noConversion"/>
  </si>
  <si>
    <t>资源解析列表</t>
    <phoneticPr fontId="2" type="noConversion"/>
  </si>
  <si>
    <t>观察策略</t>
    <phoneticPr fontId="2" type="noConversion"/>
  </si>
  <si>
    <t>命中效果定向类型</t>
    <phoneticPr fontId="2" type="noConversion"/>
  </si>
  <si>
    <t>命中效果名称</t>
    <phoneticPr fontId="2" type="noConversion"/>
  </si>
  <si>
    <t>命中效果键</t>
    <phoneticPr fontId="2" type="noConversion"/>
  </si>
  <si>
    <t>后续效果键</t>
    <phoneticPr fontId="2" type="noConversion"/>
  </si>
  <si>
    <t>后续效果名称</t>
    <phoneticPr fontId="2" type="noConversion"/>
  </si>
  <si>
    <t>具有命中骨骼</t>
    <phoneticPr fontId="2" type="noConversion"/>
  </si>
  <si>
    <t>命中骨骼名称</t>
    <phoneticPr fontId="2" type="noConversion"/>
  </si>
  <si>
    <t>浮点数显示精度</t>
    <phoneticPr fontId="2" type="noConversion"/>
  </si>
  <si>
    <t>法力值消耗</t>
    <phoneticPr fontId="2" type="noConversion"/>
  </si>
  <si>
    <t>显示法力值消耗</t>
    <phoneticPr fontId="2" type="noConversion"/>
  </si>
  <si>
    <t>选择优先级</t>
    <phoneticPr fontId="2" type="noConversion"/>
  </si>
  <si>
    <t>mSpell mTargetingTypeData {0fb5bbd7}</t>
    <phoneticPr fontId="2" type="noConversion"/>
  </si>
  <si>
    <t>mSpell mTargetingTypeData mCanCompleteCastWithoutTarget</t>
    <phoneticPr fontId="2" type="noConversion"/>
  </si>
  <si>
    <t>mSpell mTargetingTypeData DetectionRange</t>
    <phoneticPr fontId="2" type="noConversion"/>
  </si>
  <si>
    <t>mSpell mTargetingTypeData mBrushCursor</t>
    <phoneticPr fontId="2" type="noConversion"/>
  </si>
  <si>
    <t>mSpell mTargetingTypeData mRiverCursor</t>
    <phoneticPr fontId="2" type="noConversion"/>
  </si>
  <si>
    <t>mSpell mTargetingTypeData mWallCursor</t>
    <phoneticPr fontId="2" type="noConversion"/>
  </si>
  <si>
    <t>mSpell mTargetingTypeData __type</t>
    <phoneticPr fontId="2" type="noConversion"/>
  </si>
  <si>
    <t>目标类型数据：在目标消失时可完成施法</t>
    <phoneticPr fontId="2" type="noConversion"/>
  </si>
  <si>
    <t>目标类型数据：目标检测距离</t>
    <phoneticPr fontId="2" type="noConversion"/>
  </si>
  <si>
    <t>目标类型数据：草丛指针方案</t>
    <phoneticPr fontId="2" type="noConversion"/>
  </si>
  <si>
    <t>目标类型数据：河流指针方案</t>
    <phoneticPr fontId="2" type="noConversion"/>
  </si>
  <si>
    <t>目标类型数据：墙壁指针方案</t>
    <phoneticPr fontId="2" type="noConversion"/>
  </si>
  <si>
    <t>目标类型</t>
    <phoneticPr fontId="2" type="noConversion"/>
  </si>
  <si>
    <t>mSpell {8958fee2} {ffcbd9e2}</t>
    <phoneticPr fontId="2" type="noConversion"/>
  </si>
  <si>
    <t>mSpell {8958fee2} {79a2e7aa}</t>
    <phoneticPr fontId="2" type="noConversion"/>
  </si>
  <si>
    <t>技能触发音效事件映射表</t>
    <phoneticPr fontId="2" type="noConversion"/>
  </si>
  <si>
    <t>粒子起始偏移量</t>
    <phoneticPr fontId="2" type="noConversion"/>
  </si>
  <si>
    <t>目标选择容错</t>
    <phoneticPr fontId="2" type="noConversion"/>
  </si>
  <si>
    <t>冷却队列阈值</t>
    <phoneticPr fontId="2" type="noConversion"/>
  </si>
  <si>
    <t>维度行为</t>
    <phoneticPr fontId="2" type="noConversion"/>
  </si>
  <si>
    <t>施法时打破潜行状态</t>
    <phoneticPr fontId="2" type="noConversion"/>
  </si>
  <si>
    <t>施法时暴露潜行者视野</t>
    <phoneticPr fontId="2" type="noConversion"/>
  </si>
  <si>
    <t>施法附着时打破潜行状态</t>
    <phoneticPr fontId="2" type="noConversion"/>
  </si>
  <si>
    <t>mSpell mClientData mUseTooltipFromAnotherSpell</t>
    <phoneticPr fontId="2" type="noConversion"/>
  </si>
  <si>
    <t>mSpell mClientData mMissileTargeterDefinitions</t>
    <phoneticPr fontId="2" type="noConversion"/>
  </si>
  <si>
    <t>mSpell mClientData mUseDeathRecapTooltipFromAnotherSpell</t>
    <phoneticPr fontId="2" type="noConversion"/>
  </si>
  <si>
    <t>mSpell mClientData {d66dd6a5}</t>
    <phoneticPr fontId="2" type="noConversion"/>
  </si>
  <si>
    <t>mSpell mClientData mTargeterDefinitions</t>
    <phoneticPr fontId="2" type="noConversion"/>
  </si>
  <si>
    <t>mSpell mClientData mCustomTargeterDefinitions</t>
    <phoneticPr fontId="2" type="noConversion"/>
  </si>
  <si>
    <t>mSpell mClientData mLeftClickSpellAction</t>
    <phoneticPr fontId="2" type="noConversion"/>
  </si>
  <si>
    <t>mSpell mClientData mRightClickSpellAction</t>
    <phoneticPr fontId="2" type="noConversion"/>
  </si>
  <si>
    <t>其它技能的说明文本</t>
    <phoneticPr fontId="2" type="noConversion"/>
  </si>
  <si>
    <t>弹体目标器定义</t>
    <phoneticPr fontId="2" type="noConversion"/>
  </si>
  <si>
    <t>其它技能的死亡回放说明文本</t>
    <phoneticPr fontId="2" type="noConversion"/>
  </si>
  <si>
    <t>mSpell mClientData mTooltipData mObjectName</t>
    <phoneticPr fontId="2" type="noConversion"/>
  </si>
  <si>
    <t>mSpell mClientData mTooltipData mFormat</t>
    <phoneticPr fontId="2" type="noConversion"/>
  </si>
  <si>
    <t>mSpell mClientData mTooltipData EnableExtendedTooltip</t>
    <phoneticPr fontId="2" type="noConversion"/>
  </si>
  <si>
    <t>说明文本对象名称</t>
    <phoneticPr fontId="2" type="noConversion"/>
  </si>
  <si>
    <t>说明文本格式</t>
    <phoneticPr fontId="2" type="noConversion"/>
  </si>
  <si>
    <t>扩展说明文本可用性</t>
    <phoneticPr fontId="2" type="noConversion"/>
  </si>
  <si>
    <t>mSpell mClientData mTooltipData mLists LevelUp levelCount</t>
    <phoneticPr fontId="2" type="noConversion"/>
  </si>
  <si>
    <t>mSpell mClientData mTooltipData mLists LevelUp Elements</t>
    <phoneticPr fontId="2" type="noConversion"/>
  </si>
  <si>
    <t>技能等级数量</t>
    <phoneticPr fontId="2" type="noConversion"/>
  </si>
  <si>
    <t>技能升级要素</t>
    <phoneticPr fontId="2" type="noConversion"/>
  </si>
  <si>
    <t>mSpell mClientData mSpawningUIDefinition maxNumberOfUnits</t>
    <phoneticPr fontId="2" type="noConversion"/>
  </si>
  <si>
    <t>mSpell mClientData mSpawningUIDefinition buffNameFilter</t>
    <phoneticPr fontId="2" type="noConversion"/>
  </si>
  <si>
    <t>生成单位管理：增益名称过滤</t>
    <phoneticPr fontId="2" type="noConversion"/>
  </si>
  <si>
    <t>生成单位管理：最大单位数</t>
    <phoneticPr fontId="2" type="noConversion"/>
  </si>
  <si>
    <t>目标器定义</t>
    <phoneticPr fontId="2" type="noConversion"/>
  </si>
  <si>
    <t>个性化目标器定义</t>
    <phoneticPr fontId="2" type="noConversion"/>
  </si>
  <si>
    <t>鼠标左键单击动作</t>
    <phoneticPr fontId="2" type="noConversion"/>
  </si>
  <si>
    <t>鼠标右键单击动作</t>
    <phoneticPr fontId="2" type="noConversion"/>
  </si>
  <si>
    <t>激活时锁定技能施放起源ID</t>
    <phoneticPr fontId="2" type="noConversion"/>
  </si>
  <si>
    <t>弹体高度求解器：初始目标高度偏移量</t>
    <phoneticPr fontId="2" type="noConversion"/>
  </si>
  <si>
    <t>isRootSpell</t>
    <phoneticPr fontId="2" type="noConversion"/>
  </si>
  <si>
    <t>根技能</t>
    <phoneticPr fontId="2" type="noConversion"/>
  </si>
  <si>
    <t>所属技能特征旗标</t>
    <phoneticPr fontId="2" type="noConversion"/>
  </si>
  <si>
    <t>基础冷却时间</t>
    <phoneticPr fontId="2" type="noConversion"/>
  </si>
  <si>
    <t>基础充能时间</t>
    <phoneticPr fontId="2" type="noConversion"/>
  </si>
  <si>
    <t>打断后不会触发技能结束效果</t>
    <phoneticPr fontId="2" type="noConversion"/>
  </si>
  <si>
    <t>增益存在持续时间</t>
    <phoneticPr fontId="2" type="noConversion"/>
  </si>
  <si>
    <t>rootAbility_mLifetimeManuallyManaged</t>
    <phoneticPr fontId="2" type="noConversion"/>
  </si>
  <si>
    <t>rootAbility_mName</t>
    <phoneticPr fontId="2" type="noConversion"/>
  </si>
  <si>
    <t>rootAbility_mType</t>
    <phoneticPr fontId="2" type="noConversion"/>
  </si>
  <si>
    <t>所属技能的持续时间可控制</t>
    <phoneticPr fontId="2" type="noConversion"/>
  </si>
  <si>
    <t>所属技能名称</t>
    <phoneticPr fontId="2" type="noConversion"/>
  </si>
  <si>
    <t>所属技能类型</t>
    <phoneticPr fontId="2" type="noConversion"/>
  </si>
  <si>
    <t>所属技能键</t>
    <phoneticPr fontId="2" type="noConversion"/>
  </si>
  <si>
    <t>spellNames_content_zh</t>
    <phoneticPr fontId="2" type="noConversion"/>
  </si>
  <si>
    <t>spellNames_content_en</t>
    <phoneticPr fontId="2" type="noConversion"/>
  </si>
  <si>
    <t>技能名称（中文）</t>
    <phoneticPr fontId="2" type="noConversion"/>
  </si>
  <si>
    <t>技能名称（英文）</t>
    <phoneticPr fontId="2" type="noConversion"/>
  </si>
  <si>
    <t>英雄文件夹</t>
    <phoneticPr fontId="2" type="noConversion"/>
  </si>
  <si>
    <t>技能热键</t>
    <phoneticPr fontId="2" type="noConversion"/>
  </si>
  <si>
    <t>spellHotKey</t>
    <phoneticPr fontId="2" type="noConversion"/>
  </si>
  <si>
    <t>mSpell mClientData mTooltipData mLocKeys keyName_content_zh_burn</t>
    <phoneticPr fontId="2" type="noConversion"/>
  </si>
  <si>
    <t>mSpell mClientData mTooltipData mLocKeys keyName_content_en_burn</t>
    <phoneticPr fontId="2" type="noConversion"/>
  </si>
  <si>
    <t>CoreName</t>
  </si>
  <si>
    <t>displayName</t>
  </si>
  <si>
    <t>TftGameType</t>
  </si>
  <si>
    <t>number</t>
  </si>
  <si>
    <t>AugmentContainerTexture</t>
  </si>
  <si>
    <t>AugmentContainerName</t>
  </si>
  <si>
    <t>{46413d37}</t>
  </si>
  <si>
    <t>{ecb7a24b}</t>
  </si>
  <si>
    <t>DebugCharacterLists</t>
  </si>
  <si>
    <t>characterLists</t>
  </si>
  <si>
    <t>tftCharacterLists</t>
  </si>
  <si>
    <t>TraitLists</t>
  </si>
  <si>
    <t>{0a8ae70b}</t>
  </si>
  <si>
    <t>{8d56bbf6}</t>
  </si>
  <si>
    <t>ShopDataLists</t>
  </si>
  <si>
    <t>DropRateTables</t>
  </si>
  <si>
    <t>ShopContentData</t>
  </si>
  <si>
    <t>ScriptData</t>
  </si>
  <si>
    <t>StageRoundData</t>
  </si>
  <si>
    <t>{34e20808}</t>
  </si>
  <si>
    <t>{fc63519e}</t>
  </si>
  <si>
    <t>{44933d76}</t>
  </si>
  <si>
    <t>EncounterList</t>
  </si>
  <si>
    <t>{e6c62bd9}</t>
  </si>
  <si>
    <t>{8e557b7b}</t>
  </si>
  <si>
    <t>{032ade10}</t>
  </si>
  <si>
    <t>VfxResourceResolver</t>
  </si>
  <si>
    <t>{f99705af}</t>
  </si>
  <si>
    <t>AudioFeature</t>
  </si>
  <si>
    <t>{4bf0e5a9}</t>
  </si>
  <si>
    <t>GameStartSequenceOverride</t>
  </si>
  <si>
    <t>{ee70bdd4}</t>
  </si>
  <si>
    <t>{40d2e7e6}</t>
  </si>
  <si>
    <t>{47f76f2b}</t>
  </si>
  <si>
    <t>{a91dafb1}</t>
  </si>
  <si>
    <t>{912b57cb}</t>
  </si>
  <si>
    <t>{416ab5f5}</t>
  </si>
  <si>
    <t>CompanionHealthPerTickMark</t>
  </si>
  <si>
    <t>{412bcd03}</t>
  </si>
  <si>
    <t>BotSkillData</t>
  </si>
  <si>
    <t>{22cc712f}</t>
  </si>
  <si>
    <t>{bdb41827}</t>
  </si>
  <si>
    <t>{8876469a}</t>
  </si>
  <si>
    <t>{876a220d}</t>
  </si>
  <si>
    <t>{c58ff569}</t>
  </si>
  <si>
    <t>{37ed6c58}</t>
  </si>
  <si>
    <t>{08dad7b8}</t>
  </si>
  <si>
    <t>{0d042916}</t>
  </si>
  <si>
    <t>{1743f77c}</t>
  </si>
  <si>
    <t>赛季代码</t>
    <phoneticPr fontId="2" type="noConversion"/>
  </si>
  <si>
    <t>核心代码</t>
    <phoneticPr fontId="2" type="noConversion"/>
  </si>
  <si>
    <t>displayName_content_zh</t>
    <phoneticPr fontId="2" type="noConversion"/>
  </si>
  <si>
    <t>displayName_content_en</t>
    <phoneticPr fontId="2" type="noConversion"/>
  </si>
  <si>
    <t>云顶之弈游戏类型代号</t>
    <phoneticPr fontId="2" type="noConversion"/>
  </si>
  <si>
    <t>赛季号</t>
    <phoneticPr fontId="2" type="noConversion"/>
  </si>
  <si>
    <t>强化符文容器纹理</t>
    <phoneticPr fontId="2" type="noConversion"/>
  </si>
  <si>
    <t>强化符文容器名称</t>
    <phoneticPr fontId="2" type="noConversion"/>
  </si>
  <si>
    <t>调试角色列表</t>
    <phoneticPr fontId="2" type="noConversion"/>
  </si>
  <si>
    <t>地图角色列表</t>
    <phoneticPr fontId="2" type="noConversion"/>
  </si>
  <si>
    <t>云顶之弈角色列表</t>
    <phoneticPr fontId="2" type="noConversion"/>
  </si>
  <si>
    <t>装备列表</t>
    <phoneticPr fontId="2" type="noConversion"/>
  </si>
  <si>
    <t>羁绊列表</t>
    <phoneticPr fontId="2" type="noConversion"/>
  </si>
  <si>
    <t>DebugCharacterLists characters</t>
    <phoneticPr fontId="2" type="noConversion"/>
  </si>
  <si>
    <t>调试角色</t>
    <phoneticPr fontId="2" type="noConversion"/>
  </si>
  <si>
    <t>characterLists characters</t>
    <phoneticPr fontId="2" type="noConversion"/>
  </si>
  <si>
    <t>tftCharacterLists characters</t>
    <phoneticPr fontId="2" type="noConversion"/>
  </si>
  <si>
    <t>地图角色</t>
    <phoneticPr fontId="2" type="noConversion"/>
  </si>
  <si>
    <t>云顶之弈角色</t>
    <phoneticPr fontId="2" type="noConversion"/>
  </si>
  <si>
    <t>羁绊变异列表</t>
    <phoneticPr fontId="2" type="noConversion"/>
  </si>
  <si>
    <t>{0a8ae70b} TraitAssignments</t>
    <phoneticPr fontId="2" type="noConversion"/>
  </si>
  <si>
    <t>羁绊变异详细信息</t>
    <phoneticPr fontId="2" type="noConversion"/>
  </si>
  <si>
    <t>其它装备列表</t>
    <phoneticPr fontId="2" type="noConversion"/>
  </si>
  <si>
    <t>ShopDataLists ShopData</t>
    <phoneticPr fontId="2" type="noConversion"/>
  </si>
  <si>
    <t>云顶之弈商店信息</t>
    <phoneticPr fontId="2" type="noConversion"/>
  </si>
  <si>
    <t>商店数据列表</t>
    <phoneticPr fontId="2" type="noConversion"/>
  </si>
  <si>
    <t>云顶之弈商品名称（中文）</t>
    <phoneticPr fontId="2" type="noConversion"/>
  </si>
  <si>
    <t>云顶之弈商品名称（英文）</t>
    <phoneticPr fontId="2" type="noConversion"/>
  </si>
  <si>
    <t>掉率列表</t>
    <phoneticPr fontId="2" type="noConversion"/>
  </si>
  <si>
    <t>商店内容键</t>
    <phoneticPr fontId="2" type="noConversion"/>
  </si>
  <si>
    <t>ShopContentData TierBags</t>
    <phoneticPr fontId="2" type="noConversion"/>
  </si>
  <si>
    <t>小队规划器</t>
    <phoneticPr fontId="2" type="noConversion"/>
  </si>
  <si>
    <t>指令数据</t>
    <phoneticPr fontId="2" type="noConversion"/>
  </si>
  <si>
    <t>StageRoundData stages</t>
    <phoneticPr fontId="2" type="noConversion"/>
  </si>
  <si>
    <t>回合阶段代码</t>
    <phoneticPr fontId="2" type="noConversion"/>
  </si>
  <si>
    <t>回合阶段键</t>
    <phoneticPr fontId="2" type="noConversion"/>
  </si>
  <si>
    <t>特殊回合阶段键</t>
    <phoneticPr fontId="2" type="noConversion"/>
  </si>
  <si>
    <t>传送门列表键</t>
    <phoneticPr fontId="2" type="noConversion"/>
  </si>
  <si>
    <t>通用传送门列表</t>
    <phoneticPr fontId="2" type="noConversion"/>
  </si>
  <si>
    <t>强化符文规则名称</t>
    <phoneticPr fontId="2" type="noConversion"/>
  </si>
  <si>
    <t>奇遇事件列表键</t>
    <phoneticPr fontId="2" type="noConversion"/>
  </si>
  <si>
    <t>赛博装备列表</t>
    <phoneticPr fontId="2" type="noConversion"/>
  </si>
  <si>
    <t>{032ade10} {9a7587b2}</t>
    <phoneticPr fontId="2" type="noConversion"/>
  </si>
  <si>
    <t>赛博装备键</t>
    <phoneticPr fontId="2" type="noConversion"/>
  </si>
  <si>
    <t>赛博装备名称（中文）</t>
    <phoneticPr fontId="2" type="noConversion"/>
  </si>
  <si>
    <t>赛博装备名称（英文）</t>
    <phoneticPr fontId="2" type="noConversion"/>
  </si>
  <si>
    <t>视觉特效资源解析器</t>
    <phoneticPr fontId="2" type="noConversion"/>
  </si>
  <si>
    <t>其它资源解析器列表</t>
    <phoneticPr fontId="2" type="noConversion"/>
  </si>
  <si>
    <t>VfxResourceResolver resourceMap</t>
    <phoneticPr fontId="2" type="noConversion"/>
  </si>
  <si>
    <t>视觉特效资源映射字典</t>
    <phoneticPr fontId="2" type="noConversion"/>
  </si>
  <si>
    <t>{f99705af} resourceMap</t>
    <phoneticPr fontId="2" type="noConversion"/>
  </si>
  <si>
    <t>其它资源解析器映射字典</t>
    <phoneticPr fontId="2" type="noConversion"/>
  </si>
  <si>
    <t>音频特征</t>
    <phoneticPr fontId="2" type="noConversion"/>
  </si>
  <si>
    <t>六费卡指令列表</t>
    <phoneticPr fontId="2" type="noConversion"/>
  </si>
  <si>
    <t>六费卡指令说明键</t>
    <phoneticPr fontId="2" type="noConversion"/>
  </si>
  <si>
    <t>六费单位属性键</t>
    <phoneticPr fontId="2" type="noConversion"/>
  </si>
  <si>
    <t>六费卡指令名说明代码</t>
  </si>
  <si>
    <t>六费卡指令说明标题键</t>
  </si>
  <si>
    <t>六费卡指令说明副标题键</t>
  </si>
  <si>
    <t>六费卡指令说明描述键</t>
  </si>
  <si>
    <t>六费卡指令说明标题（中文）</t>
  </si>
  <si>
    <t>六费卡指令说明标题（英文）</t>
  </si>
  <si>
    <t>六费卡指令说明副标题（中文）</t>
  </si>
  <si>
    <t>六费卡指令说明副标题（英文）</t>
  </si>
  <si>
    <t>六费卡指令说明描述（中文）</t>
  </si>
  <si>
    <t>六费卡指令说明描述（英文）</t>
  </si>
  <si>
    <t>六费卡指令说明描述（中文/数值转换）</t>
  </si>
  <si>
    <t>六费卡指令说明描述（英文/数值转换）</t>
  </si>
  <si>
    <t>六费单位音频单元</t>
    <phoneticPr fontId="2" type="noConversion"/>
  </si>
  <si>
    <t>InfoNubData TitleKey</t>
    <phoneticPr fontId="2" type="noConversion"/>
  </si>
  <si>
    <t>InfoNubData BodyKey</t>
    <phoneticPr fontId="2" type="noConversion"/>
  </si>
  <si>
    <t>特定赛季提示标题键</t>
    <phoneticPr fontId="2" type="noConversion"/>
  </si>
  <si>
    <t>特定赛季提示主体键</t>
    <phoneticPr fontId="2" type="noConversion"/>
  </si>
  <si>
    <t>InfoNubData TitleKey_content_zh</t>
    <phoneticPr fontId="2" type="noConversion"/>
  </si>
  <si>
    <t>InfoNubData TitleKey_content_en</t>
    <phoneticPr fontId="2" type="noConversion"/>
  </si>
  <si>
    <t>InfoNubData BodyKey_content_zh</t>
    <phoneticPr fontId="2" type="noConversion"/>
  </si>
  <si>
    <t>InfoNubData BodyKey_content_en</t>
    <phoneticPr fontId="2" type="noConversion"/>
  </si>
  <si>
    <t>InfoNubData BodyKey_content_zh_burn</t>
    <phoneticPr fontId="2" type="noConversion"/>
  </si>
  <si>
    <t>InfoNubData BodyKey_content_en_burn</t>
    <phoneticPr fontId="2" type="noConversion"/>
  </si>
  <si>
    <t>特定赛季提示标题（中文）</t>
    <phoneticPr fontId="2" type="noConversion"/>
  </si>
  <si>
    <t>特定赛季提示标题（英文）</t>
    <phoneticPr fontId="2" type="noConversion"/>
  </si>
  <si>
    <t>特定赛季提示主体（中文）</t>
    <phoneticPr fontId="2" type="noConversion"/>
  </si>
  <si>
    <t>特定赛季提示主体（英文）</t>
    <phoneticPr fontId="2" type="noConversion"/>
  </si>
  <si>
    <t>特定赛季提示主体（中文/数值转换）</t>
    <phoneticPr fontId="2" type="noConversion"/>
  </si>
  <si>
    <t>特定赛季提示主体（英文/数值转换）</t>
    <phoneticPr fontId="2" type="noConversion"/>
  </si>
  <si>
    <t>游戏开始序列覆盖</t>
    <phoneticPr fontId="2" type="noConversion"/>
  </si>
  <si>
    <t>AugmentUiOverride BaseLoadable</t>
    <phoneticPr fontId="2" type="noConversion"/>
  </si>
  <si>
    <t>AugmentUiOverride MobileLoadable</t>
    <phoneticPr fontId="2" type="noConversion"/>
  </si>
  <si>
    <t>强化符文PC端显示界面</t>
    <phoneticPr fontId="2" type="noConversion"/>
  </si>
  <si>
    <t>强化符文移动端显示界面</t>
    <phoneticPr fontId="2" type="noConversion"/>
  </si>
  <si>
    <t>各星级弈子供应信息</t>
  </si>
  <si>
    <t>UnitShopUiOverride BaseLoadable</t>
    <phoneticPr fontId="2" type="noConversion"/>
  </si>
  <si>
    <t>UnitShopUiOverride MobileLoadable</t>
    <phoneticPr fontId="2" type="noConversion"/>
  </si>
  <si>
    <t>弈子PC端商店显示界面</t>
    <phoneticPr fontId="2" type="noConversion"/>
  </si>
  <si>
    <t>弈子移动端商店显示界面</t>
    <phoneticPr fontId="2" type="noConversion"/>
  </si>
  <si>
    <t>{0f5c7941} BaseLoadable</t>
    <phoneticPr fontId="2" type="noConversion"/>
  </si>
  <si>
    <t>{0f5c7941} MobileLoadable</t>
    <phoneticPr fontId="2" type="noConversion"/>
  </si>
  <si>
    <t>{1d43802b} BaseLoadable</t>
    <phoneticPr fontId="2" type="noConversion"/>
  </si>
  <si>
    <t>{1d43802b} MobileLoadable</t>
    <phoneticPr fontId="2" type="noConversion"/>
  </si>
  <si>
    <t>{9370f055} BaseLoadable</t>
    <phoneticPr fontId="2" type="noConversion"/>
  </si>
  <si>
    <t>{9370f055} MobileLoadable</t>
    <phoneticPr fontId="2" type="noConversion"/>
  </si>
  <si>
    <t>{dacd2fc1} {07e29603}</t>
    <phoneticPr fontId="2" type="noConversion"/>
  </si>
  <si>
    <t>{dacd2fc1} {a211c44d}</t>
    <phoneticPr fontId="2" type="noConversion"/>
  </si>
  <si>
    <t>{dacd2fc1} {27c5053e}</t>
    <phoneticPr fontId="2" type="noConversion"/>
  </si>
  <si>
    <t>二进制容器路径</t>
    <phoneticPr fontId="2" type="noConversion"/>
  </si>
  <si>
    <t>通告图标路径</t>
  </si>
  <si>
    <t>通告标题键</t>
  </si>
  <si>
    <t>通告标题（中文）</t>
  </si>
  <si>
    <t>通告标题（英文）</t>
  </si>
  <si>
    <t>通告持续时间</t>
  </si>
  <si>
    <t>通告延迟</t>
  </si>
  <si>
    <t>通告动态图路径</t>
  </si>
  <si>
    <t>通告颗粒效果键</t>
  </si>
  <si>
    <t>装备边框配置</t>
    <phoneticPr fontId="2" type="noConversion"/>
  </si>
  <si>
    <t>{47f76f2b} content</t>
    <phoneticPr fontId="2" type="noConversion"/>
  </si>
  <si>
    <t>装备边框配置信息</t>
    <phoneticPr fontId="2" type="noConversion"/>
  </si>
  <si>
    <t>特殊弈子和羁绊</t>
    <phoneticPr fontId="2" type="noConversion"/>
  </si>
  <si>
    <t>默认棋盘皮肤键</t>
    <phoneticPr fontId="2" type="noConversion"/>
  </si>
  <si>
    <t>默认棋盘皮肤名称</t>
    <phoneticPr fontId="2" type="noConversion"/>
  </si>
  <si>
    <t>小小英雄生命值分度值</t>
    <phoneticPr fontId="2" type="noConversion"/>
  </si>
  <si>
    <t>推荐阵容</t>
    <phoneticPr fontId="2" type="noConversion"/>
  </si>
  <si>
    <t>电脑玩家难度等级</t>
    <phoneticPr fontId="2" type="noConversion"/>
  </si>
  <si>
    <t>电脑玩家难度配置</t>
    <phoneticPr fontId="2" type="noConversion"/>
  </si>
  <si>
    <t>弈子解锁里程</t>
    <phoneticPr fontId="2" type="noConversion"/>
  </si>
  <si>
    <t>独特玩法名称键</t>
    <phoneticPr fontId="2" type="noConversion"/>
  </si>
  <si>
    <t>{8876469a}_content_zh</t>
    <phoneticPr fontId="2" type="noConversion"/>
  </si>
  <si>
    <t>{8876469a}_content_en</t>
    <phoneticPr fontId="2" type="noConversion"/>
  </si>
  <si>
    <t>独特玩法名称（中文）</t>
    <phoneticPr fontId="2" type="noConversion"/>
  </si>
  <si>
    <t>独特玩法名称（英文）</t>
    <phoneticPr fontId="2" type="noConversion"/>
  </si>
  <si>
    <t>签名格键</t>
    <phoneticPr fontId="2" type="noConversion"/>
  </si>
  <si>
    <t>签名格信息</t>
    <phoneticPr fontId="2" type="noConversion"/>
  </si>
  <si>
    <t>加农炮击键</t>
    <phoneticPr fontId="2" type="noConversion"/>
  </si>
  <si>
    <t>{c58ff569} {a2cf977c}</t>
  </si>
  <si>
    <t>加农炮击对象名</t>
    <phoneticPr fontId="2" type="noConversion"/>
  </si>
  <si>
    <t>{c58ff569} {7e6c2447}</t>
  </si>
  <si>
    <t>{c58ff569} {7c790dbb}</t>
  </si>
  <si>
    <t>{c58ff569} {a10aa7e1}</t>
  </si>
  <si>
    <t>{c58ff569} {0f04526e}</t>
  </si>
  <si>
    <t>{c58ff569} {0e623b6b}</t>
  </si>
  <si>
    <t>{c58ff569} {594df5dc}</t>
  </si>
  <si>
    <t>{c58ff569} {50badf5e}</t>
  </si>
  <si>
    <t>{c58ff569} {76b0808b}</t>
  </si>
  <si>
    <t>{c58ff569} {ff86a45c}</t>
  </si>
  <si>
    <t>{c58ff569} {216b3a2a}</t>
  </si>
  <si>
    <t>{c58ff569} {d9aa5cc6}</t>
  </si>
  <si>
    <t>{c58ff569} {65cc7400}</t>
  </si>
  <si>
    <t>{c58ff569} {d2211d89}</t>
  </si>
  <si>
    <t>{c58ff569} {dfc07418}</t>
  </si>
  <si>
    <t>{c58ff569} {54adb769}</t>
  </si>
  <si>
    <t>{c58ff569} {8770b954}</t>
  </si>
  <si>
    <t>{c58ff569} {1aa4e302}</t>
  </si>
  <si>
    <t>{c58ff569} {4a34b888}</t>
  </si>
  <si>
    <t>{c58ff569} {44186edd}</t>
  </si>
  <si>
    <t>{c58ff569} {91c13680}</t>
  </si>
  <si>
    <t>{c58ff569} {c492805f}</t>
  </si>
  <si>
    <t>{c58ff569} {aa8b3fb6}</t>
  </si>
  <si>
    <t>{c58ff569} {81ab8092}</t>
  </si>
  <si>
    <t>{c58ff569} {c363ed88}</t>
  </si>
  <si>
    <t>{c58ff569} {bf072fc1}</t>
  </si>
  <si>
    <t>{c58ff569} {98b7e581}</t>
  </si>
  <si>
    <t>加农炮内可存放装备</t>
    <phoneticPr fontId="2" type="noConversion"/>
  </si>
  <si>
    <t>加农炮属性键</t>
    <phoneticPr fontId="2" type="noConversion"/>
  </si>
  <si>
    <t>加农炮击触发动作</t>
    <phoneticPr fontId="2" type="noConversion"/>
  </si>
  <si>
    <t>加农炮悬停指令名</t>
    <phoneticPr fontId="2" type="noConversion"/>
  </si>
  <si>
    <t>加农炮装载装备指令名</t>
    <phoneticPr fontId="2" type="noConversion"/>
  </si>
  <si>
    <t>加农炮替换装备指令名</t>
    <phoneticPr fontId="2" type="noConversion"/>
  </si>
  <si>
    <t>加农炮移除装备指令名</t>
    <phoneticPr fontId="2" type="noConversion"/>
  </si>
  <si>
    <t>加农炮冷却就绪指令名</t>
    <phoneticPr fontId="2" type="noConversion"/>
  </si>
  <si>
    <t>加农炮装备就绪指令名</t>
    <phoneticPr fontId="2" type="noConversion"/>
  </si>
  <si>
    <t>加农炮非法行为警告指令名</t>
    <phoneticPr fontId="2" type="noConversion"/>
  </si>
  <si>
    <t>加农炮可用提示指令名</t>
    <phoneticPr fontId="2" type="noConversion"/>
  </si>
  <si>
    <t>加农炮可用提示光效名</t>
    <phoneticPr fontId="2" type="noConversion"/>
  </si>
  <si>
    <t>{c58ff569} {642004df} {ed713805}</t>
    <phoneticPr fontId="2" type="noConversion"/>
  </si>
  <si>
    <t>{c58ff569} {e2902d6a} {ed713805}</t>
    <phoneticPr fontId="2" type="noConversion"/>
  </si>
  <si>
    <t>{c58ff569} {f18a45bd} {ed713805}</t>
    <phoneticPr fontId="2" type="noConversion"/>
  </si>
  <si>
    <t>{c58ff569} {949fb0ed} {ed713805}</t>
    <phoneticPr fontId="2" type="noConversion"/>
  </si>
  <si>
    <t>{c58ff569} {9dc7143e} {ed713805}</t>
    <phoneticPr fontId="2" type="noConversion"/>
  </si>
  <si>
    <t>{c58ff569} {09b885c0} {ed713805}</t>
    <phoneticPr fontId="2" type="noConversion"/>
  </si>
  <si>
    <t>{c58ff569} {5fa8c2fd} {ed713805}</t>
    <phoneticPr fontId="2" type="noConversion"/>
  </si>
  <si>
    <t>{c58ff569} {30e9c19a} {ed713805}</t>
    <phoneticPr fontId="2" type="noConversion"/>
  </si>
  <si>
    <t>{c58ff569} {62ef4bd3} {ed713805}</t>
    <phoneticPr fontId="2" type="noConversion"/>
  </si>
  <si>
    <t>{c58ff569} {0b42906e} {ed713805}</t>
    <phoneticPr fontId="2" type="noConversion"/>
  </si>
  <si>
    <t>加农炮发送装备指令名</t>
    <phoneticPr fontId="2" type="noConversion"/>
  </si>
  <si>
    <t>加农炮可用提示本地化键名</t>
  </si>
  <si>
    <t>加农炮掉落装备并交易本地化键名</t>
  </si>
  <si>
    <t>加农炮发出弈子冷却时间本地化键名</t>
  </si>
  <si>
    <t>加农炮发出弈子冷却时间信息本地化键名</t>
  </si>
  <si>
    <t>加农炮基于卡费的冷却时间本地化键名</t>
  </si>
  <si>
    <t>加农炮计算装备质量期望值本地化键名</t>
  </si>
  <si>
    <t>加农炮等待我的装备本地化键名</t>
  </si>
  <si>
    <t>加农炮等待搭档装备本地化键名</t>
  </si>
  <si>
    <t>加农炮装备具有资格本地化键名</t>
  </si>
  <si>
    <t>加农炮不支持所选单位本地化键名</t>
  </si>
  <si>
    <t>加农炮不支持单位星级本地化键名</t>
  </si>
  <si>
    <t>加农炮不支持我的单位本地化键名</t>
  </si>
  <si>
    <t>加农炮不支持搭档单位本地化键名</t>
  </si>
  <si>
    <t>加农炮无法形成星级说明文本本地化键名</t>
  </si>
  <si>
    <t>加农炮装备交易提示本地化键名</t>
  </si>
  <si>
    <t>加农炮装备交换提示本地化键名</t>
  </si>
  <si>
    <t>加农炮装备送出提示本地化键名</t>
  </si>
  <si>
    <t>加农炮激活回合本地化键名</t>
  </si>
  <si>
    <t>加农炮激活回合信息本地化键名</t>
  </si>
  <si>
    <t>人机对战敌方单位配置键</t>
    <phoneticPr fontId="2" type="noConversion"/>
  </si>
  <si>
    <t>人机对战敌方单位列表</t>
    <phoneticPr fontId="2" type="noConversion"/>
  </si>
  <si>
    <t>人机对战敌方单位名称列表</t>
    <phoneticPr fontId="2" type="noConversion"/>
  </si>
  <si>
    <t>人机对战敌方单位难度等级</t>
    <phoneticPr fontId="2" type="noConversion"/>
  </si>
  <si>
    <t>子赛季列表</t>
    <phoneticPr fontId="2" type="noConversion"/>
  </si>
  <si>
    <t>背景颗粒键名</t>
    <phoneticPr fontId="2" type="noConversion"/>
  </si>
  <si>
    <t>InfoNubData Trait</t>
    <phoneticPr fontId="2" type="noConversion"/>
  </si>
  <si>
    <t>InfoNubData {eb74e3c6}</t>
    <phoneticPr fontId="2" type="noConversion"/>
  </si>
  <si>
    <t>InfoNubData ActiveTitleKey</t>
    <phoneticPr fontId="2" type="noConversion"/>
  </si>
  <si>
    <t>InfoNubData ActiveBodyKey</t>
    <phoneticPr fontId="2" type="noConversion"/>
  </si>
  <si>
    <t>InfoNubData InactiveTitleKey</t>
    <phoneticPr fontId="2" type="noConversion"/>
  </si>
  <si>
    <t>InfoNubData InactiveBodyKey</t>
    <phoneticPr fontId="2" type="noConversion"/>
  </si>
  <si>
    <t>InfoNubData UnitProperty</t>
    <phoneticPr fontId="2" type="noConversion"/>
  </si>
  <si>
    <t>InfoNubData __type</t>
    <phoneticPr fontId="2" type="noConversion"/>
  </si>
  <si>
    <t>特定赛季羁绊键</t>
    <phoneticPr fontId="2" type="noConversion"/>
  </si>
  <si>
    <t>特定赛季掉率信息路径</t>
    <phoneticPr fontId="2" type="noConversion"/>
  </si>
  <si>
    <t>特定赛季活动提示标题键</t>
    <phoneticPr fontId="2" type="noConversion"/>
  </si>
  <si>
    <t>特定赛季活动提示主体键</t>
    <phoneticPr fontId="2" type="noConversion"/>
  </si>
  <si>
    <t>特定赛季非活动提示标题键</t>
    <phoneticPr fontId="2" type="noConversion"/>
  </si>
  <si>
    <t>特定赛季非活动提示主体键</t>
    <phoneticPr fontId="2" type="noConversion"/>
  </si>
  <si>
    <t>特定赛季单位属性键</t>
    <phoneticPr fontId="2" type="noConversion"/>
  </si>
  <si>
    <t>特定赛季数据类型</t>
    <phoneticPr fontId="2" type="noConversion"/>
  </si>
  <si>
    <t>InfoNubData Trait mDisplayNameTra_content_zh</t>
    <phoneticPr fontId="2" type="noConversion"/>
  </si>
  <si>
    <t>InfoNubData Trait mDisplayNameTra_content_en</t>
    <phoneticPr fontId="2" type="noConversion"/>
  </si>
  <si>
    <t>InfoNubData ActiveTitleKey_content_zh</t>
    <phoneticPr fontId="2" type="noConversion"/>
  </si>
  <si>
    <t>InfoNubData ActiveBodyKey_content_zh</t>
    <phoneticPr fontId="2" type="noConversion"/>
  </si>
  <si>
    <t>InfoNubData InactiveTitleKey_content_zh</t>
    <phoneticPr fontId="2" type="noConversion"/>
  </si>
  <si>
    <t>InfoNubData InactiveBodyKey_content_zh</t>
    <phoneticPr fontId="2" type="noConversion"/>
  </si>
  <si>
    <t>InfoNubData ActiveTitleKey_content_en</t>
    <phoneticPr fontId="2" type="noConversion"/>
  </si>
  <si>
    <t>InfoNubData ActiveBodyKey_content_en</t>
    <phoneticPr fontId="2" type="noConversion"/>
  </si>
  <si>
    <t>InfoNubData InactiveTitleKey_content_en</t>
    <phoneticPr fontId="2" type="noConversion"/>
  </si>
  <si>
    <t>InfoNubData InactiveBodyKey_content_en</t>
    <phoneticPr fontId="2" type="noConversion"/>
  </si>
  <si>
    <t>特定赛季羁绊显示名（中文）</t>
    <phoneticPr fontId="2" type="noConversion"/>
  </si>
  <si>
    <t>特定赛季羁绊显示名（英文）</t>
    <phoneticPr fontId="2" type="noConversion"/>
  </si>
  <si>
    <t>特定赛季活动提示标题（中文）</t>
    <phoneticPr fontId="2" type="noConversion"/>
  </si>
  <si>
    <t>特定赛季活动提示主体（中文）</t>
    <phoneticPr fontId="2" type="noConversion"/>
  </si>
  <si>
    <t>特定赛季非活动提示标题（中文）</t>
    <phoneticPr fontId="2" type="noConversion"/>
  </si>
  <si>
    <t>特定赛季非活动提示主体（中文）</t>
    <phoneticPr fontId="2" type="noConversion"/>
  </si>
  <si>
    <t>特定赛季活动提示标题（英文）</t>
    <phoneticPr fontId="2" type="noConversion"/>
  </si>
  <si>
    <t>特定赛季活动提示主体（英文）</t>
    <phoneticPr fontId="2" type="noConversion"/>
  </si>
  <si>
    <t>特定赛季非活动提示标题（英文）</t>
    <phoneticPr fontId="2" type="noConversion"/>
  </si>
  <si>
    <t>特定赛季非活动提示主体（英文）</t>
    <phoneticPr fontId="2" type="noConversion"/>
  </si>
  <si>
    <t>BotSkillData SkillAxes</t>
    <phoneticPr fontId="2" type="noConversion"/>
  </si>
  <si>
    <t>属性默认值</t>
  </si>
  <si>
    <t>属性生命周期</t>
  </si>
  <si>
    <t>属性复制规则</t>
  </si>
  <si>
    <t>属性组合规则</t>
  </si>
  <si>
    <t>属性名称</t>
  </si>
  <si>
    <t>属性继承</t>
  </si>
  <si>
    <t>DefaultValue value</t>
  </si>
  <si>
    <t>lifetime</t>
  </si>
  <si>
    <t>ReplicationRule</t>
  </si>
  <si>
    <t>CombinationRule</t>
  </si>
  <si>
    <t>IsCloneable</t>
  </si>
  <si>
    <t>六费单位音效键</t>
    <phoneticPr fontId="2" type="noConversion"/>
  </si>
  <si>
    <t>默认棋盘资源解析器列表</t>
    <phoneticPr fontId="2" type="noConversion"/>
  </si>
  <si>
    <t>默认棋盘草地色调纹理</t>
    <phoneticPr fontId="2" type="noConversion"/>
  </si>
  <si>
    <t>默认棋盘世界颗粒配置文件名</t>
    <phoneticPr fontId="2" type="noConversion"/>
  </si>
  <si>
    <t>默认棋盘小地图背景默认纹理名称</t>
    <phoneticPr fontId="2" type="noConversion"/>
  </si>
  <si>
    <t>默认棋盘地图几何容器路径</t>
    <phoneticPr fontId="2" type="noConversion"/>
  </si>
  <si>
    <t>{c58ff569} {4a34b888}_content_zh</t>
  </si>
  <si>
    <t>加农炮可用提示（中文）</t>
  </si>
  <si>
    <t>{c58ff569} {4a34b888}_content_en</t>
  </si>
  <si>
    <t>加农炮可用提示（英文）</t>
  </si>
  <si>
    <t>{c58ff569} {44186edd}_content_zh</t>
  </si>
  <si>
    <t>{c58ff569} {44186edd}_content_en</t>
  </si>
  <si>
    <t>{c58ff569} {642004df} {ed713805}_content_zh</t>
  </si>
  <si>
    <t>{c58ff569} {642004df} {ed713805}_content_en</t>
  </si>
  <si>
    <t>{c58ff569} {e2902d6a} {ed713805}_content_zh</t>
  </si>
  <si>
    <t>{c58ff569} {e2902d6a} {ed713805}_content_en</t>
  </si>
  <si>
    <t>{c58ff569} {f18a45bd} {ed713805}_content_zh</t>
  </si>
  <si>
    <t>{c58ff569} {f18a45bd} {ed713805}_content_en</t>
  </si>
  <si>
    <t>{c58ff569} {949fb0ed} {ed713805}_content_zh</t>
  </si>
  <si>
    <t>{c58ff569} {949fb0ed} {ed713805}_content_en</t>
  </si>
  <si>
    <t>{c58ff569} {9dc7143e} {ed713805}_content_zh</t>
  </si>
  <si>
    <t>{c58ff569} {9dc7143e} {ed713805}_content_en</t>
  </si>
  <si>
    <t>{c58ff569} {09b885c0} {ed713805}_content_zh</t>
  </si>
  <si>
    <t>{c58ff569} {09b885c0} {ed713805}_content_en</t>
  </si>
  <si>
    <t>{c58ff569} {91c13680}_content_zh</t>
  </si>
  <si>
    <t>{c58ff569} {91c13680}_content_en</t>
  </si>
  <si>
    <t>{c58ff569} {c492805f}_content_zh</t>
  </si>
  <si>
    <t>{c58ff569} {c492805f}_content_en</t>
  </si>
  <si>
    <t>{c58ff569} {5fa8c2fd} {ed713805}_content_zh</t>
  </si>
  <si>
    <t>{c58ff569} {5fa8c2fd} {ed713805}_content_en</t>
  </si>
  <si>
    <t>{c58ff569} {aa8b3fb6}_content_zh</t>
  </si>
  <si>
    <t>{c58ff569} {aa8b3fb6}_content_en</t>
  </si>
  <si>
    <t>{c58ff569} {81ab8092}_content_zh</t>
  </si>
  <si>
    <t>{c58ff569} {81ab8092}_content_en</t>
  </si>
  <si>
    <t>{c58ff569} {30e9c19a} {ed713805}_content_zh</t>
  </si>
  <si>
    <t>{c58ff569} {30e9c19a} {ed713805}_content_en</t>
  </si>
  <si>
    <t>{c58ff569} {c363ed88}_content_zh</t>
  </si>
  <si>
    <t>{c58ff569} {c363ed88}_content_en</t>
  </si>
  <si>
    <t>{c58ff569} {bf072fc1}_content_zh</t>
  </si>
  <si>
    <t>{c58ff569} {bf072fc1}_content_en</t>
  </si>
  <si>
    <t>{c58ff569} {98b7e581}_content_zh</t>
  </si>
  <si>
    <t>{c58ff569} {98b7e581}_content_en</t>
  </si>
  <si>
    <t>{c58ff569} {62ef4bd3} {ed713805}_content_zh</t>
  </si>
  <si>
    <t>{c58ff569} {62ef4bd3} {ed713805}_content_en</t>
  </si>
  <si>
    <t>{c58ff569} {0b42906e} {ed713805}_content_zh</t>
  </si>
  <si>
    <t>{c58ff569} {0b42906e} {ed713805}_content_en</t>
  </si>
  <si>
    <t>加农炮掉落装备并交易（中文）</t>
  </si>
  <si>
    <t>加农炮掉落装备并交易（英文）</t>
  </si>
  <si>
    <t>加农炮发出弈子冷却时间（中文）</t>
  </si>
  <si>
    <t>加农炮发出弈子冷却时间（英文）</t>
  </si>
  <si>
    <t>加农炮发出弈子冷却时间信息（中文）</t>
  </si>
  <si>
    <t>加农炮发出弈子冷却时间信息（英文）</t>
  </si>
  <si>
    <t>加农炮基于卡费的冷却时间（中文）</t>
  </si>
  <si>
    <t>加农炮基于卡费的冷却时间（英文）</t>
  </si>
  <si>
    <t>加农炮计算装备质量期望值（中文）</t>
  </si>
  <si>
    <t>加农炮计算装备质量期望值（英文）</t>
  </si>
  <si>
    <t>加农炮等待我的装备（中文）</t>
  </si>
  <si>
    <t>加农炮等待我的装备（英文）</t>
  </si>
  <si>
    <t>加农炮等待搭档装备（中文）</t>
  </si>
  <si>
    <t>加农炮等待搭档装备（英文）</t>
  </si>
  <si>
    <t>加农炮装备具有资格（中文）</t>
  </si>
  <si>
    <t>加农炮装备具有资格（英文）</t>
  </si>
  <si>
    <t>加农炮不支持所选单位（中文）</t>
  </si>
  <si>
    <t>加农炮不支持所选单位（英文）</t>
  </si>
  <si>
    <t>加农炮不支持单位星级（中文）</t>
  </si>
  <si>
    <t>加农炮不支持单位星级（英文）</t>
  </si>
  <si>
    <t>加农炮不支持我的单位（中文）</t>
  </si>
  <si>
    <t>加农炮不支持我的单位（英文）</t>
  </si>
  <si>
    <t>加农炮不支持搭档单位（中文）</t>
  </si>
  <si>
    <t>加农炮不支持搭档单位（英文）</t>
  </si>
  <si>
    <t>加农炮无法形成星级说明文本（中文）</t>
  </si>
  <si>
    <t>加农炮无法形成星级说明文本（英文）</t>
  </si>
  <si>
    <t>加农炮装备交易提示（中文）</t>
  </si>
  <si>
    <t>加农炮装备交易提示（英文）</t>
  </si>
  <si>
    <t>加农炮装备交换提示（中文）</t>
  </si>
  <si>
    <t>加农炮装备交换提示（英文）</t>
  </si>
  <si>
    <t>加农炮装备送出提示（中文）</t>
  </si>
  <si>
    <t>加农炮装备送出提示（英文）</t>
  </si>
  <si>
    <t>加农炮激活回合（中文）</t>
  </si>
  <si>
    <t>加农炮激活回合（英文）</t>
  </si>
  <si>
    <t>加农炮激活回合信息（中文）</t>
  </si>
  <si>
    <t>加农炮激活回合信息（英文）</t>
  </si>
  <si>
    <t>mRarity</t>
  </si>
  <si>
    <t>{4d4e5cf5}</t>
  </si>
  <si>
    <t>BaseCurrency</t>
  </si>
  <si>
    <t>BaseCost</t>
  </si>
  <si>
    <t>AbilityIconPath</t>
  </si>
  <si>
    <t>PcSplashPath</t>
  </si>
  <si>
    <t>SquareSplashPath</t>
  </si>
  <si>
    <t>TeamPlannerSplashPath</t>
  </si>
  <si>
    <t>TeamPlannerPortraitPath</t>
  </si>
  <si>
    <t>mDisplayNameTra</t>
  </si>
  <si>
    <t>mAbilityNameTra</t>
  </si>
  <si>
    <t>mDescriptionTra</t>
  </si>
  <si>
    <t>SellOverwriteTra</t>
  </si>
  <si>
    <t>{3451d6e4}</t>
  </si>
  <si>
    <t>商品代码</t>
    <phoneticPr fontId="2" type="noConversion"/>
  </si>
  <si>
    <t>平台序号</t>
    <phoneticPr fontId="2" type="noConversion"/>
  </si>
  <si>
    <t>基础货币</t>
    <phoneticPr fontId="2" type="noConversion"/>
  </si>
  <si>
    <t>基础卡费</t>
    <phoneticPr fontId="2" type="noConversion"/>
  </si>
  <si>
    <t>技能图标路径</t>
    <phoneticPr fontId="2" type="noConversion"/>
  </si>
  <si>
    <t>PC端插画路径</t>
    <phoneticPr fontId="2" type="noConversion"/>
  </si>
  <si>
    <t>方形插画路径</t>
    <phoneticPr fontId="2" type="noConversion"/>
  </si>
  <si>
    <t>用于小队规划器的插画路径</t>
    <phoneticPr fontId="2" type="noConversion"/>
  </si>
  <si>
    <t>用于小队规划器的肖像路径</t>
    <phoneticPr fontId="2" type="noConversion"/>
  </si>
  <si>
    <t>技能名称键</t>
    <phoneticPr fontId="2" type="noConversion"/>
  </si>
  <si>
    <t>售卖描述键</t>
    <phoneticPr fontId="2" type="noConversion"/>
  </si>
  <si>
    <t>mDisplayNameTra_content_zh</t>
    <phoneticPr fontId="2" type="noConversion"/>
  </si>
  <si>
    <t>mDisplayNameTra_content_en</t>
    <phoneticPr fontId="2" type="noConversion"/>
  </si>
  <si>
    <t>mAbilityNameTra_content_zh</t>
    <phoneticPr fontId="2" type="noConversion"/>
  </si>
  <si>
    <t>mAbilityNameTra_content_en</t>
    <phoneticPr fontId="2" type="noConversion"/>
  </si>
  <si>
    <t>mDescriptionTra_content_zh</t>
    <phoneticPr fontId="2" type="noConversion"/>
  </si>
  <si>
    <t>mDescriptionTra_content_en</t>
    <phoneticPr fontId="2" type="noConversion"/>
  </si>
  <si>
    <t>mDescriptionTra_content_zh_burn</t>
    <phoneticPr fontId="2" type="noConversion"/>
  </si>
  <si>
    <t>mDescriptionTra_content_en_burn</t>
    <phoneticPr fontId="2" type="noConversion"/>
  </si>
  <si>
    <t>解锁图标路径</t>
    <phoneticPr fontId="2" type="noConversion"/>
  </si>
  <si>
    <t>SellOverwriteTra_content_zh</t>
    <phoneticPr fontId="2" type="noConversion"/>
  </si>
  <si>
    <t>SellOverwriteTra_content_en</t>
    <phoneticPr fontId="2" type="noConversion"/>
  </si>
  <si>
    <t>描述（英文/数值转换）</t>
    <phoneticPr fontId="2" type="noConversion"/>
  </si>
  <si>
    <t>售卖描述（中文）</t>
    <phoneticPr fontId="2" type="noConversion"/>
  </si>
  <si>
    <t>售卖描述（英文）</t>
    <phoneticPr fontId="2" type="noConversion"/>
  </si>
  <si>
    <t>mIconPath</t>
  </si>
  <si>
    <t>mDefaultTooltipTra</t>
  </si>
  <si>
    <t>mStateTooltipsTra</t>
  </si>
  <si>
    <t>mRoundUpcomingIconPath</t>
  </si>
  <si>
    <t>mRoundActiveIconPath</t>
  </si>
  <si>
    <t>mRoundResultNoneIconPath</t>
  </si>
  <si>
    <t>mRoundResultWinIconPath</t>
  </si>
  <si>
    <t>mRoundResultLossIconPath</t>
  </si>
  <si>
    <t>mRoundResultDrawIconPath</t>
  </si>
  <si>
    <t>mScriptData</t>
  </si>
  <si>
    <t>回合代码</t>
    <phoneticPr fontId="2" type="noConversion"/>
  </si>
  <si>
    <t>回合显示名键</t>
    <phoneticPr fontId="2" type="noConversion"/>
  </si>
  <si>
    <t>默认说明文本键</t>
    <phoneticPr fontId="2" type="noConversion"/>
  </si>
  <si>
    <t>状态说明文本键</t>
    <phoneticPr fontId="2" type="noConversion"/>
  </si>
  <si>
    <t>即将到来的回合缩略图路径</t>
    <phoneticPr fontId="2" type="noConversion"/>
  </si>
  <si>
    <t>当前回合缩略图路径</t>
    <phoneticPr fontId="2" type="noConversion"/>
  </si>
  <si>
    <t>无回合结果缩略图路径</t>
    <phoneticPr fontId="2" type="noConversion"/>
  </si>
  <si>
    <t>回合胜利缩略图路径</t>
    <phoneticPr fontId="2" type="noConversion"/>
  </si>
  <si>
    <t>回合失败缩略图路径</t>
    <phoneticPr fontId="2" type="noConversion"/>
  </si>
  <si>
    <t>平局缩略图路径</t>
    <phoneticPr fontId="2" type="noConversion"/>
  </si>
  <si>
    <t>mDraftArrival mEnabled</t>
    <phoneticPr fontId="2" type="noConversion"/>
  </si>
  <si>
    <t>mDraftArrival mDuration</t>
    <phoneticPr fontId="2" type="noConversion"/>
  </si>
  <si>
    <t>mDraftArrival mDisplay</t>
    <phoneticPr fontId="2" type="noConversion"/>
  </si>
  <si>
    <t>mDraftArrival mLabel</t>
    <phoneticPr fontId="2" type="noConversion"/>
  </si>
  <si>
    <t>选秀阶段可用性</t>
    <phoneticPr fontId="2" type="noConversion"/>
  </si>
  <si>
    <t>选秀阶段持续时间</t>
    <phoneticPr fontId="2" type="noConversion"/>
  </si>
  <si>
    <t>选秀阶段显示设置</t>
    <phoneticPr fontId="2" type="noConversion"/>
  </si>
  <si>
    <t>mDraft mEnabled</t>
    <phoneticPr fontId="2" type="noConversion"/>
  </si>
  <si>
    <t>mDraft mDuration</t>
    <phoneticPr fontId="2" type="noConversion"/>
  </si>
  <si>
    <t>mDraft mDisplay</t>
    <phoneticPr fontId="2" type="noConversion"/>
  </si>
  <si>
    <t>选秀准备阶段可用性</t>
    <phoneticPr fontId="2" type="noConversion"/>
  </si>
  <si>
    <t>选秀准备阶段持续时间</t>
    <phoneticPr fontId="2" type="noConversion"/>
  </si>
  <si>
    <t>选秀准备阶段显示设置</t>
    <phoneticPr fontId="2" type="noConversion"/>
  </si>
  <si>
    <t>选秀准备阶段标签键</t>
    <phoneticPr fontId="2" type="noConversion"/>
  </si>
  <si>
    <t>mDraftDeparture mEnabled</t>
    <phoneticPr fontId="2" type="noConversion"/>
  </si>
  <si>
    <t>mDraftDeparture mDuration</t>
    <phoneticPr fontId="2" type="noConversion"/>
  </si>
  <si>
    <t>选秀离开阶段可用性</t>
    <phoneticPr fontId="2" type="noConversion"/>
  </si>
  <si>
    <t>选秀离开阶段持续时间</t>
    <phoneticPr fontId="2" type="noConversion"/>
  </si>
  <si>
    <t>mPlanningArrival Enabled</t>
    <phoneticPr fontId="2" type="noConversion"/>
  </si>
  <si>
    <t>mPlanning mEnabled</t>
    <phoneticPr fontId="2" type="noConversion"/>
  </si>
  <si>
    <t>mPlanning mDuration</t>
    <phoneticPr fontId="2" type="noConversion"/>
  </si>
  <si>
    <t>mPlanning mDisplay</t>
    <phoneticPr fontId="2" type="noConversion"/>
  </si>
  <si>
    <t>mPlanning mLabel</t>
    <phoneticPr fontId="2" type="noConversion"/>
  </si>
  <si>
    <t>mPlanning mAnnouncementData</t>
    <phoneticPr fontId="2" type="noConversion"/>
  </si>
  <si>
    <t>备战准备阶段可用性</t>
    <phoneticPr fontId="2" type="noConversion"/>
  </si>
  <si>
    <t>备战阶段可用性</t>
    <phoneticPr fontId="2" type="noConversion"/>
  </si>
  <si>
    <t>备战阶段持续时间</t>
    <phoneticPr fontId="2" type="noConversion"/>
  </si>
  <si>
    <t>备战阶段显示设置</t>
    <phoneticPr fontId="2" type="noConversion"/>
  </si>
  <si>
    <t>备战阶段标签键</t>
    <phoneticPr fontId="2" type="noConversion"/>
  </si>
  <si>
    <t>mPlanningDeparture mEnabled</t>
    <phoneticPr fontId="2" type="noConversion"/>
  </si>
  <si>
    <t>mPlanningDeparture mDuration</t>
    <phoneticPr fontId="2" type="noConversion"/>
  </si>
  <si>
    <t>mPlanningDeparture mDisplay</t>
    <phoneticPr fontId="2" type="noConversion"/>
  </si>
  <si>
    <t>mPlanningDeparture mLabel</t>
    <phoneticPr fontId="2" type="noConversion"/>
  </si>
  <si>
    <t>备战离开阶段可用性</t>
    <phoneticPr fontId="2" type="noConversion"/>
  </si>
  <si>
    <t>备战离开阶段持续时间</t>
    <phoneticPr fontId="2" type="noConversion"/>
  </si>
  <si>
    <t>备战离开阶段显示设置</t>
    <phoneticPr fontId="2" type="noConversion"/>
  </si>
  <si>
    <t>备战离开阶段标签键</t>
    <phoneticPr fontId="2" type="noConversion"/>
  </si>
  <si>
    <t>mTitleTra</t>
  </si>
  <si>
    <t>mDuration</t>
  </si>
  <si>
    <t>mDelay</t>
  </si>
  <si>
    <t>AnimatedIcon</t>
  </si>
  <si>
    <t>{1ccc919a}</t>
  </si>
  <si>
    <t>mTitleTra_content_zh</t>
  </si>
  <si>
    <t>mTitleTra_content_en</t>
  </si>
  <si>
    <t>通告键</t>
    <phoneticPr fontId="2" type="noConversion"/>
  </si>
  <si>
    <t>mCombatArrival mEnabled</t>
    <phoneticPr fontId="2" type="noConversion"/>
  </si>
  <si>
    <t>mCombatArrival mDuration</t>
    <phoneticPr fontId="2" type="noConversion"/>
  </si>
  <si>
    <t>mCombatArrival mDisplay</t>
    <phoneticPr fontId="2" type="noConversion"/>
  </si>
  <si>
    <t>mCombatArrival mLabel</t>
    <phoneticPr fontId="2" type="noConversion"/>
  </si>
  <si>
    <t>mCombatArrival mAnnouncementData</t>
    <phoneticPr fontId="2" type="noConversion"/>
  </si>
  <si>
    <t>战斗开始阶段可用性</t>
    <phoneticPr fontId="2" type="noConversion"/>
  </si>
  <si>
    <t>战斗开始阶段持续时间</t>
    <phoneticPr fontId="2" type="noConversion"/>
  </si>
  <si>
    <t>战斗开始阶段显示设置</t>
    <phoneticPr fontId="2" type="noConversion"/>
  </si>
  <si>
    <t>战斗开始阶段标签键</t>
    <phoneticPr fontId="2" type="noConversion"/>
  </si>
  <si>
    <t>战斗开始阶段通告键</t>
    <phoneticPr fontId="2" type="noConversion"/>
  </si>
  <si>
    <t>备战阶段通告键</t>
    <phoneticPr fontId="2" type="noConversion"/>
  </si>
  <si>
    <t>mCombat mEnabled</t>
    <phoneticPr fontId="2" type="noConversion"/>
  </si>
  <si>
    <t>mCombat mDuration</t>
    <phoneticPr fontId="2" type="noConversion"/>
  </si>
  <si>
    <t>mCombat mDisplay</t>
    <phoneticPr fontId="2" type="noConversion"/>
  </si>
  <si>
    <t>mCombat mLabel</t>
    <phoneticPr fontId="2" type="noConversion"/>
  </si>
  <si>
    <t>战斗阶段可用性</t>
    <phoneticPr fontId="2" type="noConversion"/>
  </si>
  <si>
    <t>战斗阶段持续时间</t>
    <phoneticPr fontId="2" type="noConversion"/>
  </si>
  <si>
    <t>战斗阶段显示设置</t>
    <phoneticPr fontId="2" type="noConversion"/>
  </si>
  <si>
    <t>战斗阶段标签键</t>
    <phoneticPr fontId="2" type="noConversion"/>
  </si>
  <si>
    <t>CombatArtCleanup mEnabled</t>
    <phoneticPr fontId="2" type="noConversion"/>
  </si>
  <si>
    <t>CombatArtCleanup mLabel</t>
    <phoneticPr fontId="2" type="noConversion"/>
  </si>
  <si>
    <t>战后清场阶段可用性</t>
    <phoneticPr fontId="2" type="noConversion"/>
  </si>
  <si>
    <t>战后清场阶段标签键</t>
    <phoneticPr fontId="2" type="noConversion"/>
  </si>
  <si>
    <t>mCombatDeparture mEnabled</t>
    <phoneticPr fontId="2" type="noConversion"/>
  </si>
  <si>
    <t>mCombatDeparture mDuration</t>
    <phoneticPr fontId="2" type="noConversion"/>
  </si>
  <si>
    <t>mCombatDeparture mDisplay</t>
    <phoneticPr fontId="2" type="noConversion"/>
  </si>
  <si>
    <t>mCombatDeparture mLabel</t>
    <phoneticPr fontId="2" type="noConversion"/>
  </si>
  <si>
    <t>战斗离开阶段可用性</t>
    <phoneticPr fontId="2" type="noConversion"/>
  </si>
  <si>
    <t>战斗离开阶段持续时间</t>
    <phoneticPr fontId="2" type="noConversion"/>
  </si>
  <si>
    <t>战斗离开阶段显示设置</t>
    <phoneticPr fontId="2" type="noConversion"/>
  </si>
  <si>
    <t>战斗离开阶段标签键</t>
    <phoneticPr fontId="2" type="noConversion"/>
  </si>
  <si>
    <t>回合显示名（中文）</t>
    <phoneticPr fontId="2" type="noConversion"/>
  </si>
  <si>
    <t>回合显示名（英文）</t>
    <phoneticPr fontId="2" type="noConversion"/>
  </si>
  <si>
    <t>mDefaultTooltipTra_content_zh</t>
    <phoneticPr fontId="2" type="noConversion"/>
  </si>
  <si>
    <t>默认说明文本（中文）</t>
    <phoneticPr fontId="2" type="noConversion"/>
  </si>
  <si>
    <t>mDefaultTooltipTra_content_en</t>
    <phoneticPr fontId="2" type="noConversion"/>
  </si>
  <si>
    <t>默认说明文本（英文）</t>
    <phoneticPr fontId="2" type="noConversion"/>
  </si>
  <si>
    <t>mStateTooltipsTra_contents_zh</t>
    <phoneticPr fontId="2" type="noConversion"/>
  </si>
  <si>
    <t>mStateTooltipsTra_contents_en</t>
    <phoneticPr fontId="2" type="noConversion"/>
  </si>
  <si>
    <t>状态说明文本（中文）</t>
    <phoneticPr fontId="2" type="noConversion"/>
  </si>
  <si>
    <t>状态说明文本（英文）</t>
    <phoneticPr fontId="2" type="noConversion"/>
  </si>
  <si>
    <t>mDraftArrival mLabel_content_zh</t>
    <phoneticPr fontId="2" type="noConversion"/>
  </si>
  <si>
    <t>mDraftArrival mLabel_content_en</t>
    <phoneticPr fontId="2" type="noConversion"/>
  </si>
  <si>
    <t>选秀准备阶段标签（中文）</t>
    <phoneticPr fontId="2" type="noConversion"/>
  </si>
  <si>
    <t>选秀准备阶段标签（英文）</t>
    <phoneticPr fontId="2" type="noConversion"/>
  </si>
  <si>
    <t>mPlanning mLabel_content_zh</t>
    <phoneticPr fontId="2" type="noConversion"/>
  </si>
  <si>
    <t>备战阶段标签（中文）</t>
    <phoneticPr fontId="2" type="noConversion"/>
  </si>
  <si>
    <t>mPlanning mLabel_content_en</t>
    <phoneticPr fontId="2" type="noConversion"/>
  </si>
  <si>
    <t>备战阶段标签（英文）</t>
    <phoneticPr fontId="2" type="noConversion"/>
  </si>
  <si>
    <t>mPlanningDeparture mLabel_content_zh</t>
    <phoneticPr fontId="2" type="noConversion"/>
  </si>
  <si>
    <t>备战离开阶段标签（中文）</t>
    <phoneticPr fontId="2" type="noConversion"/>
  </si>
  <si>
    <t>mPlanningDeparture mLabel_content_en</t>
    <phoneticPr fontId="2" type="noConversion"/>
  </si>
  <si>
    <t>备战离开阶段标签（英文）</t>
    <phoneticPr fontId="2" type="noConversion"/>
  </si>
  <si>
    <t>mCombatArrival mLabel_content_zh</t>
    <phoneticPr fontId="2" type="noConversion"/>
  </si>
  <si>
    <t>mCombatArrival mLabel_content_en</t>
    <phoneticPr fontId="2" type="noConversion"/>
  </si>
  <si>
    <t>战斗开始阶段标签（中文）</t>
    <phoneticPr fontId="2" type="noConversion"/>
  </si>
  <si>
    <t>战斗开始阶段标签（英文）</t>
    <phoneticPr fontId="2" type="noConversion"/>
  </si>
  <si>
    <t>CombatArtCleanup mLabel_content_zh</t>
    <phoneticPr fontId="2" type="noConversion"/>
  </si>
  <si>
    <t>CombatArtCleanup mLabel_content_en</t>
    <phoneticPr fontId="2" type="noConversion"/>
  </si>
  <si>
    <t>战后清场阶段标签（中文）</t>
    <phoneticPr fontId="2" type="noConversion"/>
  </si>
  <si>
    <t>战后清场阶段标签（英文）</t>
    <phoneticPr fontId="2" type="noConversion"/>
  </si>
  <si>
    <t>mCombatDeparture mLabel_content_zh</t>
    <phoneticPr fontId="2" type="noConversion"/>
  </si>
  <si>
    <t>战斗离开阶段标签（中文）</t>
    <phoneticPr fontId="2" type="noConversion"/>
  </si>
  <si>
    <t>mCombatDeparture mLabel_content_en</t>
    <phoneticPr fontId="2" type="noConversion"/>
  </si>
  <si>
    <t>战斗离开阶段标签（英文）</t>
    <phoneticPr fontId="2" type="noConversion"/>
  </si>
  <si>
    <t>mCombat mLabel_content_zh</t>
    <phoneticPr fontId="2" type="noConversion"/>
  </si>
  <si>
    <t>mCombat mLabel_content_en</t>
    <phoneticPr fontId="2" type="noConversion"/>
  </si>
  <si>
    <t>战后阶段标签（中文）</t>
    <phoneticPr fontId="2" type="noConversion"/>
  </si>
  <si>
    <t>战后阶段标签（英文）</t>
    <phoneticPr fontId="2" type="noConversion"/>
  </si>
  <si>
    <t>name</t>
    <phoneticPr fontId="2" type="noConversion"/>
  </si>
  <si>
    <t>角色定位代码</t>
    <phoneticPr fontId="2" type="noConversion"/>
  </si>
  <si>
    <t>Icon</t>
  </si>
  <si>
    <t>角色定位缩略图路径</t>
    <phoneticPr fontId="2" type="noConversion"/>
  </si>
  <si>
    <t>CharacterRoleNameTra</t>
  </si>
  <si>
    <t>ItemRoleNameTra</t>
  </si>
  <si>
    <t>DescriptionTra</t>
  </si>
  <si>
    <t>{a1ad92a7}</t>
  </si>
  <si>
    <t>{0116bd9b}</t>
  </si>
  <si>
    <t>{886be411}</t>
  </si>
  <si>
    <t>items</t>
  </si>
  <si>
    <t>角色定位本地化名称键</t>
    <phoneticPr fontId="2" type="noConversion"/>
  </si>
  <si>
    <t>装备定位本地化名称键</t>
    <phoneticPr fontId="2" type="noConversion"/>
  </si>
  <si>
    <t>本地化描述键</t>
    <phoneticPr fontId="2" type="noConversion"/>
  </si>
  <si>
    <t>重制角色定位本地化名称键</t>
    <phoneticPr fontId="2" type="noConversion"/>
  </si>
  <si>
    <t>重制装备定位本地化名称键</t>
    <phoneticPr fontId="2" type="noConversion"/>
  </si>
  <si>
    <t>重制本地化描述键</t>
    <phoneticPr fontId="2" type="noConversion"/>
  </si>
  <si>
    <t>ItemRoleNameTra_content_zh</t>
    <phoneticPr fontId="2" type="noConversion"/>
  </si>
  <si>
    <t>ItemRoleNameTra_content_en</t>
    <phoneticPr fontId="2" type="noConversion"/>
  </si>
  <si>
    <t>DescriptionTra_content_zh</t>
  </si>
  <si>
    <t>DescriptionTra_content_en</t>
  </si>
  <si>
    <t>{a1ad92a7}_content_zh</t>
  </si>
  <si>
    <t>{a1ad92a7}_content_en</t>
  </si>
  <si>
    <t>{0116bd9b}_content_zh</t>
  </si>
  <si>
    <t>{0116bd9b}_content_en</t>
  </si>
  <si>
    <t>{886be411}_content_zh</t>
  </si>
  <si>
    <t>{886be411}_content_en</t>
  </si>
  <si>
    <t>角色定位名称（中文）</t>
  </si>
  <si>
    <t>角色定位名称（英文）</t>
  </si>
  <si>
    <t>装备定位名称（中文）</t>
  </si>
  <si>
    <t>装备定位名称（英文）</t>
  </si>
  <si>
    <t>角色定位描述（中文）</t>
  </si>
  <si>
    <t>角色定位描述（英文）</t>
  </si>
  <si>
    <t>重制角色定位名称（中文）</t>
  </si>
  <si>
    <t>重制角色定位名称（英文）</t>
  </si>
  <si>
    <t>重制装备定位名称（中文）</t>
  </si>
  <si>
    <t>重制装备定位名称（英文）</t>
  </si>
  <si>
    <t>角色定位描述（中文/数值转换）</t>
    <phoneticPr fontId="2" type="noConversion"/>
  </si>
  <si>
    <t>角色定位描述（英文/数值转换）</t>
    <phoneticPr fontId="2" type="noConversion"/>
  </si>
  <si>
    <t>重制角色定位描述名称（中文）</t>
    <phoneticPr fontId="2" type="noConversion"/>
  </si>
  <si>
    <t>重制角色定位描述名称（英文）</t>
    <phoneticPr fontId="2" type="noConversion"/>
  </si>
  <si>
    <t>{886be411}_content_zh_burn</t>
    <phoneticPr fontId="2" type="noConversion"/>
  </si>
  <si>
    <t>重制角色定位描述名称（中文/数值转换）</t>
    <phoneticPr fontId="2" type="noConversion"/>
  </si>
  <si>
    <t>{886be411}_content_en_burn</t>
    <phoneticPr fontId="2" type="noConversion"/>
  </si>
  <si>
    <t>重制角色定位描述名称（英文/数值转换）</t>
    <phoneticPr fontId="2" type="noConversion"/>
  </si>
  <si>
    <t>装备列表代码</t>
    <phoneticPr fontId="2" type="noConversion"/>
  </si>
  <si>
    <t>mItems</t>
    <phoneticPr fontId="2" type="noConversion"/>
  </si>
  <si>
    <t>VfxResourceResolver</t>
    <phoneticPr fontId="2" type="noConversion"/>
  </si>
  <si>
    <t>视觉效果资源解析器键</t>
    <phoneticPr fontId="2" type="noConversion"/>
  </si>
  <si>
    <t>视觉效果资源解析器映射字典</t>
    <phoneticPr fontId="2" type="noConversion"/>
  </si>
  <si>
    <t>mItems mDisplayNameTra_content_zh</t>
    <phoneticPr fontId="2" type="noConversion"/>
  </si>
  <si>
    <t>mItems mDisplayNameTra_content_en</t>
    <phoneticPr fontId="2" type="noConversion"/>
  </si>
  <si>
    <t>装备名称列表（英文）</t>
    <phoneticPr fontId="2" type="noConversion"/>
  </si>
  <si>
    <t>装备名称列表（中文）</t>
    <phoneticPr fontId="2" type="noConversion"/>
  </si>
  <si>
    <t>mIsUnique</t>
  </si>
  <si>
    <t>value</t>
  </si>
  <si>
    <t>mComposition</t>
  </si>
  <si>
    <t>mAlternativeCompositions</t>
  </si>
  <si>
    <t>MutuallyExclusiveItems</t>
  </si>
  <si>
    <t>IncompatibleTraits</t>
  </si>
  <si>
    <t>AssociatedTraits</t>
  </si>
  <si>
    <t>BonusTrait</t>
  </si>
  <si>
    <t>constants</t>
  </si>
  <si>
    <t>ItemTags</t>
  </si>
  <si>
    <t>ShopData</t>
  </si>
  <si>
    <t>{609ed8a4}</t>
  </si>
  <si>
    <t>IsAugment</t>
  </si>
  <si>
    <t>mDescriptionNameTra</t>
  </si>
  <si>
    <t>UnitPropertyOverrides</t>
  </si>
  <si>
    <t>mArmoryIconOverridePath</t>
  </si>
  <si>
    <t>{41b0f90b}</t>
  </si>
  <si>
    <t>IconMaterial</t>
  </si>
  <si>
    <t>mColor</t>
  </si>
  <si>
    <t>mRandomAnimationStrengthRange</t>
  </si>
  <si>
    <t>mCodexDisplayIndex</t>
  </si>
  <si>
    <t>AssociatedCharacterName</t>
  </si>
  <si>
    <t>代码</t>
    <phoneticPr fontId="2" type="noConversion"/>
  </si>
  <si>
    <t>唯一装备</t>
    <phoneticPr fontId="2" type="noConversion"/>
  </si>
  <si>
    <t>装备构件</t>
    <phoneticPr fontId="2" type="noConversion"/>
  </si>
  <si>
    <t>mComposition mDisplayNameTra_contents_zh</t>
    <phoneticPr fontId="2" type="noConversion"/>
  </si>
  <si>
    <t>mComposition mDisplayNameTra_contents_en</t>
    <phoneticPr fontId="2" type="noConversion"/>
  </si>
  <si>
    <t>其它合成方案</t>
    <phoneticPr fontId="2" type="noConversion"/>
  </si>
  <si>
    <t>mAlternativeCompositions mDisplayNameTra_contents_zh</t>
    <phoneticPr fontId="2" type="noConversion"/>
  </si>
  <si>
    <t>mAlternativeCompositions mDisplayNameTra_contents_en</t>
    <phoneticPr fontId="2" type="noConversion"/>
  </si>
  <si>
    <t>装备构件名称（中文）</t>
    <phoneticPr fontId="2" type="noConversion"/>
  </si>
  <si>
    <t>装备构件名称（英文）</t>
    <phoneticPr fontId="2" type="noConversion"/>
  </si>
  <si>
    <t>其它合成方案装备构件名称（中文）</t>
    <phoneticPr fontId="2" type="noConversion"/>
  </si>
  <si>
    <t>其它合成方案装备构件名称（英文）</t>
    <phoneticPr fontId="2" type="noConversion"/>
  </si>
  <si>
    <t>MutuallyExclusiveItems mDisplayNameTra_contents_zh</t>
    <phoneticPr fontId="2" type="noConversion"/>
  </si>
  <si>
    <t>互斥装备名称（中文）</t>
    <phoneticPr fontId="2" type="noConversion"/>
  </si>
  <si>
    <t>互斥装备名称（英文）</t>
    <phoneticPr fontId="2" type="noConversion"/>
  </si>
  <si>
    <t>IncompatibleTraits mDisplayNameTra_contents_zh</t>
    <phoneticPr fontId="2" type="noConversion"/>
  </si>
  <si>
    <t>IncompatibleTraits mDisplayNameTra_contents_en</t>
    <phoneticPr fontId="2" type="noConversion"/>
  </si>
  <si>
    <t>不兼容羁绊名称（中文）</t>
    <phoneticPr fontId="2" type="noConversion"/>
  </si>
  <si>
    <t>不兼容羁绊名称（英文）</t>
    <phoneticPr fontId="2" type="noConversion"/>
  </si>
  <si>
    <t>AssociatedTraits mDisplayNameTra_contents_en</t>
    <phoneticPr fontId="2" type="noConversion"/>
  </si>
  <si>
    <t>AssociatedTraits mDisplayNameTra_contents_zh</t>
    <phoneticPr fontId="2" type="noConversion"/>
  </si>
  <si>
    <t>相关羁绊名称（中文）</t>
    <phoneticPr fontId="2" type="noConversion"/>
  </si>
  <si>
    <t>相关羁绊名称（英文）</t>
    <phoneticPr fontId="2" type="noConversion"/>
  </si>
  <si>
    <t>BonusTrait mDisplayNameTra_content_zh</t>
    <phoneticPr fontId="2" type="noConversion"/>
  </si>
  <si>
    <t>BonusTrait mDisplayNameTra_content_en</t>
    <phoneticPr fontId="2" type="noConversion"/>
  </si>
  <si>
    <t>奖励羁绊名称（中文）</t>
    <phoneticPr fontId="2" type="noConversion"/>
  </si>
  <si>
    <t>奖励羁绊名称（英文）</t>
    <phoneticPr fontId="2" type="noConversion"/>
  </si>
  <si>
    <t>奖励羁绊键</t>
    <phoneticPr fontId="2" type="noConversion"/>
  </si>
  <si>
    <t>相关羁绊键</t>
    <phoneticPr fontId="2" type="noConversion"/>
  </si>
  <si>
    <t>不兼容羁绊键</t>
    <phoneticPr fontId="2" type="noConversion"/>
  </si>
  <si>
    <t>互斥装备键</t>
    <phoneticPr fontId="2" type="noConversion"/>
  </si>
  <si>
    <t>数值常数</t>
    <phoneticPr fontId="2" type="noConversion"/>
  </si>
  <si>
    <t>装备标签</t>
    <phoneticPr fontId="2" type="noConversion"/>
  </si>
  <si>
    <t>商店信息键</t>
    <phoneticPr fontId="2" type="noConversion"/>
  </si>
  <si>
    <t>ShopData mDisplayNameTra_content_zh</t>
    <phoneticPr fontId="2" type="noConversion"/>
  </si>
  <si>
    <t>ShopData mDisplayNameTra_content_en</t>
    <phoneticPr fontId="2" type="noConversion"/>
  </si>
  <si>
    <t>商品名称（英文）</t>
    <phoneticPr fontId="2" type="noConversion"/>
  </si>
  <si>
    <t>商品名称（中文）</t>
    <phoneticPr fontId="2" type="noConversion"/>
  </si>
  <si>
    <t>所需强化符文</t>
    <phoneticPr fontId="2" type="noConversion"/>
  </si>
  <si>
    <t>强化符文项目</t>
    <phoneticPr fontId="2" type="noConversion"/>
  </si>
  <si>
    <t>单位属性覆盖</t>
    <phoneticPr fontId="2" type="noConversion"/>
  </si>
  <si>
    <t>武器库图标覆盖路径</t>
    <phoneticPr fontId="2" type="noConversion"/>
  </si>
  <si>
    <t>缩略图材料</t>
    <phoneticPr fontId="2" type="noConversion"/>
  </si>
  <si>
    <t>用于选择界面的缩略图材料</t>
    <phoneticPr fontId="2" type="noConversion"/>
  </si>
  <si>
    <t>RGBA颜色方案</t>
    <phoneticPr fontId="2" type="noConversion"/>
  </si>
  <si>
    <t>随机动画强度范围</t>
    <phoneticPr fontId="2" type="noConversion"/>
  </si>
  <si>
    <t>图鉴显示索引</t>
    <phoneticPr fontId="2" type="noConversion"/>
  </si>
  <si>
    <t>相关弈子名称</t>
    <phoneticPr fontId="2" type="noConversion"/>
  </si>
  <si>
    <t>视觉效果资源解析器</t>
    <phoneticPr fontId="2" type="noConversion"/>
  </si>
  <si>
    <t>mDescriptionNameTra_content_zh</t>
    <phoneticPr fontId="2" type="noConversion"/>
  </si>
  <si>
    <t>mDescriptionNameTra_content_en</t>
    <phoneticPr fontId="2" type="noConversion"/>
  </si>
  <si>
    <t>mDescriptionNameTra_content_zh_burn</t>
    <phoneticPr fontId="2" type="noConversion"/>
  </si>
  <si>
    <t>mDescriptionNameTra_content_en_burn</t>
    <phoneticPr fontId="2" type="noConversion"/>
  </si>
  <si>
    <t>mTraits</t>
    <phoneticPr fontId="2" type="noConversion"/>
  </si>
  <si>
    <t>羁绊键</t>
    <phoneticPr fontId="2" type="noConversion"/>
  </si>
  <si>
    <t>mTraits mDisplayNameTra_contents_zh</t>
    <phoneticPr fontId="2" type="noConversion"/>
  </si>
  <si>
    <t>mTraits mDisplayNameTra_contents_en</t>
    <phoneticPr fontId="2" type="noConversion"/>
  </si>
  <si>
    <t>羁绊名称（中文）</t>
    <phoneticPr fontId="2" type="noConversion"/>
  </si>
  <si>
    <t>羁绊名称（英文）</t>
    <phoneticPr fontId="2" type="noConversion"/>
  </si>
  <si>
    <t>TraitType</t>
  </si>
  <si>
    <t>TraitProgressionDisplay</t>
  </si>
  <si>
    <t>InnateTraitSets</t>
  </si>
  <si>
    <t>mConditionalTraitSets</t>
  </si>
  <si>
    <t>{14b4616a}</t>
  </si>
  <si>
    <t>羁绊代码</t>
    <phoneticPr fontId="2" type="noConversion"/>
  </si>
  <si>
    <t>羁绊显示名键</t>
    <phoneticPr fontId="2" type="noConversion"/>
  </si>
  <si>
    <t>羁绊描述键</t>
    <phoneticPr fontId="2" type="noConversion"/>
  </si>
  <si>
    <t>羁绊简述键</t>
    <phoneticPr fontId="2" type="noConversion"/>
  </si>
  <si>
    <t>羁绊类型</t>
    <phoneticPr fontId="2" type="noConversion"/>
  </si>
  <si>
    <t>羁绊进度显示方式</t>
    <phoneticPr fontId="2" type="noConversion"/>
  </si>
  <si>
    <t>羁绊显示名（中文）</t>
    <phoneticPr fontId="2" type="noConversion"/>
  </si>
  <si>
    <t>羁绊显示名（英文）</t>
    <phoneticPr fontId="2" type="noConversion"/>
  </si>
  <si>
    <t>{0247448b}</t>
    <phoneticPr fontId="2" type="noConversion"/>
  </si>
  <si>
    <t>{0247448b}_content_zh</t>
  </si>
  <si>
    <t>{0247448b}_content_en</t>
  </si>
  <si>
    <t>{0247448b}_content_zh_burn</t>
  </si>
  <si>
    <t>{0247448b}_content_en_burn</t>
  </si>
  <si>
    <t>羁绊描述（中文）</t>
    <phoneticPr fontId="2" type="noConversion"/>
  </si>
  <si>
    <t>羁绊描述（英文）</t>
    <phoneticPr fontId="2" type="noConversion"/>
  </si>
  <si>
    <t>羁绊描述（中文/数值转换）</t>
    <phoneticPr fontId="2" type="noConversion"/>
  </si>
  <si>
    <t>羁绊描述（英文/数值转换）</t>
    <phoneticPr fontId="2" type="noConversion"/>
  </si>
  <si>
    <t>羁绊简述（中文）</t>
  </si>
  <si>
    <t>羁绊简述（英文）</t>
  </si>
  <si>
    <t>羁绊简述（中文/数值转换）</t>
  </si>
  <si>
    <t>羁绊简述（英文/数值转换）</t>
  </si>
  <si>
    <t>固有羁绊效果集</t>
    <phoneticPr fontId="2" type="noConversion"/>
  </si>
  <si>
    <t>条件羁绊效果集</t>
    <phoneticPr fontId="2" type="noConversion"/>
  </si>
  <si>
    <t>mName</t>
    <phoneticPr fontId="2" type="noConversion"/>
  </si>
  <si>
    <t>mConstants</t>
    <phoneticPr fontId="2" type="noConversion"/>
  </si>
  <si>
    <t>mRequiredConstantsGroup</t>
    <phoneticPr fontId="2" type="noConversion"/>
  </si>
  <si>
    <t>mRequiredConstantsGroup mConstants</t>
    <phoneticPr fontId="2" type="noConversion"/>
  </si>
  <si>
    <t>拓展组常数数值</t>
    <phoneticPr fontId="2" type="noConversion"/>
  </si>
  <si>
    <t>拓展组常数键</t>
    <phoneticPr fontId="2" type="noConversion"/>
  </si>
  <si>
    <t>InfoNubData ActiveBodyKey_content_zh_burn</t>
    <phoneticPr fontId="2" type="noConversion"/>
  </si>
  <si>
    <t>InfoNubData ActiveBodyKey_content_en_burn</t>
    <phoneticPr fontId="2" type="noConversion"/>
  </si>
  <si>
    <t>特定赛季活动提示主体（中文/数值转换）</t>
    <phoneticPr fontId="2" type="noConversion"/>
  </si>
  <si>
    <t>特定赛季活动提示主体（英文/数值转换）</t>
    <phoneticPr fontId="2" type="noConversion"/>
  </si>
  <si>
    <t>InfoNubData InactiveBodyKey_content_zh_burn</t>
    <phoneticPr fontId="2" type="noConversion"/>
  </si>
  <si>
    <t>InfoNubData InactiveBodyKey_content_en_burn</t>
    <phoneticPr fontId="2" type="noConversion"/>
  </si>
  <si>
    <t>特定赛季非活动提示主体（中文/数值转换）</t>
    <phoneticPr fontId="2" type="noConversion"/>
  </si>
  <si>
    <t>特定赛季非活动提示主体（英文/数值转换）</t>
    <phoneticPr fontId="2" type="noConversion"/>
  </si>
  <si>
    <t>RegionName</t>
  </si>
  <si>
    <t>RegionTra</t>
  </si>
  <si>
    <t>ShortDescriptionTra</t>
  </si>
  <si>
    <t>LongDescriptionTra</t>
  </si>
  <si>
    <t>{a6b48e18}</t>
  </si>
  <si>
    <t>IconPath</t>
  </si>
  <si>
    <t>Color</t>
  </si>
  <si>
    <t>{308bb787}</t>
  </si>
  <si>
    <t>type</t>
  </si>
  <si>
    <t>rarity</t>
  </si>
  <si>
    <t>effectAmounts</t>
  </si>
  <si>
    <t>{98f61e8c}</t>
  </si>
  <si>
    <t>{ca451de5}</t>
  </si>
  <si>
    <t>地区代码</t>
    <phoneticPr fontId="2" type="noConversion"/>
  </si>
  <si>
    <t>地区名称键</t>
    <phoneticPr fontId="2" type="noConversion"/>
  </si>
  <si>
    <t>简述键</t>
    <phoneticPr fontId="2" type="noConversion"/>
  </si>
  <si>
    <t>详细描述键</t>
    <phoneticPr fontId="2" type="noConversion"/>
  </si>
  <si>
    <t>传送门类型</t>
    <phoneticPr fontId="2" type="noConversion"/>
  </si>
  <si>
    <t>传送门稀有度</t>
    <phoneticPr fontId="2" type="noConversion"/>
  </si>
  <si>
    <t>独特强化符文</t>
    <phoneticPr fontId="2" type="noConversion"/>
  </si>
  <si>
    <t>RegionTra_content_zh</t>
    <phoneticPr fontId="2" type="noConversion"/>
  </si>
  <si>
    <t>RegionTra_content_en</t>
    <phoneticPr fontId="2" type="noConversion"/>
  </si>
  <si>
    <t>ShortDescriptionTra_content_zh</t>
    <phoneticPr fontId="2" type="noConversion"/>
  </si>
  <si>
    <t>ShortDescriptionTra_content_en</t>
    <phoneticPr fontId="2" type="noConversion"/>
  </si>
  <si>
    <t>ShortDescriptionTra_content_zh_burn</t>
    <phoneticPr fontId="2" type="noConversion"/>
  </si>
  <si>
    <t>ShortDescriptionTra_content_en_burn</t>
    <phoneticPr fontId="2" type="noConversion"/>
  </si>
  <si>
    <t>LongDescriptionTra_content_zh</t>
  </si>
  <si>
    <t>LongDescriptionTra_content_en</t>
  </si>
  <si>
    <t>LongDescriptionTra_content_zh_burn</t>
  </si>
  <si>
    <t>LongDescriptionTra_content_en_burn</t>
  </si>
  <si>
    <t>地区名称（中文）</t>
    <phoneticPr fontId="2" type="noConversion"/>
  </si>
  <si>
    <t>地区名称（英文）</t>
    <phoneticPr fontId="2" type="noConversion"/>
  </si>
  <si>
    <t>简述（中文）</t>
    <phoneticPr fontId="2" type="noConversion"/>
  </si>
  <si>
    <t>简述（英文）</t>
    <phoneticPr fontId="2" type="noConversion"/>
  </si>
  <si>
    <t>简述（中文/数值转换）</t>
    <phoneticPr fontId="2" type="noConversion"/>
  </si>
  <si>
    <t>简述（英文/数值转换）</t>
    <phoneticPr fontId="2" type="noConversion"/>
  </si>
  <si>
    <t>{ca451de5} mDisplayNameTra_contents_zh</t>
    <phoneticPr fontId="2" type="noConversion"/>
  </si>
  <si>
    <t>{ca451de5} mDisplayNameTra_contents_en</t>
    <phoneticPr fontId="2" type="noConversion"/>
  </si>
  <si>
    <t>独特强化符文显示名（中文）</t>
    <phoneticPr fontId="2" type="noConversion"/>
  </si>
  <si>
    <t>独特强化符文显示名（英文）</t>
    <phoneticPr fontId="2" type="noConversion"/>
  </si>
  <si>
    <t>{78442b2f}</t>
  </si>
  <si>
    <t>{72a9c287}</t>
  </si>
  <si>
    <t>{b6f73c55}</t>
  </si>
  <si>
    <t>{abe35607}</t>
  </si>
  <si>
    <t>{cb4a2ffc}</t>
  </si>
  <si>
    <t>{b6460367}</t>
  </si>
  <si>
    <t>{8b21d9dc}</t>
  </si>
  <si>
    <t>{ee030e3d}</t>
  </si>
  <si>
    <t>{ac397529}</t>
  </si>
  <si>
    <t>EncounterTags</t>
  </si>
  <si>
    <t>ExcludedAugments</t>
  </si>
  <si>
    <t>ExcludedEncounters</t>
  </si>
  <si>
    <t>AllowedStages</t>
  </si>
  <si>
    <t>{6900f7b1}</t>
  </si>
  <si>
    <t>{f1f30bb9}</t>
  </si>
  <si>
    <t>{74cf1ad1}</t>
  </si>
  <si>
    <t>奇遇代码</t>
    <phoneticPr fontId="2" type="noConversion"/>
  </si>
  <si>
    <t>奇遇标签</t>
    <phoneticPr fontId="2" type="noConversion"/>
  </si>
  <si>
    <t>排除的奇遇</t>
    <phoneticPr fontId="2" type="noConversion"/>
  </si>
  <si>
    <t>排除的强化符文</t>
    <phoneticPr fontId="2" type="noConversion"/>
  </si>
  <si>
    <t>开放阶段</t>
    <phoneticPr fontId="2" type="noConversion"/>
  </si>
  <si>
    <t>图像路径</t>
    <phoneticPr fontId="2" type="noConversion"/>
  </si>
  <si>
    <t>ExcludedAugments mDisplayNameTra_contents_zh</t>
    <phoneticPr fontId="2" type="noConversion"/>
  </si>
  <si>
    <t>ExcludedAugments mDisplayNameTra_contents_en</t>
    <phoneticPr fontId="2" type="noConversion"/>
  </si>
  <si>
    <t>排除的强化符文名称（中文）</t>
    <phoneticPr fontId="2" type="noConversion"/>
  </si>
  <si>
    <t>排除的强化符文名称（英文）</t>
    <phoneticPr fontId="2" type="noConversion"/>
  </si>
  <si>
    <t>{032ade10} {9a7587b2} mDisplayNameTra_contents_zh</t>
    <phoneticPr fontId="2" type="noConversion"/>
  </si>
  <si>
    <t>{032ade10} {9a7587b2} mDisplayNameTra_contents_en</t>
    <phoneticPr fontId="2" type="noConversion"/>
  </si>
  <si>
    <t>TierBagIndex</t>
    <phoneticPr fontId="2" type="noConversion"/>
  </si>
  <si>
    <t>TierBagEntryIndex</t>
    <phoneticPr fontId="2" type="noConversion"/>
  </si>
  <si>
    <t>星级背包记录索引</t>
    <phoneticPr fontId="2" type="noConversion"/>
  </si>
  <si>
    <t>Count</t>
  </si>
  <si>
    <t>ShopData mDisplayNameTra_content_zh</t>
  </si>
  <si>
    <t>ShopData mDisplayNameTra_content_en</t>
  </si>
  <si>
    <t>商品键</t>
  </si>
  <si>
    <t>数量</t>
  </si>
  <si>
    <t>商品名称（中文）</t>
  </si>
  <si>
    <t>商品名称（英文）</t>
  </si>
  <si>
    <t>星级背包索引</t>
    <phoneticPr fontId="2" type="noConversion"/>
  </si>
  <si>
    <t>阶段序号</t>
    <phoneticPr fontId="2" type="noConversion"/>
  </si>
  <si>
    <t>stageIndex</t>
    <phoneticPr fontId="2" type="noConversion"/>
  </si>
  <si>
    <t>回合列表</t>
    <phoneticPr fontId="2" type="noConversion"/>
  </si>
  <si>
    <t>{bcf1e6a6}</t>
    <phoneticPr fontId="2" type="noConversion"/>
  </si>
  <si>
    <t>卡费掉率</t>
    <phoneticPr fontId="2" type="noConversion"/>
  </si>
  <si>
    <t>{bcf1e6a6}_burn</t>
    <phoneticPr fontId="2" type="noConversion"/>
  </si>
  <si>
    <t>mDropRatesByLevel Level</t>
    <phoneticPr fontId="2" type="noConversion"/>
  </si>
  <si>
    <t>弈士等级</t>
    <phoneticPr fontId="2" type="noConversion"/>
  </si>
  <si>
    <t>{4f7d4b97}</t>
    <phoneticPr fontId="2" type="noConversion"/>
  </si>
  <si>
    <t>卡费等第数量</t>
    <phoneticPr fontId="2" type="noConversion"/>
  </si>
  <si>
    <t>卡费掉率字符串</t>
    <phoneticPr fontId="2" type="noConversion"/>
  </si>
  <si>
    <t>roundIndex</t>
    <phoneticPr fontId="2" type="noConversion"/>
  </si>
  <si>
    <t>round</t>
    <phoneticPr fontId="2" type="noConversion"/>
  </si>
  <si>
    <t>round mDisplayNameTra_contents_zh</t>
    <phoneticPr fontId="2" type="noConversion"/>
  </si>
  <si>
    <t>round mDisplayNameTra_contents_en</t>
    <phoneticPr fontId="2" type="noConversion"/>
  </si>
  <si>
    <t>回合名称（中文）</t>
    <phoneticPr fontId="2" type="noConversion"/>
  </si>
  <si>
    <t>回合名称（英文）</t>
    <phoneticPr fontId="2" type="noConversion"/>
  </si>
  <si>
    <t>回合字符串</t>
    <phoneticPr fontId="2" type="noConversion"/>
  </si>
  <si>
    <t>round_burn</t>
    <phoneticPr fontId="2" type="noConversion"/>
  </si>
  <si>
    <t>items mDisplayNameTra_contents_zh</t>
    <phoneticPr fontId="2" type="noConversion"/>
  </si>
  <si>
    <t>items mDisplayNameTra_contents_en</t>
    <phoneticPr fontId="2" type="noConversion"/>
  </si>
  <si>
    <t>装备显示名（中文）</t>
    <phoneticPr fontId="2" type="noConversion"/>
  </si>
  <si>
    <t>装备显示名（英文）</t>
    <phoneticPr fontId="2" type="noConversion"/>
  </si>
  <si>
    <t>championIndex</t>
    <phoneticPr fontId="2" type="noConversion"/>
  </si>
  <si>
    <t>Character</t>
  </si>
  <si>
    <t>level</t>
  </si>
  <si>
    <t>Row</t>
  </si>
  <si>
    <t>Col</t>
  </si>
  <si>
    <t>{801b0cad}</t>
  </si>
  <si>
    <t>Coordinate</t>
  </si>
  <si>
    <t>items mDescriptionNameTra_contents_zh</t>
  </si>
  <si>
    <t>items mDescriptionNameTra_contents_en</t>
  </si>
  <si>
    <t>角色代号</t>
  </si>
  <si>
    <t>星级</t>
  </si>
  <si>
    <t>行号</t>
  </si>
  <si>
    <t>列号</t>
  </si>
  <si>
    <t>装备</t>
  </si>
  <si>
    <t>增益</t>
  </si>
  <si>
    <t>坐标</t>
  </si>
  <si>
    <t>装备名称（中文）</t>
  </si>
  <si>
    <t>装备名称（英文）</t>
  </si>
  <si>
    <t>英雄索引</t>
    <phoneticPr fontId="2" type="noConversion"/>
  </si>
  <si>
    <t>MutuallyExclusiveItems mDisplayNameTra_contents_en</t>
    <phoneticPr fontId="2" type="noConversion"/>
  </si>
  <si>
    <t>mDisplayNameTra_content_en_burn</t>
    <phoneticPr fontId="2" type="noConversion"/>
  </si>
  <si>
    <t>mDisplayNameTra_content_zh_burn</t>
    <phoneticPr fontId="2" type="noConversion"/>
  </si>
  <si>
    <t>显示名（中文/数值转换）</t>
    <phoneticPr fontId="2" type="noConversion"/>
  </si>
  <si>
    <t>显示名（英文/数值转换）</t>
    <phoneticPr fontId="2" type="noConversion"/>
  </si>
  <si>
    <t>ShopDataLists ShopData mDisplayNameTra_content_zh</t>
    <phoneticPr fontId="2" type="noConversion"/>
  </si>
  <si>
    <t>ShopDataLists ShopData mDisplayNameTra_content_en</t>
    <phoneticPr fontId="2" type="noConversion"/>
  </si>
  <si>
    <t>地区传送门名称列表（中文）</t>
    <phoneticPr fontId="2" type="noConversion"/>
  </si>
  <si>
    <t>地区传送门名称列表（英文）</t>
    <phoneticPr fontId="2" type="noConversion"/>
  </si>
  <si>
    <t>EncounterList Encounters names</t>
    <phoneticPr fontId="2" type="noConversion"/>
  </si>
  <si>
    <t>开场奇遇事件名称列表</t>
    <phoneticPr fontId="2" type="noConversion"/>
  </si>
  <si>
    <t>奇遇事件名称列表</t>
    <phoneticPr fontId="2" type="noConversion"/>
  </si>
  <si>
    <t>DefaultValue __type</t>
    <phoneticPr fontId="2" type="noConversion"/>
  </si>
  <si>
    <t>属性默认值类型</t>
    <phoneticPr fontId="2" type="noConversion"/>
  </si>
  <si>
    <t>√</t>
    <phoneticPr fontId="2" type="noConversion"/>
  </si>
  <si>
    <t>DefaultValue {82e959c3}</t>
    <phoneticPr fontId="2" type="noConversion"/>
  </si>
  <si>
    <t>mPerkId</t>
  </si>
  <si>
    <t>mPerkName</t>
  </si>
  <si>
    <t>mDisplayNameLocalizationKey</t>
  </si>
  <si>
    <t>mTooltipNameLocalizationKey</t>
  </si>
  <si>
    <t>mPingTextLocalizationKey</t>
  </si>
  <si>
    <t>mShortDescLocalizationKey</t>
  </si>
  <si>
    <t>mLongDescLocalizationKey</t>
  </si>
  <si>
    <t>mEndOfGameStatDescriptions</t>
  </si>
  <si>
    <t>mDisplayStatLocalizationKey</t>
  </si>
  <si>
    <t>mIconTextureName</t>
  </si>
  <si>
    <t>mStackable</t>
  </si>
  <si>
    <t>mEnabled</t>
  </si>
  <si>
    <t>mBuffs</t>
  </si>
  <si>
    <t>mDefault</t>
  </si>
  <si>
    <t>mCharacters</t>
  </si>
  <si>
    <t>mMajorChangePatchVersion</t>
  </si>
  <si>
    <t>mPerkStyleId</t>
  </si>
  <si>
    <t>mPerkStyleName</t>
  </si>
  <si>
    <t>mDefaultPageLocalizationKey</t>
  </si>
  <si>
    <t>mIsAdvancedStyle</t>
  </si>
  <si>
    <t>mAllowedSubStyles</t>
  </si>
  <si>
    <t>mSubStyleBonus</t>
  </si>
  <si>
    <t>mDefaultPerksWhenSplashed</t>
  </si>
  <si>
    <t>mDefaultStatModsPerSubStyle</t>
  </si>
  <si>
    <t>mSlots</t>
  </si>
  <si>
    <t>mSlotlinks</t>
  </si>
  <si>
    <t>mScriptAsSubStyle</t>
  </si>
  <si>
    <t>符文系序号</t>
    <phoneticPr fontId="2" type="noConversion"/>
  </si>
  <si>
    <t>符文系代码</t>
    <phoneticPr fontId="2" type="noConversion"/>
  </si>
  <si>
    <t>mDisplayNameLocalizationKey_content_zh</t>
    <phoneticPr fontId="2" type="noConversion"/>
  </si>
  <si>
    <t>mDisplayNameLocalizationKey_content_en</t>
    <phoneticPr fontId="2" type="noConversion"/>
  </si>
  <si>
    <t>默认符文页名称键</t>
    <phoneticPr fontId="2" type="noConversion"/>
  </si>
  <si>
    <t>图标纹理名称</t>
    <phoneticPr fontId="2" type="noConversion"/>
  </si>
  <si>
    <t>高级符文系</t>
    <phoneticPr fontId="2" type="noConversion"/>
  </si>
  <si>
    <t>可用副系序号</t>
    <phoneticPr fontId="2" type="noConversion"/>
  </si>
  <si>
    <t>mTooltipNameLocalizationKey_content_zh</t>
    <phoneticPr fontId="2" type="noConversion"/>
  </si>
  <si>
    <t>mTooltipNameLocalizationKey_content_en</t>
    <phoneticPr fontId="2" type="noConversion"/>
  </si>
  <si>
    <t>mDefaultPageLocalizationKey_content_zh</t>
    <phoneticPr fontId="2" type="noConversion"/>
  </si>
  <si>
    <t>mDefaultPageLocalizationKey_content_en</t>
    <phoneticPr fontId="2" type="noConversion"/>
  </si>
  <si>
    <t>默认符文页名称（中文）</t>
    <phoneticPr fontId="2" type="noConversion"/>
  </si>
  <si>
    <t>默认符文页名称（英文）</t>
    <phoneticPr fontId="2" type="noConversion"/>
  </si>
  <si>
    <t>可用副系名称（中文）</t>
    <phoneticPr fontId="2" type="noConversion"/>
  </si>
  <si>
    <t>mAllowedSubStyles mDisplayNameLocalizationKey_contents_en</t>
    <phoneticPr fontId="2" type="noConversion"/>
  </si>
  <si>
    <t>mAllowedSubStyles mDisplayNameLocalizationKey_contents_zh</t>
    <phoneticPr fontId="2" type="noConversion"/>
  </si>
  <si>
    <t>可用副系名称（英文）</t>
    <phoneticPr fontId="2" type="noConversion"/>
  </si>
  <si>
    <t>副系加成</t>
    <phoneticPr fontId="2" type="noConversion"/>
  </si>
  <si>
    <t>mDefaultSplash mStyle</t>
    <phoneticPr fontId="2" type="noConversion"/>
  </si>
  <si>
    <t>mDefaultSplash mPerk1</t>
    <phoneticPr fontId="2" type="noConversion"/>
  </si>
  <si>
    <t>mDefaultSplash mPerk2</t>
    <phoneticPr fontId="2" type="noConversion"/>
  </si>
  <si>
    <t>默认插画符文系</t>
    <phoneticPr fontId="2" type="noConversion"/>
  </si>
  <si>
    <t>默认插画符文1</t>
    <phoneticPr fontId="2" type="noConversion"/>
  </si>
  <si>
    <t>默认插画符文2</t>
    <phoneticPr fontId="2" type="noConversion"/>
  </si>
  <si>
    <t>渲染插画时默认使用符文</t>
    <phoneticPr fontId="2" type="noConversion"/>
  </si>
  <si>
    <t>mDefaultPerksWhenSplashed mDisplayNameLocalizationKey_contents_zh</t>
    <phoneticPr fontId="2" type="noConversion"/>
  </si>
  <si>
    <t>mDefaultPerksWhenSplashed mDisplayNameLocalizationKey_contents_en</t>
    <phoneticPr fontId="2" type="noConversion"/>
  </si>
  <si>
    <t>渲染插画时默认使用符文名称（中文）</t>
    <phoneticPr fontId="2" type="noConversion"/>
  </si>
  <si>
    <t>渲染插画时默认使用符文名称（英文）</t>
    <phoneticPr fontId="2" type="noConversion"/>
  </si>
  <si>
    <t>搭配各副系时的默认属性符文</t>
    <phoneticPr fontId="2" type="noConversion"/>
  </si>
  <si>
    <t>搭配各副系时的默认属性符文：副系1序号</t>
    <phoneticPr fontId="2" type="noConversion"/>
  </si>
  <si>
    <t>搭配各副系时的默认属性符文：副系1属性符文</t>
    <phoneticPr fontId="2" type="noConversion"/>
  </si>
  <si>
    <t>搭配各副系时的默认属性符文：副系1名称（中文）</t>
    <phoneticPr fontId="2" type="noConversion"/>
  </si>
  <si>
    <t>搭配各副系时的默认属性符文：副系1名称（英文）</t>
    <phoneticPr fontId="2" type="noConversion"/>
  </si>
  <si>
    <t>搭配各副系时的默认属性符文：副系1属性符文名称（中文）</t>
    <phoneticPr fontId="2" type="noConversion"/>
  </si>
  <si>
    <t>搭配各副系时的默认属性符文：副系1属性符文名称（英文）</t>
    <phoneticPr fontId="2" type="noConversion"/>
  </si>
  <si>
    <t>搭配各副系时的默认属性符文：副系2序号</t>
  </si>
  <si>
    <t>搭配各副系时的默认属性符文：副系2属性符文</t>
  </si>
  <si>
    <t>搭配各副系时的默认属性符文：副系2名称（中文）</t>
  </si>
  <si>
    <t>搭配各副系时的默认属性符文：副系2名称（英文）</t>
  </si>
  <si>
    <t>搭配各副系时的默认属性符文：副系2属性符文名称（中文）</t>
  </si>
  <si>
    <t>搭配各副系时的默认属性符文：副系2属性符文名称（英文）</t>
  </si>
  <si>
    <t>搭配各副系时的默认属性符文：副系3序号</t>
  </si>
  <si>
    <t>搭配各副系时的默认属性符文：副系3属性符文</t>
  </si>
  <si>
    <t>搭配各副系时的默认属性符文：副系3名称（中文）</t>
  </si>
  <si>
    <t>搭配各副系时的默认属性符文：副系3名称（英文）</t>
  </si>
  <si>
    <t>搭配各副系时的默认属性符文：副系3属性符文名称（中文）</t>
  </si>
  <si>
    <t>搭配各副系时的默认属性符文：副系3属性符文名称（英文）</t>
  </si>
  <si>
    <t>搭配各副系时的默认属性符文：副系4序号</t>
  </si>
  <si>
    <t>搭配各副系时的默认属性符文：副系4属性符文</t>
  </si>
  <si>
    <t>搭配各副系时的默认属性符文：副系4名称（中文）</t>
  </si>
  <si>
    <t>搭配各副系时的默认属性符文：副系4名称（英文）</t>
  </si>
  <si>
    <t>搭配各副系时的默认属性符文：副系4属性符文名称（中文）</t>
  </si>
  <si>
    <t>搭配各副系时的默认属性符文：副系4属性符文名称（英文）</t>
  </si>
  <si>
    <t>mSlot1 mSlotLabelKey</t>
    <phoneticPr fontId="2" type="noConversion"/>
  </si>
  <si>
    <t>mSlot1 mType</t>
    <phoneticPr fontId="2" type="noConversion"/>
  </si>
  <si>
    <t>mSlot1 mPerks</t>
    <phoneticPr fontId="2" type="noConversion"/>
  </si>
  <si>
    <t>mSlot1 mSlotLabelKey_content_zh</t>
    <phoneticPr fontId="2" type="noConversion"/>
  </si>
  <si>
    <t>mSlot1 mSlotLabelKey_content_en</t>
    <phoneticPr fontId="2" type="noConversion"/>
  </si>
  <si>
    <t>mSlot1 mPerks mDisplayNameLocalizationKey_contents_zh</t>
  </si>
  <si>
    <t>mSlot1 mPerks mDisplayNameLocalizationKey_contents_en</t>
  </si>
  <si>
    <t>槽位</t>
    <phoneticPr fontId="2" type="noConversion"/>
  </si>
  <si>
    <t>槽位1：标签键</t>
    <phoneticPr fontId="2" type="noConversion"/>
  </si>
  <si>
    <t>槽位1：类型</t>
    <phoneticPr fontId="2" type="noConversion"/>
  </si>
  <si>
    <t>槽位1：符文</t>
    <phoneticPr fontId="2" type="noConversion"/>
  </si>
  <si>
    <t>槽位1：标签（中文）</t>
    <phoneticPr fontId="2" type="noConversion"/>
  </si>
  <si>
    <t>槽位1：标签（英文）</t>
    <phoneticPr fontId="2" type="noConversion"/>
  </si>
  <si>
    <t>槽位1：符文显示名（中文）</t>
    <phoneticPr fontId="2" type="noConversion"/>
  </si>
  <si>
    <t>槽位1：符文显示名（英文）</t>
    <phoneticPr fontId="2" type="noConversion"/>
  </si>
  <si>
    <t>mSlot2 mSlotLabelKey</t>
  </si>
  <si>
    <t>槽位2：标签键</t>
  </si>
  <si>
    <t>mSlot2 mType</t>
  </si>
  <si>
    <t>槽位2：类型</t>
  </si>
  <si>
    <t>mSlot2 mPerks</t>
  </si>
  <si>
    <t>槽位2：符文</t>
  </si>
  <si>
    <t>mSlot2 mSlotLabelKey_content_zh</t>
  </si>
  <si>
    <t>槽位2：标签（中文）</t>
  </si>
  <si>
    <t>mSlot2 mSlotLabelKey_content_en</t>
  </si>
  <si>
    <t>槽位2：标签（英文）</t>
  </si>
  <si>
    <t>mSlot2 mPerks mDisplayNameLocalizationKey_contents_zh</t>
  </si>
  <si>
    <t>槽位2：符文显示名（中文）</t>
  </si>
  <si>
    <t>mSlot2 mPerks mDisplayNameLocalizationKey_contents_en</t>
  </si>
  <si>
    <t>槽位2：符文显示名（英文）</t>
  </si>
  <si>
    <t>mSlot3 mSlotLabelKey</t>
  </si>
  <si>
    <t>槽位3：标签键</t>
  </si>
  <si>
    <t>mSlot3 mType</t>
  </si>
  <si>
    <t>槽位3：类型</t>
  </si>
  <si>
    <t>mSlot3 mPerks</t>
  </si>
  <si>
    <t>槽位3：符文</t>
  </si>
  <si>
    <t>mSlot3 mSlotLabelKey_content_zh</t>
  </si>
  <si>
    <t>槽位3：标签（中文）</t>
  </si>
  <si>
    <t>mSlot3 mSlotLabelKey_content_en</t>
  </si>
  <si>
    <t>槽位3：标签（英文）</t>
  </si>
  <si>
    <t>mSlot3 mPerks mDisplayNameLocalizationKey_contents_zh</t>
  </si>
  <si>
    <t>槽位3：符文显示名（中文）</t>
  </si>
  <si>
    <t>mSlot3 mPerks mDisplayNameLocalizationKey_contents_en</t>
  </si>
  <si>
    <t>槽位3：符文显示名（英文）</t>
  </si>
  <si>
    <t>mSlot4 mSlotLabelKey</t>
  </si>
  <si>
    <t>槽位4：标签键</t>
  </si>
  <si>
    <t>mSlot4 mType</t>
  </si>
  <si>
    <t>槽位4：类型</t>
  </si>
  <si>
    <t>mSlot4 mPerks</t>
  </si>
  <si>
    <t>槽位4：符文</t>
  </si>
  <si>
    <t>mSlot4 mSlotLabelKey_content_zh</t>
  </si>
  <si>
    <t>槽位4：标签（中文）</t>
  </si>
  <si>
    <t>mSlot4 mSlotLabelKey_content_en</t>
  </si>
  <si>
    <t>槽位4：标签（英文）</t>
  </si>
  <si>
    <t>mSlot4 mPerks mDisplayNameLocalizationKey_contents_zh</t>
  </si>
  <si>
    <t>槽位4：符文显示名（中文）</t>
  </si>
  <si>
    <t>mSlot4 mPerks mDisplayNameLocalizationKey_contents_en</t>
  </si>
  <si>
    <t>槽位4：符文显示名（英文）</t>
  </si>
  <si>
    <t>槽位主键</t>
    <phoneticPr fontId="2" type="noConversion"/>
  </si>
  <si>
    <t>槽位标签（中文）</t>
    <phoneticPr fontId="2" type="noConversion"/>
  </si>
  <si>
    <t>槽位标签（英文）</t>
    <phoneticPr fontId="2" type="noConversion"/>
  </si>
  <si>
    <t>mScript mSpellScriptName</t>
    <phoneticPr fontId="2" type="noConversion"/>
  </si>
  <si>
    <t>mScript mSpellScriptData</t>
    <phoneticPr fontId="2" type="noConversion"/>
  </si>
  <si>
    <t>指令名称</t>
    <phoneticPr fontId="2" type="noConversion"/>
  </si>
  <si>
    <t>用作副系时的指令</t>
    <phoneticPr fontId="2" type="noConversion"/>
  </si>
  <si>
    <t>mStyleVFXResourceResolver resourceMap</t>
    <phoneticPr fontId="2" type="noConversion"/>
  </si>
  <si>
    <t>符文序号</t>
    <phoneticPr fontId="2" type="noConversion"/>
  </si>
  <si>
    <t>符文代码</t>
    <phoneticPr fontId="2" type="noConversion"/>
  </si>
  <si>
    <t>标记文本键</t>
    <phoneticPr fontId="2" type="noConversion"/>
  </si>
  <si>
    <t>mPingTextLocalizationKey_content_zh</t>
    <phoneticPr fontId="2" type="noConversion"/>
  </si>
  <si>
    <t>mPingTextLocalizationKey_content_en</t>
    <phoneticPr fontId="2" type="noConversion"/>
  </si>
  <si>
    <t>标记文本（中文）</t>
    <phoneticPr fontId="2" type="noConversion"/>
  </si>
  <si>
    <t>标记文本（英文）</t>
    <phoneticPr fontId="2" type="noConversion"/>
  </si>
  <si>
    <t>mShortDescLocalizationKey_content_zh</t>
    <phoneticPr fontId="2" type="noConversion"/>
  </si>
  <si>
    <t>mShortDescLocalizationKey_content_en</t>
    <phoneticPr fontId="2" type="noConversion"/>
  </si>
  <si>
    <t>mLongDescLocalizationKey_content_zh</t>
    <phoneticPr fontId="2" type="noConversion"/>
  </si>
  <si>
    <t>mLongDescLocalizationKey_content_en</t>
    <phoneticPr fontId="2" type="noConversion"/>
  </si>
  <si>
    <t>赛后结算描述键</t>
    <phoneticPr fontId="2" type="noConversion"/>
  </si>
  <si>
    <t>赛后结算描述（中文）</t>
    <phoneticPr fontId="2" type="noConversion"/>
  </si>
  <si>
    <t>赛后结算描述（英文）</t>
    <phoneticPr fontId="2" type="noConversion"/>
  </si>
  <si>
    <t>显示属性定位键</t>
    <phoneticPr fontId="2" type="noConversion"/>
  </si>
  <si>
    <t>可叠加</t>
    <phoneticPr fontId="2" type="noConversion"/>
  </si>
  <si>
    <t>增益信息</t>
    <phoneticPr fontId="2" type="noConversion"/>
  </si>
  <si>
    <t>mVFXResourceResolver resourceMap</t>
    <phoneticPr fontId="2" type="noConversion"/>
  </si>
  <si>
    <t>召唤师符文替换</t>
    <phoneticPr fontId="2" type="noConversion"/>
  </si>
  <si>
    <t>mSummonerPerkReplacements mReplacements</t>
    <phoneticPr fontId="2" type="noConversion"/>
  </si>
  <si>
    <t>默认符文</t>
    <phoneticPr fontId="2" type="noConversion"/>
  </si>
  <si>
    <t>相关角色</t>
    <phoneticPr fontId="2" type="noConversion"/>
  </si>
  <si>
    <t>主要变更版本号</t>
    <phoneticPr fontId="2" type="noConversion"/>
  </si>
  <si>
    <t>mEndOfGameStatDescriptions_contents_zh</t>
    <phoneticPr fontId="2" type="noConversion"/>
  </si>
  <si>
    <t>mEndOfGameStatDescriptions_contents_en</t>
    <phoneticPr fontId="2" type="noConversion"/>
  </si>
  <si>
    <t>mSlotlinks mSlotLabelKey_contents_zh</t>
    <phoneticPr fontId="2" type="noConversion"/>
  </si>
  <si>
    <t>mSlotlinks mSlotLabelKey_contents_en</t>
    <phoneticPr fontId="2" type="noConversion"/>
  </si>
  <si>
    <t>mDefaultStatModsPerSubStyle1 mStyleId</t>
  </si>
  <si>
    <t>mDefaultStatModsPerSubStyle1 mPerks</t>
  </si>
  <si>
    <t>mDefaultStatModsPerSubStyle1 mStyle mDisplayNameLocalizationKey_content_zh</t>
  </si>
  <si>
    <t>mDefaultStatModsPerSubStyle1 mStyle mDisplayNameLocalizationKey_content_en</t>
  </si>
  <si>
    <t>mDefaultStatModsPerSubStyle1 mPerks mDisplayNameLocalizationKey_contents_zh</t>
  </si>
  <si>
    <t>mDefaultStatModsPerSubStyle1 mPerks mDisplayNameLocalizationKey_contents_en</t>
  </si>
  <si>
    <t>mDefaultStatModsPerSubStyle2 mStyleId</t>
  </si>
  <si>
    <t>mDefaultStatModsPerSubStyle2 mPerks</t>
  </si>
  <si>
    <t>mDefaultStatModsPerSubStyle2 mStyle mDisplayNameLocalizationKey_content_zh</t>
  </si>
  <si>
    <t>mDefaultStatModsPerSubStyle2 mStyle mDisplayNameLocalizationKey_content_en</t>
  </si>
  <si>
    <t>mDefaultStatModsPerSubStyle2 mPerks mDisplayNameLocalizationKey_contents_zh</t>
  </si>
  <si>
    <t>mDefaultStatModsPerSubStyle2 mPerks mDisplayNameLocalizationKey_contents_en</t>
  </si>
  <si>
    <t>mDefaultStatModsPerSubStyle3 mStyleId</t>
  </si>
  <si>
    <t>mDefaultStatModsPerSubStyle3 mPerks</t>
  </si>
  <si>
    <t>mDefaultStatModsPerSubStyle3 mStyle mDisplayNameLocalizationKey_content_zh</t>
  </si>
  <si>
    <t>mDefaultStatModsPerSubStyle3 mStyle mDisplayNameLocalizationKey_content_en</t>
  </si>
  <si>
    <t>mDefaultStatModsPerSubStyle3 mPerks mDisplayNameLocalizationKey_contents_zh</t>
  </si>
  <si>
    <t>mDefaultStatModsPerSubStyle3 mPerks mDisplayNameLocalizationKey_contents_en</t>
  </si>
  <si>
    <t>mDefaultStatModsPerSubStyle4 mStyleId</t>
  </si>
  <si>
    <t>mDefaultStatModsPerSubStyle4 mPerks</t>
  </si>
  <si>
    <t>mDefaultStatModsPerSubStyle4 mStyle mDisplayNameLocalizationKey_content_zh</t>
  </si>
  <si>
    <t>mDefaultStatModsPerSubStyle4 mStyle mDisplayNameLocalizationKey_content_en</t>
  </si>
  <si>
    <t>mDefaultStatModsPerSubStyle4 mPerks mDisplayNameLocalizationKey_contents_zh</t>
  </si>
  <si>
    <t>mDefaultStatModsPerSubStyle4 mPerks mDisplayNameLocalizationKey_contents_en</t>
  </si>
  <si>
    <t>mTooltipNameLocalizationKey_content_zh_burn</t>
    <phoneticPr fontId="2" type="noConversion"/>
  </si>
  <si>
    <t>mTooltipNameLocalizationKey_content_en_burn</t>
    <phoneticPr fontId="2" type="noConversion"/>
  </si>
  <si>
    <t>mShortDescLocalizationKey_content_zh_burn</t>
    <phoneticPr fontId="2" type="noConversion"/>
  </si>
  <si>
    <t>mShortDescLocalizationKey_content_en_burn</t>
    <phoneticPr fontId="2" type="noConversion"/>
  </si>
  <si>
    <t>mLongDescLocalizationKey_content_zh_burn</t>
    <phoneticPr fontId="2" type="noConversion"/>
  </si>
  <si>
    <t>mLongDescLocalizationKey_content_en_burn</t>
    <phoneticPr fontId="2" type="noConversion"/>
  </si>
  <si>
    <t>详细信息（中文/数值转换）</t>
    <phoneticPr fontId="2" type="noConversion"/>
  </si>
  <si>
    <t>详细信息（英文/数值转换）</t>
    <phoneticPr fontId="2" type="noConversion"/>
  </si>
  <si>
    <t>{3a942548}</t>
    <phoneticPr fontId="2" type="noConversion"/>
  </si>
  <si>
    <t>{4217d741}</t>
    <phoneticPr fontId="2" type="noConversion"/>
  </si>
  <si>
    <t>{0746ade9}</t>
    <phoneticPr fontId="2" type="noConversion"/>
  </si>
  <si>
    <t>{97e82990}</t>
    <phoneticPr fontId="2" type="noConversion"/>
  </si>
  <si>
    <t>augments</t>
    <phoneticPr fontId="2" type="noConversion"/>
  </si>
  <si>
    <t>{96b4b430}</t>
    <phoneticPr fontId="2" type="noConversion"/>
  </si>
  <si>
    <t>{01d14504}</t>
    <phoneticPr fontId="2" type="noConversion"/>
  </si>
  <si>
    <t>套装代码</t>
    <phoneticPr fontId="2" type="noConversion"/>
  </si>
  <si>
    <t>强化符文列表</t>
    <phoneticPr fontId="2" type="noConversion"/>
  </si>
  <si>
    <t>{96b4b430}_object</t>
    <phoneticPr fontId="2" type="noConversion"/>
  </si>
  <si>
    <t>{0746ade9}_content_zh</t>
    <phoneticPr fontId="2" type="noConversion"/>
  </si>
  <si>
    <t>{0746ade9}_content_en</t>
    <phoneticPr fontId="2" type="noConversion"/>
  </si>
  <si>
    <t>套装名称（中文）</t>
    <phoneticPr fontId="2" type="noConversion"/>
  </si>
  <si>
    <t>套装名称（英文）</t>
    <phoneticPr fontId="2" type="noConversion"/>
  </si>
  <si>
    <t>{97e82990}_content_zh</t>
    <phoneticPr fontId="2" type="noConversion"/>
  </si>
  <si>
    <t>{97e82990}_content_zh_burn</t>
    <phoneticPr fontId="2" type="noConversion"/>
  </si>
  <si>
    <t>{97e82990}_content_en</t>
    <phoneticPr fontId="2" type="noConversion"/>
  </si>
  <si>
    <t>{97e82990}_content_en_burn</t>
    <phoneticPr fontId="2" type="noConversion"/>
  </si>
  <si>
    <t>套装描述（中文）</t>
    <phoneticPr fontId="2" type="noConversion"/>
  </si>
  <si>
    <t>套装描述（中文/数值转换）</t>
    <phoneticPr fontId="2" type="noConversion"/>
  </si>
  <si>
    <t>套装名称键</t>
    <phoneticPr fontId="2" type="noConversion"/>
  </si>
  <si>
    <t>套装描述键</t>
    <phoneticPr fontId="2" type="noConversion"/>
  </si>
  <si>
    <t>套装描述（英文）</t>
    <phoneticPr fontId="2" type="noConversion"/>
  </si>
  <si>
    <t>套装描述（英文/数值转换）</t>
    <phoneticPr fontId="2" type="noConversion"/>
  </si>
  <si>
    <t>augments nameTra_contents_zh</t>
    <phoneticPr fontId="2" type="noConversion"/>
  </si>
  <si>
    <t>augments nameTra_contents_en</t>
    <phoneticPr fontId="2" type="noConversion"/>
  </si>
  <si>
    <t>强化符文名称列表（中文）</t>
    <phoneticPr fontId="2" type="noConversion"/>
  </si>
  <si>
    <t>强化符文名称列表（英文）</t>
    <phoneticPr fontId="2" type="noConversion"/>
  </si>
  <si>
    <t>资源解析器</t>
    <phoneticPr fontId="2" type="noConversion"/>
  </si>
  <si>
    <t>TierData</t>
    <phoneticPr fontId="2" type="noConversion"/>
  </si>
  <si>
    <t>位阶数据</t>
    <phoneticPr fontId="2" type="noConversion"/>
  </si>
  <si>
    <t>资源解析器映射字典</t>
    <phoneticPr fontId="2" type="noConversion"/>
  </si>
  <si>
    <t>套装缩略图路径</t>
    <phoneticPr fontId="2" type="noConversion"/>
  </si>
  <si>
    <t>{96b4b430}_object keyTooltip</t>
    <phoneticPr fontId="2" type="noConversion"/>
  </si>
  <si>
    <t>{96b4b430}_object keyTooltip_content_zh</t>
    <phoneticPr fontId="2" type="noConversion"/>
  </si>
  <si>
    <t>{96b4b430}_object keyTooltip_content_zh_burn</t>
    <phoneticPr fontId="2" type="noConversion"/>
  </si>
  <si>
    <t>{96b4b430}_object keyTooltip_content_en</t>
    <phoneticPr fontId="2" type="noConversion"/>
  </si>
  <si>
    <t>{96b4b430}_object keyTooltip_content_en_burn</t>
    <phoneticPr fontId="2" type="noConversion"/>
  </si>
  <si>
    <t>套装说明文本键</t>
    <phoneticPr fontId="2" type="noConversion"/>
  </si>
  <si>
    <t>套装说明文本（中文）</t>
    <phoneticPr fontId="2" type="noConversion"/>
  </si>
  <si>
    <t>套装说明文本（中文/数值转换）</t>
    <phoneticPr fontId="2" type="noConversion"/>
  </si>
  <si>
    <t>套装说明文本（英文）</t>
    <phoneticPr fontId="2" type="noConversion"/>
  </si>
  <si>
    <t>套装说明文本（英文/数值转换）</t>
    <phoneticPr fontId="2" type="noConversion"/>
  </si>
  <si>
    <t>强化符文套装列表</t>
    <phoneticPr fontId="2" type="noConversion"/>
  </si>
  <si>
    <t>augmentSet</t>
    <phoneticPr fontId="2" type="noConversion"/>
  </si>
  <si>
    <t>augmentSet_contents_zh</t>
    <phoneticPr fontId="2" type="noConversion"/>
  </si>
  <si>
    <t>augmentSet_contents_en</t>
    <phoneticPr fontId="2" type="noConversion"/>
  </si>
  <si>
    <t>强化符文套装（中文）</t>
    <phoneticPr fontId="2" type="noConversion"/>
  </si>
  <si>
    <t>强化符文套装（英文）</t>
    <phoneticPr fontId="2" type="noConversion"/>
  </si>
  <si>
    <t>{01d14504} resourceMap</t>
    <phoneticPr fontId="2" type="noConversion"/>
  </si>
  <si>
    <t>{ed593c9c}</t>
    <phoneticPr fontId="2" type="noConversion"/>
  </si>
  <si>
    <t>其它指令</t>
    <phoneticPr fontId="2" type="noConversion"/>
  </si>
  <si>
    <t>其它指令对象</t>
    <phoneticPr fontId="2" type="noConversion"/>
  </si>
  <si>
    <t>基础生命值</t>
  </si>
  <si>
    <t>成长生命值</t>
  </si>
  <si>
    <t>基础生命回复</t>
  </si>
  <si>
    <t>生命回复成长</t>
  </si>
  <si>
    <t>基础攻击力</t>
  </si>
  <si>
    <t>成长攻击力</t>
  </si>
  <si>
    <t>基础护甲</t>
  </si>
  <si>
    <t>成长护甲</t>
  </si>
  <si>
    <t>基础魔法抗性</t>
  </si>
  <si>
    <t>成长魔法抗性</t>
  </si>
  <si>
    <t>基础移动速度</t>
  </si>
  <si>
    <t>攻击距离</t>
  </si>
  <si>
    <t>基础攻击速度</t>
  </si>
  <si>
    <t>攻击速度收益率</t>
  </si>
  <si>
    <t>成长攻击速度</t>
  </si>
  <si>
    <t>OutputOrder1 (champion; before v16.5)</t>
    <phoneticPr fontId="2" type="noConversion"/>
  </si>
  <si>
    <t>OutputOrder2 (character; before v16.5)</t>
    <phoneticPr fontId="2" type="noConversion"/>
  </si>
  <si>
    <t>OutputOrder3 (champion; after v16.5)</t>
    <phoneticPr fontId="2" type="noConversion"/>
  </si>
  <si>
    <t>OutputOrder4 (character; after v16.5)</t>
    <phoneticPr fontId="2" type="noConversion"/>
  </si>
  <si>
    <t>mRecastFrequency</t>
    <phoneticPr fontId="2" type="noConversion"/>
  </si>
  <si>
    <t>施法频率</t>
    <phoneticPr fontId="2" type="noConversion"/>
  </si>
  <si>
    <t>mTarget</t>
    <phoneticPr fontId="2" type="noConversion"/>
  </si>
  <si>
    <t>作用目标</t>
    <phoneticPr fontId="2" type="noConversion"/>
  </si>
  <si>
    <t>UseTargetAsSource</t>
    <phoneticPr fontId="2" type="noConversion"/>
  </si>
  <si>
    <t>√</t>
    <phoneticPr fontId="2" type="noConversion"/>
  </si>
  <si>
    <t>mTimerValue</t>
    <phoneticPr fontId="2" type="noConversion"/>
  </si>
  <si>
    <t>计时器取值</t>
    <phoneticPr fontId="2" type="noConversion"/>
  </si>
  <si>
    <t>mDamageAmount</t>
    <phoneticPr fontId="2" type="noConversion"/>
  </si>
  <si>
    <t>伤害数额（百分比）</t>
    <phoneticPr fontId="2" type="noConversion"/>
  </si>
  <si>
    <t>UseTargetAsCaster</t>
    <phoneticPr fontId="2" type="noConversion"/>
  </si>
  <si>
    <t>目标作为施法者</t>
    <phoneticPr fontId="2" type="noConversion"/>
  </si>
  <si>
    <t>目标作为来源</t>
    <phoneticPr fontId="2" type="noConversion"/>
  </si>
  <si>
    <t>{30ce16ae}</t>
    <phoneticPr fontId="2" type="noConversion"/>
  </si>
  <si>
    <t>作用野怪类型</t>
    <phoneticPr fontId="2" type="noConversion"/>
  </si>
  <si>
    <t>mKillExistingMinions</t>
    <phoneticPr fontId="2" type="noConversion"/>
  </si>
  <si>
    <t>击杀存活小兵</t>
    <phoneticPr fontId="2" type="noConversion"/>
  </si>
  <si>
    <t>mKillWards</t>
    <phoneticPr fontId="2" type="noConversion"/>
  </si>
  <si>
    <t>摧毁守卫</t>
    <phoneticPr fontId="2" type="noConversion"/>
  </si>
  <si>
    <t>mStartingItemIds</t>
    <phoneticPr fontId="2" type="noConversion"/>
  </si>
  <si>
    <t>起始装备序号列表</t>
    <phoneticPr fontId="2" type="noConversion"/>
  </si>
  <si>
    <t>mGoldAmount</t>
    <phoneticPr fontId="2" type="noConversion"/>
  </si>
  <si>
    <t>金币数额</t>
    <phoneticPr fontId="2" type="noConversion"/>
  </si>
  <si>
    <t>mFlags</t>
    <phoneticPr fontId="2" type="noConversion"/>
  </si>
  <si>
    <t>mTeam</t>
    <phoneticPr fontId="2" type="noConversion"/>
  </si>
  <si>
    <t>mPlayerName</t>
    <phoneticPr fontId="2" type="noConversion"/>
  </si>
  <si>
    <t>mCharacterName</t>
    <phoneticPr fontId="2" type="noConversion"/>
  </si>
  <si>
    <t>旗标</t>
    <phoneticPr fontId="2" type="noConversion"/>
  </si>
  <si>
    <t>阵营代号</t>
    <phoneticPr fontId="2" type="noConversion"/>
  </si>
  <si>
    <t>玩家代码</t>
    <phoneticPr fontId="2" type="noConversion"/>
  </si>
  <si>
    <t>角色名称</t>
    <phoneticPr fontId="2" type="noConversion"/>
  </si>
  <si>
    <t>mAmount</t>
    <phoneticPr fontId="2" type="noConversion"/>
  </si>
  <si>
    <t>数额</t>
    <phoneticPr fontId="2" type="noConversion"/>
  </si>
  <si>
    <t>mSpeedDown</t>
    <phoneticPr fontId="2" type="noConversion"/>
  </si>
  <si>
    <t>mSpeedUp</t>
    <phoneticPr fontId="2" type="noConversion"/>
  </si>
  <si>
    <t>减速</t>
    <phoneticPr fontId="2" type="noConversion"/>
  </si>
  <si>
    <t>加速</t>
    <phoneticPr fontId="2" type="noConversion"/>
  </si>
  <si>
    <t>ResetToBaseSpeed</t>
    <phoneticPr fontId="2" type="noConversion"/>
  </si>
  <si>
    <t>MoveDelta</t>
    <phoneticPr fontId="2" type="noConversion"/>
  </si>
  <si>
    <t>移动速度增量</t>
    <phoneticPr fontId="2" type="noConversion"/>
  </si>
  <si>
    <t>重置为基础移动速度</t>
    <phoneticPr fontId="2" type="noConversion"/>
  </si>
  <si>
    <t>mMinionName</t>
    <phoneticPr fontId="2" type="noConversion"/>
  </si>
  <si>
    <t>小兵代码</t>
    <phoneticPr fontId="2" type="noConversion"/>
  </si>
  <si>
    <t>mToggleHP</t>
    <phoneticPr fontId="2" type="noConversion"/>
  </si>
  <si>
    <t>mTogglePAR</t>
    <phoneticPr fontId="2" type="noConversion"/>
  </si>
  <si>
    <t>启用/禁用生命回复</t>
    <phoneticPr fontId="2" type="noConversion"/>
  </si>
  <si>
    <t>启用/禁用施法资源回复</t>
    <phoneticPr fontId="2" type="noConversion"/>
  </si>
  <si>
    <t>mGiveMaxLevel</t>
    <phoneticPr fontId="2" type="noConversion"/>
  </si>
  <si>
    <t>提供最大等级</t>
    <phoneticPr fontId="2" type="noConversion"/>
  </si>
  <si>
    <t>mOnlyOnePointEach</t>
    <phoneticPr fontId="2" type="noConversion"/>
  </si>
  <si>
    <t>即点即杀</t>
    <phoneticPr fontId="2" type="noConversion"/>
  </si>
  <si>
    <t>__type</t>
    <phoneticPr fontId="2" type="noConversion"/>
  </si>
  <si>
    <t>对象数据类型</t>
    <phoneticPr fontId="2" type="noConversion"/>
  </si>
  <si>
    <t>显示名</t>
    <phoneticPr fontId="2" type="noConversion"/>
  </si>
  <si>
    <t>mFloatingTextDisplayName</t>
  </si>
  <si>
    <t>mTooltipText</t>
  </si>
  <si>
    <t>mDynamicTooltipText</t>
  </si>
  <si>
    <t>mHotkey</t>
  </si>
  <si>
    <t>mHotkeys</t>
  </si>
  <si>
    <t>mIsToggleCheat</t>
  </si>
  <si>
    <t>mCheatMenuUIDataType</t>
  </si>
  <si>
    <t>mFloatingTextDisplayName_content_zh</t>
  </si>
  <si>
    <t>mFloatingTextDisplayName_content_en</t>
  </si>
  <si>
    <t>mTooltipText_content_zh</t>
  </si>
  <si>
    <t>mTooltipText_content_en</t>
  </si>
  <si>
    <t>mDynamicTooltipText_content_zh</t>
  </si>
  <si>
    <t>mDynamicTooltipText_content_en</t>
  </si>
  <si>
    <t>mItemGroupID</t>
    <phoneticPr fontId="2" type="noConversion"/>
  </si>
  <si>
    <t>mItemModifiers</t>
    <phoneticPr fontId="2" type="noConversion"/>
  </si>
  <si>
    <t>mInventorySlotMin</t>
    <phoneticPr fontId="2" type="noConversion"/>
  </si>
  <si>
    <t>mMaxGroupOwnable</t>
    <phoneticPr fontId="2" type="noConversion"/>
  </si>
  <si>
    <t>{dbc029fa}</t>
    <phoneticPr fontId="2" type="noConversion"/>
  </si>
  <si>
    <t>mPurchaseCooldown</t>
    <phoneticPr fontId="2" type="noConversion"/>
  </si>
  <si>
    <t>mInventorySlotMax</t>
    <phoneticPr fontId="2" type="noConversion"/>
  </si>
  <si>
    <t>装备分组名称</t>
    <phoneticPr fontId="2" type="noConversion"/>
  </si>
  <si>
    <t>装备修饰方案</t>
    <phoneticPr fontId="2" type="noConversion"/>
  </si>
  <si>
    <t>装备栏最大槽位号</t>
    <phoneticPr fontId="2" type="noConversion"/>
  </si>
  <si>
    <t>装备栏最小槽位号</t>
    <phoneticPr fontId="2" type="noConversion"/>
  </si>
  <si>
    <t>组内最多持有装备数量</t>
    <phoneticPr fontId="2" type="noConversion"/>
  </si>
  <si>
    <t>连点预防间隔（秒）</t>
    <phoneticPr fontId="2" type="noConversion"/>
  </si>
  <si>
    <t>mItemModifierID</t>
  </si>
  <si>
    <t>mModifiedIfBuildsFromItem</t>
  </si>
  <si>
    <t>mModifiedItem</t>
  </si>
  <si>
    <t>mDeltaMaxStacks</t>
  </si>
  <si>
    <t>mModifiedGroup</t>
  </si>
  <si>
    <t>mMaximumModifierInstancesToBeActive</t>
  </si>
  <si>
    <t>{06d9d838}</t>
  </si>
  <si>
    <t>{917537a9}</t>
  </si>
  <si>
    <t>mModifierIsInheritedByOwnedParentItems</t>
  </si>
  <si>
    <t>mIgnoreSpecificMaxGroupOwnable</t>
  </si>
  <si>
    <t>mMaximumDeltasToStack</t>
  </si>
  <si>
    <t>mShowAsModifiedInUI</t>
  </si>
  <si>
    <t>mDeltaGoldCostPercent</t>
  </si>
  <si>
    <t>mDeltaRequiredLevel</t>
  </si>
  <si>
    <t>mDeltaGoldCost</t>
  </si>
  <si>
    <t>mDescriptionToReplace</t>
  </si>
  <si>
    <t>mDynamicTooltipToReplace</t>
  </si>
  <si>
    <t>mVisualPriority</t>
  </si>
  <si>
    <t>inventoryIconToOverlay</t>
  </si>
  <si>
    <t>mDescriptionToAppend</t>
  </si>
  <si>
    <t>mDynamicTooltipToAppend</t>
  </si>
  <si>
    <t>mDisplayNameToAppend</t>
  </si>
  <si>
    <t>mDisplayNameToReplace</t>
  </si>
  <si>
    <t>mDisplayNameToPrepend</t>
  </si>
  <si>
    <t>mClickableToEnable</t>
  </si>
  <si>
    <t>mSpellNameToReplace</t>
  </si>
  <si>
    <t>{20b65c83}</t>
  </si>
  <si>
    <t>装备修饰名称</t>
    <phoneticPr fontId="2" type="noConversion"/>
  </si>
  <si>
    <t>修饰构件装备名称（英文）</t>
    <phoneticPr fontId="2" type="noConversion"/>
  </si>
  <si>
    <t>修饰构件装备名称（中文）</t>
    <phoneticPr fontId="2" type="noConversion"/>
  </si>
  <si>
    <t>修饰装备</t>
    <phoneticPr fontId="2" type="noConversion"/>
  </si>
  <si>
    <t>mModifiedItem_mDisplayName_content_zh</t>
    <phoneticPr fontId="2" type="noConversion"/>
  </si>
  <si>
    <t>mModifiedIfBuildsFromItem_mDisplayName_content_en</t>
    <phoneticPr fontId="2" type="noConversion"/>
  </si>
  <si>
    <t>mModifiedItem_mDisplayName_content_en</t>
    <phoneticPr fontId="2" type="noConversion"/>
  </si>
  <si>
    <t>修饰装备名称（中文）</t>
    <phoneticPr fontId="2" type="noConversion"/>
  </si>
  <si>
    <t>修饰装备名称（英文）</t>
    <phoneticPr fontId="2" type="noConversion"/>
  </si>
  <si>
    <t>最大持有数量变化值</t>
    <phoneticPr fontId="2" type="noConversion"/>
  </si>
  <si>
    <t>最大生效实例数量</t>
    <phoneticPr fontId="2" type="noConversion"/>
  </si>
  <si>
    <t>修饰装备分组</t>
    <phoneticPr fontId="2" type="noConversion"/>
  </si>
  <si>
    <t>{06d9d838}_mDisplayName_content_zh</t>
    <phoneticPr fontId="2" type="noConversion"/>
  </si>
  <si>
    <t>{06d9d838}_mDisplayName_content_en</t>
    <phoneticPr fontId="2" type="noConversion"/>
  </si>
  <si>
    <t>{917537a9}_mDisplayName_content_zh</t>
    <phoneticPr fontId="2" type="noConversion"/>
  </si>
  <si>
    <t>{917537a9}_mDisplayName_content_en</t>
    <phoneticPr fontId="2" type="noConversion"/>
  </si>
  <si>
    <t>修饰前的基础构件</t>
    <phoneticPr fontId="2" type="noConversion"/>
  </si>
  <si>
    <t>修饰后的基础构件</t>
    <phoneticPr fontId="2" type="noConversion"/>
  </si>
  <si>
    <t>修饰前的基础构件名称（中文）</t>
    <phoneticPr fontId="2" type="noConversion"/>
  </si>
  <si>
    <t>修饰前的基础构件名称（英文）</t>
    <phoneticPr fontId="2" type="noConversion"/>
  </si>
  <si>
    <t>修饰后的基础构件名称（中文）</t>
    <phoneticPr fontId="2" type="noConversion"/>
  </si>
  <si>
    <t>修饰后的基础构件名称（英文）</t>
    <phoneticPr fontId="2" type="noConversion"/>
  </si>
  <si>
    <t>大件继承构件修饰</t>
    <phoneticPr fontId="2" type="noConversion"/>
  </si>
  <si>
    <t>不受其它最大持有数量限制影响</t>
    <phoneticPr fontId="2" type="noConversion"/>
  </si>
  <si>
    <t>显示为已修饰</t>
    <phoneticPr fontId="2" type="noConversion"/>
  </si>
  <si>
    <t>折扣</t>
    <phoneticPr fontId="2" type="noConversion"/>
  </si>
  <si>
    <t>所需等级变化值</t>
    <phoneticPr fontId="2" type="noConversion"/>
  </si>
  <si>
    <t>mDescriptionToReplace_content_zh</t>
    <phoneticPr fontId="2" type="noConversion"/>
  </si>
  <si>
    <t>mDescriptionToReplace_content_en</t>
    <phoneticPr fontId="2" type="noConversion"/>
  </si>
  <si>
    <t>替代简述键</t>
    <phoneticPr fontId="2" type="noConversion"/>
  </si>
  <si>
    <t>替代简述（中文）</t>
    <phoneticPr fontId="2" type="noConversion"/>
  </si>
  <si>
    <t>替代简述（英文）</t>
    <phoneticPr fontId="2" type="noConversion"/>
  </si>
  <si>
    <t>替代动态详细信息键</t>
    <phoneticPr fontId="2" type="noConversion"/>
  </si>
  <si>
    <t>mDynamicTooltipToReplace_content_zh</t>
    <phoneticPr fontId="2" type="noConversion"/>
  </si>
  <si>
    <t>mDynamicTooltipToReplace_content_en</t>
    <phoneticPr fontId="2" type="noConversion"/>
  </si>
  <si>
    <t>替代动态详细信息（中文）</t>
    <phoneticPr fontId="2" type="noConversion"/>
  </si>
  <si>
    <t>替代动态详细信息（英文）</t>
    <phoneticPr fontId="2" type="noConversion"/>
  </si>
  <si>
    <t>装备栏覆盖图标路径</t>
    <phoneticPr fontId="2" type="noConversion"/>
  </si>
  <si>
    <t>追加简述键</t>
    <phoneticPr fontId="2" type="noConversion"/>
  </si>
  <si>
    <t>追加动态详细信息键</t>
    <phoneticPr fontId="2" type="noConversion"/>
  </si>
  <si>
    <t>mDescriptionToAppend_content_zh</t>
  </si>
  <si>
    <t>mDescriptionToAppend_content_en</t>
  </si>
  <si>
    <t>mDynamicTooltipToAppend_content_zh</t>
  </si>
  <si>
    <t>mDynamicTooltipToAppend_content_en</t>
  </si>
  <si>
    <t>追加简述（中文）</t>
  </si>
  <si>
    <t>追加简述（英文）</t>
  </si>
  <si>
    <t>追加动态详细信息（中文）</t>
  </si>
  <si>
    <t>追加动态详细信息（英文）</t>
  </si>
  <si>
    <t>追加显示名键</t>
    <phoneticPr fontId="2" type="noConversion"/>
  </si>
  <si>
    <t>替代显示名键</t>
    <phoneticPr fontId="2" type="noConversion"/>
  </si>
  <si>
    <t>前附显示名键</t>
    <phoneticPr fontId="2" type="noConversion"/>
  </si>
  <si>
    <t>mDisplayNameToAppend_content_zh</t>
    <phoneticPr fontId="2" type="noConversion"/>
  </si>
  <si>
    <t>追加显示名（中文）</t>
    <phoneticPr fontId="2" type="noConversion"/>
  </si>
  <si>
    <t>mDisplayNameToAppend_content_en</t>
    <phoneticPr fontId="2" type="noConversion"/>
  </si>
  <si>
    <t>追加显示名（英文）</t>
    <phoneticPr fontId="2" type="noConversion"/>
  </si>
  <si>
    <t>替代显示名（中文）</t>
  </si>
  <si>
    <t>替代显示名（英文）</t>
  </si>
  <si>
    <t>mDisplayNameToReplace_content_zh</t>
  </si>
  <si>
    <t>mDisplayNameToReplace_content_en</t>
  </si>
  <si>
    <t>mDisplayNameToPrepend_content_zh</t>
    <phoneticPr fontId="2" type="noConversion"/>
  </si>
  <si>
    <t>mDisplayNameToPrepend_content_en</t>
    <phoneticPr fontId="2" type="noConversion"/>
  </si>
  <si>
    <t>前附显示名（中文）</t>
    <phoneticPr fontId="2" type="noConversion"/>
  </si>
  <si>
    <t>前附显示名（英文）</t>
    <phoneticPr fontId="2" type="noConversion"/>
  </si>
  <si>
    <t>单击使用技能</t>
    <phoneticPr fontId="2" type="noConversion"/>
  </si>
  <si>
    <t>取代技能名称</t>
    <phoneticPr fontId="2" type="noConversion"/>
  </si>
  <si>
    <t>升级边框方案名称</t>
    <phoneticPr fontId="2" type="noConversion"/>
  </si>
  <si>
    <t>合成构件包含以下装备时修饰</t>
    <phoneticPr fontId="2" type="noConversion"/>
  </si>
  <si>
    <t>mModifiedIfBuildsFromItem_mDisplayName_content_zh</t>
    <phoneticPr fontId="2" type="noConversion"/>
  </si>
  <si>
    <t>固定价格变化</t>
    <phoneticPr fontId="2" type="noConversion"/>
  </si>
  <si>
    <t>效果叠加次数最大变化量</t>
    <phoneticPr fontId="2" type="noConversion"/>
  </si>
  <si>
    <t>计分板排列优先级</t>
    <phoneticPr fontId="2" type="noConversion"/>
  </si>
  <si>
    <t>EventIcon</t>
  </si>
  <si>
    <t>事件键</t>
    <phoneticPr fontId="2" type="noConversion"/>
  </si>
  <si>
    <t>事件缩略图路径</t>
    <phoneticPr fontId="2" type="noConversion"/>
  </si>
  <si>
    <t>事件（中文）</t>
    <phoneticPr fontId="2" type="noConversion"/>
  </si>
  <si>
    <t>事件（英文）</t>
    <phoneticPr fontId="2" type="noConversion"/>
  </si>
  <si>
    <t>姓名键</t>
    <phoneticPr fontId="2" type="noConversion"/>
  </si>
  <si>
    <t>姓名（中文）</t>
    <phoneticPr fontId="2" type="noConversion"/>
  </si>
  <si>
    <t>姓名（英文）</t>
    <phoneticPr fontId="2" type="noConversion"/>
  </si>
  <si>
    <t>详细信息（中文/去格式化）</t>
  </si>
  <si>
    <t>详细信息（英文/去格式化）</t>
  </si>
  <si>
    <t>baseHPModifiable baseValue</t>
  </si>
  <si>
    <t>hpPerLevelModifiable baseValue</t>
  </si>
  <si>
    <t>baseStaticHPRegenModifiable baseValue</t>
  </si>
  <si>
    <t>hpRegenPerLevelModifiable baseValue</t>
  </si>
  <si>
    <t>baseDamageModifiable baseValue</t>
  </si>
  <si>
    <t>damagePerLevelModifiable baseValue</t>
  </si>
  <si>
    <t>baseArmorModifiable baseValue</t>
  </si>
  <si>
    <t>armorPerLevelModifiable baseValue</t>
  </si>
  <si>
    <t>baseMR baseValue</t>
  </si>
  <si>
    <t>{01262a25} baseValue</t>
  </si>
  <si>
    <t>baseMoveSpeedModifiable baseValue</t>
  </si>
  <si>
    <t>attackRangeModifiable baseValue</t>
  </si>
  <si>
    <t>attackSpeedModifiable baseValue</t>
  </si>
  <si>
    <t>attackSpeedRatioModifiable baseValue</t>
  </si>
  <si>
    <t>attackSpeedPerLevelModifiable baseValue</t>
  </si>
  <si>
    <t>primaryAbilityResource {726ee5cd} baseValue</t>
  </si>
  <si>
    <t>primaryAbilityResource {6216bf7b} baseValue</t>
  </si>
  <si>
    <t>primaryAbilityResource baseValue baseValue</t>
  </si>
  <si>
    <t>primaryAbilityResource {3a509002} baseValue</t>
  </si>
  <si>
    <t>secondaryAbilityResource {726ee5cd} baseValue</t>
  </si>
  <si>
    <t>secondaryAbilityResource {6216bf7b} baseValue</t>
  </si>
  <si>
    <t>secondaryAbilityResource baseValue baseValue</t>
  </si>
  <si>
    <t>{3696d198} {c4182067}</t>
    <phoneticPr fontId="2" type="noConversion"/>
  </si>
  <si>
    <t>{3696d198} {231af825}</t>
    <phoneticPr fontId="2" type="noConversion"/>
  </si>
  <si>
    <t>{791eb92e} {5753a320} {c98a82ca}</t>
    <phoneticPr fontId="2" type="noConversion"/>
  </si>
  <si>
    <t>{791eb92e} {5753a320} {05835d27}</t>
    <phoneticPr fontId="2" type="noConversion"/>
  </si>
  <si>
    <t>强化符文详细信息描述部分键</t>
    <phoneticPr fontId="2" type="noConversion"/>
  </si>
  <si>
    <t>强化符文详细信息追踪部分键</t>
    <phoneticPr fontId="2" type="noConversion"/>
  </si>
  <si>
    <t>满级效果详细信息键</t>
    <phoneticPr fontId="2" type="noConversion"/>
  </si>
  <si>
    <t>满级效果简介键</t>
    <phoneticPr fontId="2" type="noConversion"/>
  </si>
  <si>
    <t>{3696d198} {c4182067}_content_zh</t>
    <phoneticPr fontId="2" type="noConversion"/>
  </si>
  <si>
    <t>{3696d198} {c4182067}_content_zh_burn</t>
    <phoneticPr fontId="2" type="noConversion"/>
  </si>
  <si>
    <t>{3696d198} {c4182067}_content_en</t>
    <phoneticPr fontId="2" type="noConversion"/>
  </si>
  <si>
    <t>{3696d198} {c4182067}_content_en_burn</t>
    <phoneticPr fontId="2" type="noConversion"/>
  </si>
  <si>
    <t>{3696d198} {231af825}_content_zh</t>
  </si>
  <si>
    <t>{3696d198} {231af825}_content_zh_burn</t>
  </si>
  <si>
    <t>{3696d198} {231af825}_content_en</t>
  </si>
  <si>
    <t>{3696d198} {231af825}_content_en_burn</t>
  </si>
  <si>
    <t>{791eb92e} {5753a320} {c98a82ca}_content_zh</t>
  </si>
  <si>
    <t>{791eb92e} {5753a320} {c98a82ca}_content_zh_burn</t>
  </si>
  <si>
    <t>{791eb92e} {5753a320} {c98a82ca}_content_en</t>
  </si>
  <si>
    <t>{791eb92e} {5753a320} {c98a82ca}_content_en_burn</t>
  </si>
  <si>
    <t>{791eb92e} {5753a320} {05835d27}_content_zh</t>
  </si>
  <si>
    <t>{791eb92e} {5753a320} {05835d27}_content_zh_burn</t>
  </si>
  <si>
    <t>{791eb92e} {5753a320} {05835d27}_content_en</t>
  </si>
  <si>
    <t>{791eb92e} {5753a320} {05835d27}_content_en_burn</t>
  </si>
  <si>
    <t>强化符文详细信息描述部分（中文）</t>
    <phoneticPr fontId="2" type="noConversion"/>
  </si>
  <si>
    <t>强化符文详细信息描述部分（中文/数值转换）</t>
    <phoneticPr fontId="2" type="noConversion"/>
  </si>
  <si>
    <t>强化符文详细信息描述部分（英文）</t>
    <phoneticPr fontId="2" type="noConversion"/>
  </si>
  <si>
    <t>强化符文详细信息描述部分（英文/数值转换）</t>
    <phoneticPr fontId="2" type="noConversion"/>
  </si>
  <si>
    <t>强化符文详细信息追踪部分（中文）</t>
  </si>
  <si>
    <t>强化符文详细信息追踪部分（中文/数值转换）</t>
  </si>
  <si>
    <t>强化符文详细信息追踪部分（英文）</t>
  </si>
  <si>
    <t>强化符文详细信息追踪部分（英文/数值转换）</t>
  </si>
  <si>
    <t>满级效果简介（中文）</t>
  </si>
  <si>
    <t>满级效果简介（中文/数值转换）</t>
  </si>
  <si>
    <t>满级效果简介（英文）</t>
  </si>
  <si>
    <t>满级效果简介（英文/数值转换）</t>
  </si>
  <si>
    <t>满级效果详细信息（中文）</t>
  </si>
  <si>
    <t>满级效果详细信息（中文/数值转换）</t>
  </si>
  <si>
    <t>满级效果详细信息（英文）</t>
  </si>
  <si>
    <t>满级效果详细信息（英文/数值转换）</t>
  </si>
  <si>
    <t>defaultValue</t>
    <phoneticPr fontId="2" type="noConversion"/>
  </si>
  <si>
    <t>defaultValue</t>
    <phoneticPr fontId="2" type="noConversion"/>
  </si>
  <si>
    <t>ResourceResolver</t>
  </si>
  <si>
    <t>ResourceResolver resourceMap</t>
    <phoneticPr fontId="2" type="noConversion"/>
  </si>
  <si>
    <t>资源解析器主键</t>
    <phoneticPr fontId="2" type="noConversion"/>
  </si>
  <si>
    <t>√</t>
    <phoneticPr fontId="2" type="noConversion"/>
  </si>
  <si>
    <t>{815dad28}</t>
    <phoneticPr fontId="2" type="noConversion"/>
  </si>
  <si>
    <t>最大等级</t>
    <phoneticPr fontId="2" type="noConversion"/>
  </si>
  <si>
    <t>RootSpell mSpell DataValues MaxLevel</t>
    <phoneticPr fontId="2" type="noConversion"/>
  </si>
  <si>
    <t>方案主键</t>
    <phoneticPr fontId="2" type="noConversion"/>
  </si>
  <si>
    <t>roundNumber</t>
    <phoneticPr fontId="2" type="noConversion"/>
  </si>
  <si>
    <t>roundKey</t>
    <phoneticPr fontId="2" type="noConversion"/>
  </si>
  <si>
    <t>回合数</t>
    <phoneticPr fontId="2" type="noConversion"/>
  </si>
  <si>
    <t>回合主键</t>
    <phoneticPr fontId="2" type="noConversion"/>
  </si>
  <si>
    <t>{37e6e53a}</t>
    <phoneticPr fontId="2" type="noConversion"/>
  </si>
  <si>
    <t>round_phaseNames_content_zh</t>
    <phoneticPr fontId="2" type="noConversion"/>
  </si>
  <si>
    <t>round_phaseNames_content_en</t>
    <phoneticPr fontId="2" type="noConversion"/>
  </si>
  <si>
    <t>回合阶段名称（中文）</t>
    <phoneticPr fontId="2" type="noConversion"/>
  </si>
  <si>
    <t>回合阶段名称（英文）</t>
    <phoneticPr fontId="2" type="noConversion"/>
  </si>
  <si>
    <t>type</t>
    <phoneticPr fontId="2" type="noConversion"/>
  </si>
  <si>
    <t>DisplayNameTra</t>
    <phoneticPr fontId="2" type="noConversion"/>
  </si>
  <si>
    <t>{7011dd78}</t>
    <phoneticPr fontId="2" type="noConversion"/>
  </si>
  <si>
    <t>{44bdfcf8}</t>
    <phoneticPr fontId="2" type="noConversion"/>
  </si>
  <si>
    <t>{bafc35cb}</t>
    <phoneticPr fontId="2" type="noConversion"/>
  </si>
  <si>
    <t>DisplayNameTra_content_zh</t>
    <phoneticPr fontId="2" type="noConversion"/>
  </si>
  <si>
    <t>DisplayNameTra_content_en</t>
    <phoneticPr fontId="2" type="noConversion"/>
  </si>
  <si>
    <t>即将到来的事件缩略图路径</t>
    <phoneticPr fontId="2" type="noConversion"/>
  </si>
  <si>
    <t>回合类型</t>
    <phoneticPr fontId="2" type="noConversion"/>
  </si>
  <si>
    <t>第一次闪烁倒计时</t>
    <phoneticPr fontId="2" type="noConversion"/>
  </si>
  <si>
    <t>第二次闪烁倒计时</t>
    <phoneticPr fontId="2" type="noConversion"/>
  </si>
  <si>
    <t>时间轴默认颜色方案</t>
    <phoneticPr fontId="2" type="noConversion"/>
  </si>
  <si>
    <t>Phases</t>
    <phoneticPr fontId="2" type="noConversion"/>
  </si>
  <si>
    <t>阶段主键列表</t>
    <phoneticPr fontId="2" type="noConversion"/>
  </si>
  <si>
    <t>Phases_names_content_zh</t>
    <phoneticPr fontId="2" type="noConversion"/>
  </si>
  <si>
    <t>阶段名称（中文）</t>
    <phoneticPr fontId="2" type="noConversion"/>
  </si>
  <si>
    <t>Phases_names_content_en</t>
    <phoneticPr fontId="2" type="noConversion"/>
  </si>
  <si>
    <t>阶段名称（英文）</t>
    <phoneticPr fontId="2" type="noConversion"/>
  </si>
  <si>
    <t>Character</t>
    <phoneticPr fontId="2" type="noConversion"/>
  </si>
  <si>
    <t>角色文件夹</t>
    <phoneticPr fontId="2" type="noConversion"/>
  </si>
  <si>
    <t>{b0f32561}</t>
    <phoneticPr fontId="2" type="noConversion"/>
  </si>
  <si>
    <t>可用回合</t>
    <phoneticPr fontId="2" type="noConversion"/>
  </si>
  <si>
    <t>name</t>
    <phoneticPr fontId="2" type="noConversion"/>
  </si>
  <si>
    <t>名称</t>
    <phoneticPr fontId="2" type="noConversion"/>
  </si>
  <si>
    <t>Enabled</t>
    <phoneticPr fontId="2" type="noConversion"/>
  </si>
  <si>
    <t>可用性</t>
    <phoneticPr fontId="2" type="noConversion"/>
  </si>
  <si>
    <t>√</t>
    <phoneticPr fontId="2" type="noConversion"/>
  </si>
  <si>
    <t>SkinID</t>
    <phoneticPr fontId="2" type="noConversion"/>
  </si>
  <si>
    <t>皮肤序号</t>
    <phoneticPr fontId="2" type="noConversion"/>
  </si>
  <si>
    <t>互斥荣誉嘉宾</t>
    <phoneticPr fontId="2" type="noConversion"/>
  </si>
  <si>
    <t>互斥荣誉嘉宾姓名（中文）</t>
    <phoneticPr fontId="2" type="noConversion"/>
  </si>
  <si>
    <t>互斥荣誉嘉宾姓名（英文）</t>
    <phoneticPr fontId="2" type="noConversion"/>
  </si>
  <si>
    <t>{e7879fb5}</t>
    <phoneticPr fontId="2" type="noConversion"/>
  </si>
  <si>
    <t>{e7879fb5} Subtitle_contents_zh</t>
    <phoneticPr fontId="2" type="noConversion"/>
  </si>
  <si>
    <t>{e7879fb5} Subtitle_contents_en</t>
    <phoneticPr fontId="2" type="noConversion"/>
  </si>
  <si>
    <t>{f426fde9}_content_en_burn</t>
    <phoneticPr fontId="2" type="noConversion"/>
  </si>
  <si>
    <t>{f426fde9}_content_zh_burn</t>
    <phoneticPr fontId="2" type="noConversion"/>
  </si>
  <si>
    <t>{f426fde9}_content_en</t>
    <phoneticPr fontId="2" type="noConversion"/>
  </si>
  <si>
    <t>{f426fde9}_content_zh</t>
    <phoneticPr fontId="2" type="noConversion"/>
  </si>
  <si>
    <t>{3942d706}_content_en</t>
    <phoneticPr fontId="2" type="noConversion"/>
  </si>
  <si>
    <t>{3942d706}_content_zh</t>
    <phoneticPr fontId="2" type="noConversion"/>
  </si>
  <si>
    <t>{be8164b4}_content_en</t>
    <phoneticPr fontId="2" type="noConversion"/>
  </si>
  <si>
    <t>{be8164b4}_content_zh</t>
    <phoneticPr fontId="2" type="noConversion"/>
  </si>
  <si>
    <t>{f426fde9}</t>
    <phoneticPr fontId="2" type="noConversion"/>
  </si>
  <si>
    <t>{3942d706}</t>
    <phoneticPr fontId="2" type="noConversion"/>
  </si>
  <si>
    <t>{be8164b4}</t>
    <phoneticPr fontId="2" type="noConversion"/>
  </si>
  <si>
    <t>英雄文件夹加密字符串</t>
    <phoneticPr fontId="2" type="noConversion"/>
  </si>
  <si>
    <t>ChampionNameHash</t>
    <phoneticPr fontId="2" type="noConversion"/>
  </si>
  <si>
    <t>championName</t>
    <phoneticPr fontId="2" type="noConversion"/>
  </si>
  <si>
    <t>typeData</t>
    <phoneticPr fontId="2" type="noConversion"/>
  </si>
  <si>
    <t>resolutionData</t>
    <phoneticPr fontId="2" type="noConversion"/>
  </si>
  <si>
    <t>Color</t>
    <phoneticPr fontId="2" type="noConversion"/>
  </si>
  <si>
    <t>shadowColor</t>
    <phoneticPr fontId="2" type="noConversion"/>
  </si>
  <si>
    <t>outlineColor</t>
    <phoneticPr fontId="2" type="noConversion"/>
  </si>
  <si>
    <t>glowColor</t>
    <phoneticPr fontId="2" type="noConversion"/>
  </si>
  <si>
    <t>SelectionBoxColor</t>
    <phoneticPr fontId="2" type="noConversion"/>
  </si>
  <si>
    <t>colorblindColor</t>
    <phoneticPr fontId="2" type="noConversion"/>
  </si>
  <si>
    <t>colorblindOutlineColor</t>
    <phoneticPr fontId="2" type="noConversion"/>
  </si>
  <si>
    <t>fillTextureName</t>
    <phoneticPr fontId="2" type="noConversion"/>
  </si>
  <si>
    <t>字体类型键</t>
    <phoneticPr fontId="2" type="noConversion"/>
  </si>
  <si>
    <t>字体分辨率键</t>
    <phoneticPr fontId="2" type="noConversion"/>
  </si>
  <si>
    <t>颜色</t>
    <phoneticPr fontId="2" type="noConversion"/>
  </si>
  <si>
    <t>轮廓颜色</t>
    <phoneticPr fontId="2" type="noConversion"/>
  </si>
  <si>
    <t>阴影颜色</t>
    <phoneticPr fontId="2" type="noConversion"/>
  </si>
  <si>
    <t>发光颜色</t>
    <phoneticPr fontId="2" type="noConversion"/>
  </si>
  <si>
    <t>选择框颜色</t>
    <phoneticPr fontId="2" type="noConversion"/>
  </si>
  <si>
    <t>色盲模式颜色</t>
    <phoneticPr fontId="2" type="noConversion"/>
  </si>
  <si>
    <t>色盲模式轮廓颜色</t>
    <phoneticPr fontId="2" type="noConversion"/>
  </si>
  <si>
    <t>填充纹理名称</t>
    <phoneticPr fontId="2" type="noConversion"/>
  </si>
  <si>
    <t>localeName</t>
    <phoneticPr fontId="2" type="noConversion"/>
  </si>
  <si>
    <t>mFontFilePath</t>
    <phoneticPr fontId="2" type="noConversion"/>
  </si>
  <si>
    <t>FontFilePathBold</t>
    <phoneticPr fontId="2" type="noConversion"/>
  </si>
  <si>
    <t>语言</t>
    <phoneticPr fontId="2" type="noConversion"/>
  </si>
  <si>
    <t>字体文件路径</t>
    <phoneticPr fontId="2" type="noConversion"/>
  </si>
  <si>
    <t>粗体文件路径</t>
    <phoneticPr fontId="2" type="noConversion"/>
  </si>
  <si>
    <t>autoScale</t>
    <phoneticPr fontId="2" type="noConversion"/>
  </si>
  <si>
    <t>自动缩放</t>
    <phoneticPr fontId="2" type="noConversion"/>
  </si>
  <si>
    <t>localeResolution_index</t>
    <phoneticPr fontId="2" type="noConversion"/>
  </si>
  <si>
    <t>resolution_index</t>
    <phoneticPr fontId="2" type="noConversion"/>
  </si>
  <si>
    <t>screenHeight</t>
    <phoneticPr fontId="2" type="noConversion"/>
  </si>
  <si>
    <t>fontSize</t>
    <phoneticPr fontId="2" type="noConversion"/>
  </si>
  <si>
    <t>outlineSize</t>
    <phoneticPr fontId="2" type="noConversion"/>
  </si>
  <si>
    <t>shadowDepthX</t>
    <phoneticPr fontId="2" type="noConversion"/>
  </si>
  <si>
    <t>shadowDepthY</t>
    <phoneticPr fontId="2" type="noConversion"/>
  </si>
  <si>
    <t>分辨率语言方案序号</t>
    <phoneticPr fontId="2" type="noConversion"/>
  </si>
  <si>
    <t>分辨率方案序号</t>
    <phoneticPr fontId="2" type="noConversion"/>
  </si>
  <si>
    <t>屏幕高度</t>
    <phoneticPr fontId="2" type="noConversion"/>
  </si>
  <si>
    <t>字体大小</t>
    <phoneticPr fontId="2" type="noConversion"/>
  </si>
  <si>
    <t>轮廓大小</t>
    <phoneticPr fontId="2" type="noConversion"/>
  </si>
  <si>
    <t>阴影横坐标</t>
    <phoneticPr fontId="2" type="noConversion"/>
  </si>
  <si>
    <t>阴影纵坐标</t>
    <phoneticPr fontId="2" type="noConversion"/>
  </si>
  <si>
    <t>displayName</t>
    <phoneticPr fontId="2" type="noConversion"/>
  </si>
  <si>
    <t>variant displayName</t>
    <phoneticPr fontId="2" type="noConversion"/>
  </si>
  <si>
    <t>variant {75000be4}</t>
    <phoneticPr fontId="2" type="noConversion"/>
  </si>
  <si>
    <t>variant WEIGHT</t>
    <phoneticPr fontId="2" type="noConversion"/>
  </si>
  <si>
    <t>variant Style</t>
    <phoneticPr fontId="2" type="noConversion"/>
  </si>
  <si>
    <t>变体显示名</t>
    <phoneticPr fontId="2" type="noConversion"/>
  </si>
  <si>
    <t>变体文件路径</t>
    <phoneticPr fontId="2" type="noConversion"/>
  </si>
  <si>
    <t>字体显示名</t>
    <phoneticPr fontId="2" type="noConversion"/>
  </si>
  <si>
    <t>变体权重</t>
    <phoneticPr fontId="2" type="noConversion"/>
  </si>
  <si>
    <t>变体样式</t>
    <phoneticPr fontId="2" type="noConversion"/>
  </si>
  <si>
    <t>variant_index</t>
    <phoneticPr fontId="2" type="noConversion"/>
  </si>
  <si>
    <t>变体序号</t>
    <phoneticPr fontId="2" type="noConversion"/>
  </si>
  <si>
    <t>PathHashToSelf</t>
    <phoneticPr fontId="2" type="noConversion"/>
  </si>
  <si>
    <t>tag</t>
    <phoneticPr fontId="2" type="noConversion"/>
  </si>
  <si>
    <t>bold</t>
    <phoneticPr fontId="2" type="noConversion"/>
  </si>
  <si>
    <t>italics</t>
    <phoneticPr fontId="2" type="noConversion"/>
  </si>
  <si>
    <t>underline</t>
    <phoneticPr fontId="2" type="noConversion"/>
  </si>
  <si>
    <t>路径检索字符串</t>
    <phoneticPr fontId="2" type="noConversion"/>
  </si>
  <si>
    <t>CSS样式</t>
    <phoneticPr fontId="2" type="noConversion"/>
  </si>
  <si>
    <t>加粗</t>
    <phoneticPr fontId="2" type="noConversion"/>
  </si>
  <si>
    <t>斜体</t>
    <phoneticPr fontId="2" type="noConversion"/>
  </si>
  <si>
    <t>下划线</t>
    <phoneticPr fontId="2" type="noConversion"/>
  </si>
  <si>
    <t>修饰符标签</t>
    <phoneticPr fontId="2" type="noConversion"/>
  </si>
  <si>
    <t>texture</t>
    <phoneticPr fontId="2" type="noConversion"/>
  </si>
  <si>
    <t>纹理路径</t>
    <phoneticPr fontId="2" type="noConversion"/>
  </si>
  <si>
    <t>纵坐标偏移量</t>
    <phoneticPr fontId="2" type="noConversion"/>
  </si>
  <si>
    <t>localeType_index</t>
    <phoneticPr fontId="2" type="noConversion"/>
  </si>
  <si>
    <t>语言配置类型序号</t>
    <phoneticPr fontId="2" type="noConversion"/>
  </si>
  <si>
    <t>YAdjustment</t>
    <phoneticPr fontId="2" type="noConversion"/>
  </si>
  <si>
    <t>次级稀有度</t>
    <phoneticPr fontId="2" type="noConversion"/>
  </si>
  <si>
    <t>不占用栏位</t>
    <phoneticPr fontId="2" type="noConversion"/>
  </si>
  <si>
    <t>ModifierId</t>
    <phoneticPr fontId="2" type="noConversion"/>
  </si>
  <si>
    <t>修饰名称</t>
    <phoneticPr fontId="2" type="noConversion"/>
  </si>
  <si>
    <t>{30b1d74a}</t>
    <phoneticPr fontId="2" type="noConversion"/>
  </si>
  <si>
    <t>{ab0ba193}</t>
    <phoneticPr fontId="2" type="noConversion"/>
  </si>
  <si>
    <t>{9346bce8}</t>
    <phoneticPr fontId="2" type="noConversion"/>
  </si>
  <si>
    <t>{629a3429}</t>
    <phoneticPr fontId="2" type="noConversion"/>
  </si>
  <si>
    <t>{6fd14d4c}</t>
    <phoneticPr fontId="2" type="noConversion"/>
  </si>
  <si>
    <t>抬头键</t>
    <phoneticPr fontId="2" type="noConversion"/>
  </si>
  <si>
    <t>修饰水印路径</t>
    <phoneticPr fontId="2" type="noConversion"/>
  </si>
  <si>
    <t>{ab0ba193}_content_zh</t>
    <phoneticPr fontId="2" type="noConversion"/>
  </si>
  <si>
    <t>{ab0ba193}_content_en</t>
    <phoneticPr fontId="2" type="noConversion"/>
  </si>
  <si>
    <t>附加文本键</t>
    <phoneticPr fontId="2" type="noConversion"/>
  </si>
  <si>
    <t>{629a3429}_content_zh</t>
    <phoneticPr fontId="2" type="noConversion"/>
  </si>
  <si>
    <t>{629a3429}_content_en</t>
    <phoneticPr fontId="2" type="noConversion"/>
  </si>
  <si>
    <t>抬头（中文）</t>
    <phoneticPr fontId="2" type="noConversion"/>
  </si>
  <si>
    <t>抬头（英文）</t>
    <phoneticPr fontId="2" type="noConversion"/>
  </si>
  <si>
    <t>附加文本（中文）</t>
    <phoneticPr fontId="2" type="noConversion"/>
  </si>
  <si>
    <t>附加文本（英文）</t>
    <phoneticPr fontId="2" type="noConversion"/>
  </si>
  <si>
    <t>{629a3429}_content_zh_burn</t>
    <phoneticPr fontId="2" type="noConversion"/>
  </si>
  <si>
    <t>{629a3429}_content_en_burn</t>
    <phoneticPr fontId="2" type="noConversion"/>
  </si>
  <si>
    <t>附加文本（中文/去格式化）</t>
    <phoneticPr fontId="2" type="noConversion"/>
  </si>
  <si>
    <t>附加文本（英文/去格式化）</t>
    <phoneticPr fontId="2" type="noConversion"/>
  </si>
  <si>
    <t>所属地图序号</t>
    <phoneticPr fontId="2" type="noConversion"/>
  </si>
  <si>
    <t>belonging_mapId</t>
    <phoneticPr fontId="2" type="noConversion"/>
  </si>
  <si>
    <t>{ab0ba193}_content_zh_burn</t>
    <phoneticPr fontId="2" type="noConversion"/>
  </si>
  <si>
    <t>{ab0ba193}_content_en_burn</t>
    <phoneticPr fontId="2" type="noConversion"/>
  </si>
  <si>
    <t>抬头（中文/去格式化）</t>
    <phoneticPr fontId="2" type="noConversion"/>
  </si>
  <si>
    <t>抬头（英文/去格式化）</t>
    <phoneticPr fontId="2" type="noConversion"/>
  </si>
  <si>
    <t>mSpell mClientData mTooltipData mLocKeys keyKaynHackValue_content_zh_burn</t>
    <phoneticPr fontId="2" type="noConversion"/>
  </si>
  <si>
    <t>mSpell mClientData mTooltipData mLocKeys keyKaynHackValue_content_en_burn</t>
    <phoneticPr fontId="2" type="noConversion"/>
  </si>
  <si>
    <t>凯隐特有升级数值（中文/数值转换）</t>
    <phoneticPr fontId="2" type="noConversion"/>
  </si>
  <si>
    <t>凯隐特有升级数值（英文/数值转换）</t>
    <phoneticPr fontId="2" type="noConversion"/>
  </si>
  <si>
    <t>mSpell mClientData mTooltipData mLocKeys keyKaynHackType_content_zh_burn</t>
    <phoneticPr fontId="2" type="noConversion"/>
  </si>
  <si>
    <t>mSpell mClientData mTooltipData mLocKeys keyKaynHackType_content_en_burn</t>
    <phoneticPr fontId="2" type="noConversion"/>
  </si>
  <si>
    <t>凯隐特有升级类型（中文/数值转换）</t>
    <phoneticPr fontId="2" type="noConversion"/>
  </si>
  <si>
    <t>凯隐特有升级类型（英文/数值转换）</t>
    <phoneticPr fontId="2" type="noConversion"/>
  </si>
  <si>
    <t>{e3a02eac}</t>
    <phoneticPr fontId="2" type="noConversion"/>
  </si>
  <si>
    <t>任务线主键</t>
    <phoneticPr fontId="2" type="noConversion"/>
  </si>
  <si>
    <t>技能重载</t>
    <phoneticPr fontId="2" type="noConversion"/>
  </si>
  <si>
    <t>{bc1b3d88}</t>
  </si>
  <si>
    <t>QuestName</t>
  </si>
  <si>
    <t>{4796bf5f}</t>
  </si>
  <si>
    <t>{c88f1a9b}</t>
  </si>
  <si>
    <t>{ee2e0dbc}</t>
  </si>
  <si>
    <t>{09d67381}</t>
  </si>
  <si>
    <t>{06b06978} texturePath</t>
    <phoneticPr fontId="2" type="noConversion"/>
  </si>
  <si>
    <t>questline {bc1b3d88}</t>
    <phoneticPr fontId="2" type="noConversion"/>
  </si>
  <si>
    <t>questline QuestName</t>
    <phoneticPr fontId="2" type="noConversion"/>
  </si>
  <si>
    <t>questline {4796bf5f}</t>
    <phoneticPr fontId="2" type="noConversion"/>
  </si>
  <si>
    <t>questline {c88f1a9b}</t>
    <phoneticPr fontId="2" type="noConversion"/>
  </si>
  <si>
    <t>questline {06b06978} texturePath</t>
    <phoneticPr fontId="2" type="noConversion"/>
  </si>
  <si>
    <t>questline {ee2e0dbc}</t>
    <phoneticPr fontId="2" type="noConversion"/>
  </si>
  <si>
    <t>questline Milestones</t>
    <phoneticPr fontId="2" type="noConversion"/>
  </si>
  <si>
    <t>questline {09d67381}</t>
    <phoneticPr fontId="2" type="noConversion"/>
  </si>
  <si>
    <t>任务线名称键</t>
    <phoneticPr fontId="2" type="noConversion"/>
  </si>
  <si>
    <t>任务完成描述键</t>
    <phoneticPr fontId="2" type="noConversion"/>
  </si>
  <si>
    <t>任务栏位图标纹理路径</t>
  </si>
  <si>
    <t>任务栏位图标纹理路径</t>
    <phoneticPr fontId="2" type="noConversion"/>
  </si>
  <si>
    <t>相关强化符文</t>
    <phoneticPr fontId="2" type="noConversion"/>
  </si>
  <si>
    <t>任务线代码</t>
    <phoneticPr fontId="2" type="noConversion"/>
  </si>
  <si>
    <t>questline {4796bf5f}_content_zh</t>
    <phoneticPr fontId="2" type="noConversion"/>
  </si>
  <si>
    <t>questline {4796bf5f}_content_en</t>
    <phoneticPr fontId="2" type="noConversion"/>
  </si>
  <si>
    <t>任务线对应强化符文名称（中文）</t>
    <phoneticPr fontId="2" type="noConversion"/>
  </si>
  <si>
    <t>任务线对应强化符文名称（英文）</t>
    <phoneticPr fontId="2" type="noConversion"/>
  </si>
  <si>
    <t>questline {c88f1a9b}_content_zh</t>
    <phoneticPr fontId="2" type="noConversion"/>
  </si>
  <si>
    <t>questline {c88f1a9b}_content_zh_burn</t>
    <phoneticPr fontId="2" type="noConversion"/>
  </si>
  <si>
    <t>任务完成描述（中文）</t>
  </si>
  <si>
    <t>任务完成描述（中文）</t>
    <phoneticPr fontId="2" type="noConversion"/>
  </si>
  <si>
    <t>任务完成描述（中文/数值转换）</t>
  </si>
  <si>
    <t>任务完成描述（中文/数值转换）</t>
    <phoneticPr fontId="2" type="noConversion"/>
  </si>
  <si>
    <t>questline {c88f1a9b}_content_en</t>
    <phoneticPr fontId="2" type="noConversion"/>
  </si>
  <si>
    <t>questline {c88f1a9b}_content_en_burn</t>
    <phoneticPr fontId="2" type="noConversion"/>
  </si>
  <si>
    <t>任务完成描述（英文）</t>
  </si>
  <si>
    <t>任务完成描述（英文）</t>
    <phoneticPr fontId="2" type="noConversion"/>
  </si>
  <si>
    <t>任务完成描述（英文/数值转换）</t>
  </si>
  <si>
    <t>任务完成描述（英文/数值转换）</t>
    <phoneticPr fontId="2" type="noConversion"/>
  </si>
  <si>
    <t>任务线里程信息</t>
    <phoneticPr fontId="2" type="noConversion"/>
  </si>
  <si>
    <t>Milestone_index</t>
    <phoneticPr fontId="2" type="noConversion"/>
  </si>
  <si>
    <t>Milestone {7fec0982}</t>
    <phoneticPr fontId="2" type="noConversion"/>
  </si>
  <si>
    <t>Milestone {03d6a5a2}</t>
    <phoneticPr fontId="2" type="noConversion"/>
  </si>
  <si>
    <t>{4796bf5f}_content_zh</t>
    <phoneticPr fontId="2" type="noConversion"/>
  </si>
  <si>
    <t>{4796bf5f}_content_en</t>
    <phoneticPr fontId="2" type="noConversion"/>
  </si>
  <si>
    <t>任务代码</t>
    <phoneticPr fontId="2" type="noConversion"/>
  </si>
  <si>
    <t>任务线名称（中文）</t>
    <phoneticPr fontId="2" type="noConversion"/>
  </si>
  <si>
    <t>任务线名称（英文）</t>
    <phoneticPr fontId="2" type="noConversion"/>
  </si>
  <si>
    <t>Milestone {03d6a5a2}_content_zh</t>
    <phoneticPr fontId="2" type="noConversion"/>
  </si>
  <si>
    <t>Milestone {03d6a5a2}_content_en</t>
    <phoneticPr fontId="2" type="noConversion"/>
  </si>
  <si>
    <t>里程序号</t>
    <phoneticPr fontId="2" type="noConversion"/>
  </si>
  <si>
    <t>里程点</t>
    <phoneticPr fontId="2" type="noConversion"/>
  </si>
  <si>
    <t>里程说明文本（中文）</t>
    <phoneticPr fontId="2" type="noConversion"/>
  </si>
  <si>
    <t>Milestone {03d6a5a2}_content_zh_burn</t>
    <phoneticPr fontId="2" type="noConversion"/>
  </si>
  <si>
    <t>里程说明文本（中文/数值转换）</t>
    <phoneticPr fontId="2" type="noConversion"/>
  </si>
  <si>
    <t>Milestone {03d6a5a2}_content_en_burn</t>
    <phoneticPr fontId="2" type="noConversion"/>
  </si>
  <si>
    <t>里程说明文本（英文）</t>
    <phoneticPr fontId="2" type="noConversion"/>
  </si>
  <si>
    <t>里程说明文本（英文/数值转换）</t>
    <phoneticPr fontId="2" type="noConversion"/>
  </si>
  <si>
    <t>里程说明文本键</t>
    <phoneticPr fontId="2" type="noConversion"/>
  </si>
  <si>
    <t>{c88f1a9b}_content_zh</t>
    <phoneticPr fontId="2" type="noConversion"/>
  </si>
  <si>
    <t>{c88f1a9b}_content_zh_burn</t>
    <phoneticPr fontId="2" type="noConversion"/>
  </si>
  <si>
    <t>{c88f1a9b}_content_en</t>
    <phoneticPr fontId="2" type="noConversion"/>
  </si>
  <si>
    <t>{c88f1a9b}_content_en_burn</t>
    <phoneticPr fontId="2" type="noConversion"/>
  </si>
  <si>
    <t>augment AugmentPlatformId</t>
    <phoneticPr fontId="2" type="noConversion"/>
  </si>
  <si>
    <t>任务线相关强化符文</t>
    <phoneticPr fontId="2" type="noConversion"/>
  </si>
  <si>
    <t>questline {c504ece0}</t>
    <phoneticPr fontId="2" type="noConversion"/>
  </si>
  <si>
    <t>{c504ece0}</t>
    <phoneticPr fontId="2" type="noConversion"/>
  </si>
  <si>
    <t>{34cdd819}</t>
    <phoneticPr fontId="2" type="noConversion"/>
  </si>
  <si>
    <t>Script</t>
    <phoneticPr fontId="2" type="noConversion"/>
  </si>
  <si>
    <t>脚本主键</t>
    <phoneticPr fontId="2" type="noConversion"/>
  </si>
  <si>
    <t>mSpell {11704a2b}</t>
    <phoneticPr fontId="2" type="noConversion"/>
  </si>
  <si>
    <t>mSpell {f26881a0}</t>
    <phoneticPr fontId="2" type="noConversion"/>
  </si>
  <si>
    <t>mSpell mMissileEffectEnemyName</t>
    <phoneticPr fontId="2" type="noConversion"/>
  </si>
  <si>
    <t>mSpell mMissileEffectPlayerName</t>
    <phoneticPr fontId="2" type="noConversion"/>
  </si>
  <si>
    <t>mSpell mHitEffectPlayerName</t>
    <phoneticPr fontId="2" type="noConversion"/>
  </si>
  <si>
    <t>mSpell mMissileSpec movementComponent {ff738f10}</t>
    <phoneticPr fontId="2" type="noConversion"/>
  </si>
  <si>
    <t>mSpell mMissileSpec movementComponent mStartDelay</t>
    <phoneticPr fontId="2" type="noConversion"/>
  </si>
  <si>
    <t>mSpell mMissileSpec movementComponent scale</t>
    <phoneticPr fontId="2" type="noConversion"/>
  </si>
  <si>
    <t>mSpell mMissileSpec movementComponent {e327bf8b}</t>
    <phoneticPr fontId="2" type="noConversion"/>
  </si>
  <si>
    <t>mSpell {abe507b9}</t>
    <phoneticPr fontId="2" type="noConversion"/>
  </si>
  <si>
    <t>mSpell AudioBankPaths</t>
    <phoneticPr fontId="2" type="noConversion"/>
  </si>
  <si>
    <t>mSpell mHitEffectPlayerKey</t>
    <phoneticPr fontId="2" type="noConversion"/>
  </si>
  <si>
    <t>mSpell mAIData mSpeed</t>
    <phoneticPr fontId="2" type="noConversion"/>
  </si>
  <si>
    <t>mSpell mAIData mRange</t>
    <phoneticPr fontId="2" type="noConversion"/>
  </si>
  <si>
    <t>mSpell mAIData mBlockLevel</t>
    <phoneticPr fontId="2" type="noConversion"/>
  </si>
  <si>
    <t>mSpell mVOEventCategory</t>
    <phoneticPr fontId="2" type="noConversion"/>
  </si>
  <si>
    <t>mSpell mClientData mTooltipData mLocKeys keyPickChoiceName</t>
    <phoneticPr fontId="2" type="noConversion"/>
  </si>
  <si>
    <t>mSpell mClientData mTooltipData mLocKeys keyPickChoiceName_content_zh</t>
    <phoneticPr fontId="2" type="noConversion"/>
  </si>
  <si>
    <t>mSpell mClientData mTooltipData mLocKeys keyPickChoiceName_content_en</t>
    <phoneticPr fontId="2" type="noConversion"/>
  </si>
  <si>
    <t>mSpell mClientData AddAdditionalReticleIfRequiredForGameMode</t>
    <phoneticPr fontId="2" type="noConversion"/>
  </si>
  <si>
    <t>mBuff mTooltipData EnableExtendedTooltip</t>
    <phoneticPr fontId="2" type="noConversion"/>
  </si>
  <si>
    <t>mBuff mTooltipData mLocKeys keyCooldown</t>
    <phoneticPr fontId="2" type="noConversion"/>
  </si>
  <si>
    <t>mBuff mTooltipData mLocKeys keyCooldown_content_en</t>
    <phoneticPr fontId="2" type="noConversion"/>
  </si>
  <si>
    <t>mBuff mTooltipData mLocKeys keyCooldown_content_zh</t>
    <phoneticPr fontId="2" type="noConversion"/>
  </si>
  <si>
    <t>BotData DamageTag</t>
    <phoneticPr fontId="2" type="noConversion"/>
  </si>
  <si>
    <t>BotData {6d548702}</t>
    <phoneticPr fontId="2" type="noConversion"/>
  </si>
  <si>
    <t>BotData {ec17e271}</t>
    <phoneticPr fontId="2" type="noConversion"/>
  </si>
  <si>
    <t>BotData {38382c53}</t>
    <phoneticPr fontId="2" type="noConversion"/>
  </si>
  <si>
    <t>BotData {591f8423}</t>
    <phoneticPr fontId="2" type="noConversion"/>
  </si>
  <si>
    <t>mSpell mAnimationLeadOutName</t>
    <phoneticPr fontId="2" type="noConversion"/>
  </si>
  <si>
    <t>收尾动画名称</t>
    <phoneticPr fontId="2" type="noConversion"/>
  </si>
  <si>
    <t>mSpell Cooldown values</t>
    <phoneticPr fontId="2" type="noConversion"/>
  </si>
  <si>
    <t>mSpell Cooldown {0a3e0478}</t>
    <phoneticPr fontId="2" type="noConversion"/>
  </si>
  <si>
    <t>基础冷却时间值</t>
    <phoneticPr fontId="2" type="noConversion"/>
  </si>
  <si>
    <t>基础冷却时间值简化表示</t>
    <phoneticPr fontId="2" type="noConversion"/>
  </si>
  <si>
    <t>mSpell {0e1136d1} values</t>
    <phoneticPr fontId="2" type="noConversion"/>
  </si>
  <si>
    <t>施法范围值</t>
    <phoneticPr fontId="2" type="noConversion"/>
  </si>
  <si>
    <t>mSpell {0e1136d1} {0a3e0478}</t>
    <phoneticPr fontId="2" type="noConversion"/>
  </si>
  <si>
    <t>施法范围值简化表示</t>
    <phoneticPr fontId="2" type="noConversion"/>
  </si>
  <si>
    <t>弹体移动要素：起始延迟</t>
    <phoneticPr fontId="2" type="noConversion"/>
  </si>
  <si>
    <t>弹体移动要素：缩放比例</t>
    <phoneticPr fontId="2" type="noConversion"/>
  </si>
  <si>
    <t>玩家弹体特效名称</t>
    <phoneticPr fontId="2" type="noConversion"/>
  </si>
  <si>
    <t>敌方弹体特效名称</t>
    <phoneticPr fontId="2" type="noConversion"/>
  </si>
  <si>
    <t>音频库单元路径列表</t>
    <phoneticPr fontId="2" type="noConversion"/>
  </si>
  <si>
    <t>玩家命中效果键</t>
    <phoneticPr fontId="2" type="noConversion"/>
  </si>
  <si>
    <t>海克斯核心键</t>
    <phoneticPr fontId="2" type="noConversion"/>
  </si>
  <si>
    <t>玩家命中效果名称</t>
    <phoneticPr fontId="2" type="noConversion"/>
  </si>
  <si>
    <t>mSpell {210f9ec0} values</t>
    <phoneticPr fontId="2" type="noConversion"/>
  </si>
  <si>
    <t>mSpell {210f9ec0} {0a3e0478}</t>
    <phoneticPr fontId="2" type="noConversion"/>
  </si>
  <si>
    <t>法力值消耗值</t>
    <phoneticPr fontId="2" type="noConversion"/>
  </si>
  <si>
    <t>法力值消耗值简化表示</t>
    <phoneticPr fontId="2" type="noConversion"/>
  </si>
  <si>
    <t>人工智能数据：响应速度</t>
    <phoneticPr fontId="2" type="noConversion"/>
  </si>
  <si>
    <t>人工智能数据：威胁范围</t>
    <phoneticPr fontId="2" type="noConversion"/>
  </si>
  <si>
    <t>人工智能数据：封锁等级</t>
    <phoneticPr fontId="2" type="noConversion"/>
  </si>
  <si>
    <t>音频事件类别</t>
    <phoneticPr fontId="2" type="noConversion"/>
  </si>
  <si>
    <t>选用名称键</t>
    <phoneticPr fontId="2" type="noConversion"/>
  </si>
  <si>
    <t>选用名称（中文）</t>
    <phoneticPr fontId="2" type="noConversion"/>
  </si>
  <si>
    <t>选用名称（英文）</t>
    <phoneticPr fontId="2" type="noConversion"/>
  </si>
  <si>
    <t>具有模式专属瞄准指示器</t>
    <phoneticPr fontId="2" type="noConversion"/>
  </si>
  <si>
    <t>增益扩展说明文本可用性</t>
    <phoneticPr fontId="2" type="noConversion"/>
  </si>
  <si>
    <t>增益冷却时间键</t>
    <phoneticPr fontId="2" type="noConversion"/>
  </si>
  <si>
    <t>增益冷却时间（中文）</t>
    <phoneticPr fontId="2" type="noConversion"/>
  </si>
  <si>
    <t>增益冷却时间（英文）</t>
    <phoneticPr fontId="2" type="noConversion"/>
  </si>
  <si>
    <t>mBuff mTooltipData mLocKeys keyCooldown_content_zh_burn</t>
    <phoneticPr fontId="2" type="noConversion"/>
  </si>
  <si>
    <t>mBuff mTooltipData mLocKeys keyCooldown_content_en_burn</t>
    <phoneticPr fontId="2" type="noConversion"/>
  </si>
  <si>
    <t>增益冷却时间（中文/数值转换）</t>
    <phoneticPr fontId="2" type="noConversion"/>
  </si>
  <si>
    <t>增益冷却时间（英文/数值转换）</t>
    <phoneticPr fontId="2" type="noConversion"/>
  </si>
  <si>
    <t>电脑数据重载 伤害标签</t>
    <phoneticPr fontId="2" type="noConversion"/>
  </si>
  <si>
    <t>电脑数据重载 公式计算</t>
    <phoneticPr fontId="2" type="noConversion"/>
  </si>
  <si>
    <t>电脑数据重载 效应因子计算</t>
    <phoneticPr fontId="2" type="noConversion"/>
  </si>
  <si>
    <t>rootAbility_key</t>
    <phoneticPr fontId="2" type="noConversion"/>
  </si>
  <si>
    <t>rootAbility_AbilityTraits</t>
    <phoneticPr fontId="2" type="noConversion"/>
  </si>
  <si>
    <t>isCurrent</t>
    <phoneticPr fontId="2" type="noConversion"/>
  </si>
  <si>
    <t>isClassic</t>
    <phoneticPr fontId="2" type="noConversion"/>
  </si>
  <si>
    <t>belonging_perkstyle_key</t>
    <phoneticPr fontId="2" type="noConversion"/>
  </si>
  <si>
    <t>belonging_perkstyle mDisplayNameLocalizationKey_content_zh</t>
    <phoneticPr fontId="2" type="noConversion"/>
  </si>
  <si>
    <t>belonging_perkstyle mDisplayNameLocalizationKey_content_en</t>
    <phoneticPr fontId="2" type="noConversion"/>
  </si>
  <si>
    <t>所属符文系主键</t>
    <phoneticPr fontId="2" type="noConversion"/>
  </si>
  <si>
    <t>所属符文系显示名（中文）</t>
    <phoneticPr fontId="2" type="noConversion"/>
  </si>
  <si>
    <t>所属符文系显示名（英文）</t>
    <phoneticPr fontId="2" type="noConversion"/>
  </si>
  <si>
    <t>belonging_perkstyle_slotIndex</t>
    <phoneticPr fontId="2" type="noConversion"/>
  </si>
  <si>
    <t>所属符文系槽位序号</t>
    <phoneticPr fontId="2" type="noConversion"/>
  </si>
  <si>
    <t>PhaseNumber</t>
    <phoneticPr fontId="2" type="noConversion"/>
  </si>
  <si>
    <t>PhaseKey</t>
    <phoneticPr fontId="2" type="noConversion"/>
  </si>
  <si>
    <t>DisplayNameTra_content_zh</t>
  </si>
  <si>
    <t>DisplayNameTra_content_en</t>
  </si>
  <si>
    <t>阶段数</t>
    <phoneticPr fontId="2" type="noConversion"/>
  </si>
  <si>
    <t>阶段主键</t>
    <phoneticPr fontId="2" type="noConversion"/>
  </si>
  <si>
    <t>显示名键</t>
  </si>
  <si>
    <t>即将到来的事件缩略图路径</t>
  </si>
  <si>
    <t>显示名（中文）</t>
  </si>
  <si>
    <t>显示名（英文）</t>
  </si>
  <si>
    <t>第一次闪烁倒计时</t>
  </si>
  <si>
    <t>第二次闪烁倒计时</t>
  </si>
  <si>
    <t>时间轴默认颜色方案</t>
  </si>
  <si>
    <t>subPhase number</t>
  </si>
  <si>
    <t>subPhase type</t>
  </si>
  <si>
    <t>subPhase duration</t>
  </si>
  <si>
    <t>subPhase FlashOnTimeRemaining</t>
  </si>
  <si>
    <t>subPhase SecondFlashOnTimeRemaining</t>
  </si>
  <si>
    <t>subPhase TimerBarDefaultColor</t>
  </si>
  <si>
    <t>subPhase number</t>
    <phoneticPr fontId="2" type="noConversion"/>
  </si>
  <si>
    <t>subPhase type</t>
    <phoneticPr fontId="2" type="noConversion"/>
  </si>
  <si>
    <t>subPhase duration</t>
    <phoneticPr fontId="2" type="noConversion"/>
  </si>
  <si>
    <t>subPhase FlashOnTimeRemaining</t>
    <phoneticPr fontId="2" type="noConversion"/>
  </si>
  <si>
    <t>subPhase SecondFlashOnTimeRemaining</t>
    <phoneticPr fontId="2" type="noConversion"/>
  </si>
  <si>
    <t>subPhase TimerBarDefaultColor</t>
    <phoneticPr fontId="2" type="noConversion"/>
  </si>
  <si>
    <t>正在发生的事件缩略图路径</t>
    <phoneticPr fontId="2" type="noConversion"/>
  </si>
  <si>
    <t>已经完成的事件缩略图路径</t>
    <phoneticPr fontId="2" type="noConversion"/>
  </si>
  <si>
    <t>子阶段序号</t>
    <phoneticPr fontId="2" type="noConversion"/>
  </si>
  <si>
    <t>子阶段类型</t>
    <phoneticPr fontId="2" type="noConversion"/>
  </si>
  <si>
    <t>子阶段持续时间（秒）</t>
    <phoneticPr fontId="2" type="noConversion"/>
  </si>
  <si>
    <t>根指令主键</t>
    <phoneticPr fontId="2" type="noConversion"/>
  </si>
  <si>
    <t>其它指令主键列表</t>
    <phoneticPr fontId="2" type="noConversion"/>
  </si>
  <si>
    <t>存在于经典模式版</t>
    <phoneticPr fontId="2" type="noConversion"/>
  </si>
  <si>
    <t>存在于现代版</t>
    <phoneticPr fontId="2" type="noConversion"/>
  </si>
  <si>
    <t>EncounterList Distributions names</t>
  </si>
  <si>
    <t>{876a220d} Boards</t>
  </si>
  <si>
    <t>eventKey</t>
    <phoneticPr fontId="2" type="noConversion"/>
  </si>
  <si>
    <t>事件主键</t>
    <phoneticPr fontId="2" type="noConversion"/>
  </si>
  <si>
    <t>GoHKey</t>
    <phoneticPr fontId="2" type="noConversion"/>
  </si>
  <si>
    <t>嘉宾主键</t>
    <phoneticPr fontId="2" type="noConversion"/>
  </si>
  <si>
    <t>{fb33ef71}</t>
    <phoneticPr fontId="2" type="noConversion"/>
  </si>
  <si>
    <t>视觉特效资源映射字典</t>
  </si>
  <si>
    <t>代号</t>
    <phoneticPr fontId="2" type="noConversion"/>
  </si>
  <si>
    <t>DefaultTra title</t>
  </si>
  <si>
    <t>DefaultTra Subtitle</t>
  </si>
  <si>
    <t>DefaultTra {bff2f361}</t>
  </si>
  <si>
    <t>DefaultTra {3b7aa707}</t>
  </si>
  <si>
    <t>DefaultTra title_content_zh</t>
  </si>
  <si>
    <t>DefaultTra title_content_en</t>
  </si>
  <si>
    <t>DefaultTra Subtitle_content_zh</t>
  </si>
  <si>
    <t>DefaultTra Subtitle_content_en</t>
  </si>
  <si>
    <t>DefaultTra {bff2f361}_content_zh</t>
  </si>
  <si>
    <t>DefaultTra {bff2f361}_content_en</t>
  </si>
  <si>
    <t>DefaultTra {3b7aa707}_content_zh</t>
  </si>
  <si>
    <t>DefaultTra {3b7aa707}_content_en</t>
  </si>
  <si>
    <t>DefaultTra {3b7aa707}_content_zh_burn</t>
  </si>
  <si>
    <t>DefaultTra {3b7aa707}_content_en_burn</t>
  </si>
  <si>
    <t>EventIconPath</t>
  </si>
  <si>
    <t>事件图标主键</t>
    <phoneticPr fontId="2" type="noConversion"/>
  </si>
  <si>
    <t>QuestData Quest</t>
  </si>
  <si>
    <t>AdditionalSpells</t>
  </si>
  <si>
    <t>AdditionalSpells_Object</t>
  </si>
  <si>
    <t>AdditionalSpells_object</t>
  </si>
  <si>
    <t>PveData</t>
  </si>
  <si>
    <t>PveData Comps</t>
  </si>
  <si>
    <t>PveData {bd2edcd7}</t>
  </si>
  <si>
    <t>PveData Comps names</t>
  </si>
  <si>
    <t>AdditionalBankUnits</t>
  </si>
  <si>
    <t>AdditionalBankUnits bankUnits</t>
  </si>
  <si>
    <t>RegionPortalList</t>
  </si>
  <si>
    <t>RegionPortalList RegionPortals RegionTra_contents_zh</t>
  </si>
  <si>
    <t>RegionPortalList RegionPortals RegionTra_contents_en</t>
  </si>
  <si>
    <t>RegionPortalList {48a30fbc}</t>
  </si>
  <si>
    <t>CarouselMapSkin</t>
  </si>
  <si>
    <t>CarouselMapSkin name</t>
  </si>
  <si>
    <t>CarouselMapSkin mMapContainerLink</t>
  </si>
  <si>
    <t>CarouselMapSkin mMinimapBackgroundConfig mDefaultTextureName</t>
  </si>
  <si>
    <t>CarouselMapSkin mWorldParticlesINI</t>
  </si>
  <si>
    <t>CarouselMapSkin mGrassTintTexture</t>
  </si>
  <si>
    <t>CarouselMapSkin mResourceResolvers</t>
  </si>
  <si>
    <t>CustomShopTooltip</t>
  </si>
  <si>
    <t>CustomShopTooltip name</t>
  </si>
  <si>
    <t>CustomShopTooltip TitleTra</t>
  </si>
  <si>
    <t>CustomShopTooltip SubtitleTra</t>
  </si>
  <si>
    <t>CustomShopTooltip DescriptionTra</t>
  </si>
  <si>
    <t>CustomShopTooltip TitleTra_content_zh</t>
  </si>
  <si>
    <t>CustomShopTooltip TitleTra_content_en</t>
  </si>
  <si>
    <t>CustomShopTooltip SubtitleTra_content_zh</t>
  </si>
  <si>
    <t>CustomShopTooltip SubtitleTra_content_en</t>
  </si>
  <si>
    <t>CustomShopTooltip DescriptionTra_content_zh</t>
  </si>
  <si>
    <t>CustomShopTooltip DescriptionTra_content_en</t>
  </si>
  <si>
    <t>CustomShopTooltip DescriptionTra_content_zh_burn</t>
  </si>
  <si>
    <t>CustomShopTooltip DescriptionTra_content_en_burn</t>
  </si>
  <si>
    <t>TeamPlannerSetData</t>
  </si>
  <si>
    <t>ItemTagData {24d36c27} TRAKey</t>
  </si>
  <si>
    <t>ItemTagData {ee609993} TRAKey</t>
  </si>
  <si>
    <t>ItemTagData {8fba48a3} TRAKey</t>
  </si>
  <si>
    <t>ItemTagData {382a7131} TRAKey</t>
  </si>
  <si>
    <t>ItemTagData {8e758f9d} TRAKey</t>
  </si>
  <si>
    <t>ItemTagData {a7b22c38} TRAKey</t>
  </si>
  <si>
    <t>ItemTagData {3754d0ae} TRAKey</t>
  </si>
  <si>
    <t>ItemTagData {807eed8a} TRAKey</t>
  </si>
  <si>
    <t>ItemTagData {24d36c27} TRAKey_content_zh</t>
  </si>
  <si>
    <t>ItemTagData {24d36c27} TRAKey_content_en</t>
  </si>
  <si>
    <t>ItemTagData {ee609993} TRAKey_content_zh</t>
  </si>
  <si>
    <t>ItemTagData {ee609993} TRAKey_content_en</t>
  </si>
  <si>
    <t>ItemTagData {8fba48a3} TRAKey_content_zh</t>
  </si>
  <si>
    <t>ItemTagData {8fba48a3} TRAKey_content_en</t>
  </si>
  <si>
    <t>ItemTagData {382a7131} TRAKey_content_zh</t>
  </si>
  <si>
    <t>ItemTagData {382a7131} TRAKey_content_en</t>
  </si>
  <si>
    <t>ItemTagData {8e758f9d} TRAKey_content_zh</t>
  </si>
  <si>
    <t>ItemTagData {8e758f9d} TRAKey_content_en</t>
  </si>
  <si>
    <t>ItemTagData {a7b22c38} TRAKey_content_zh</t>
  </si>
  <si>
    <t>ItemTagData {a7b22c38} TRAKey_content_en</t>
  </si>
  <si>
    <t>ItemTagData {3754d0ae} TRAKey_content_zh</t>
  </si>
  <si>
    <t>ItemTagData {3754d0ae} TRAKey_content_en</t>
  </si>
  <si>
    <t>ItemTagData {807eed8a} TRAKey_content_zh</t>
  </si>
  <si>
    <t>ItemTagData {807eed8a} TRAKey_content_en</t>
  </si>
  <si>
    <t>questGroup_index</t>
  </si>
  <si>
    <t>questGroup Locked</t>
  </si>
  <si>
    <t>questGroup {5e7167cd}</t>
  </si>
  <si>
    <t>quest_index</t>
    <phoneticPr fontId="2" type="noConversion"/>
  </si>
  <si>
    <t>quest_key</t>
    <phoneticPr fontId="2" type="noConversion"/>
  </si>
  <si>
    <t>objective_index</t>
    <phoneticPr fontId="2" type="noConversion"/>
  </si>
  <si>
    <t>objective statId</t>
    <phoneticPr fontId="2" type="noConversion"/>
  </si>
  <si>
    <t>objective {166f6876}</t>
    <phoneticPr fontId="2" type="noConversion"/>
  </si>
  <si>
    <t>objective DescriptionTraKey</t>
    <phoneticPr fontId="2" type="noConversion"/>
  </si>
  <si>
    <t>目标序号</t>
    <phoneticPr fontId="2" type="noConversion"/>
  </si>
  <si>
    <t>目标统计指标</t>
    <phoneticPr fontId="2" type="noConversion"/>
  </si>
  <si>
    <t>目标完成条件</t>
    <phoneticPr fontId="2" type="noConversion"/>
  </si>
  <si>
    <t>objective DescriptionTraKey_content_zh</t>
    <phoneticPr fontId="2" type="noConversion"/>
  </si>
  <si>
    <t>objective DescriptionTraKey_content_en</t>
    <phoneticPr fontId="2" type="noConversion"/>
  </si>
  <si>
    <t>目标描述键</t>
    <phoneticPr fontId="2" type="noConversion"/>
  </si>
  <si>
    <t>目标描述（中文）</t>
    <phoneticPr fontId="2" type="noConversion"/>
  </si>
  <si>
    <t>目标描述（英文）</t>
    <phoneticPr fontId="2" type="noConversion"/>
  </si>
  <si>
    <t>milestone_index</t>
    <phoneticPr fontId="2" type="noConversion"/>
  </si>
  <si>
    <t>里程碑序号</t>
    <phoneticPr fontId="2" type="noConversion"/>
  </si>
  <si>
    <t>milestone {7fec0982}</t>
    <phoneticPr fontId="2" type="noConversion"/>
  </si>
  <si>
    <t>milestone MilestoneDescriptionTra</t>
    <phoneticPr fontId="2" type="noConversion"/>
  </si>
  <si>
    <t>里程碑数据</t>
    <phoneticPr fontId="2" type="noConversion"/>
  </si>
  <si>
    <t>里程碑描述键</t>
    <phoneticPr fontId="2" type="noConversion"/>
  </si>
  <si>
    <t>milestone MilestoneDescriptionTra_content_zh</t>
    <phoneticPr fontId="2" type="noConversion"/>
  </si>
  <si>
    <t>milestone MilestoneDescriptionTra_content_en</t>
    <phoneticPr fontId="2" type="noConversion"/>
  </si>
  <si>
    <t>里程碑描述（中文）</t>
    <phoneticPr fontId="2" type="noConversion"/>
  </si>
  <si>
    <t>里程碑描述（英文）</t>
    <phoneticPr fontId="2" type="noConversion"/>
  </si>
  <si>
    <t>progression_key</t>
    <phoneticPr fontId="2" type="noConversion"/>
  </si>
  <si>
    <t>进度主键</t>
    <phoneticPr fontId="2" type="noConversion"/>
  </si>
  <si>
    <t>ID</t>
    <phoneticPr fontId="2" type="noConversion"/>
  </si>
  <si>
    <t>CounterDefinitions</t>
    <phoneticPr fontId="2" type="noConversion"/>
  </si>
  <si>
    <t>计数器定义主键列表</t>
    <phoneticPr fontId="2" type="noConversion"/>
  </si>
  <si>
    <t>CounterDefinitions_content</t>
    <phoneticPr fontId="2" type="noConversion"/>
  </si>
  <si>
    <t>计数器定义列表</t>
    <phoneticPr fontId="2" type="noConversion"/>
  </si>
  <si>
    <t>MilestoneDefinition_index</t>
    <phoneticPr fontId="2" type="noConversion"/>
  </si>
  <si>
    <t>MilestoneDefinition_key</t>
    <phoneticPr fontId="2" type="noConversion"/>
  </si>
  <si>
    <t>MilestoneDefinition ID</t>
    <phoneticPr fontId="2" type="noConversion"/>
  </si>
  <si>
    <t>MilestoneDefinition name</t>
    <phoneticPr fontId="2" type="noConversion"/>
  </si>
  <si>
    <t>MilestoneDefinition TriggerValue</t>
    <phoneticPr fontId="2" type="noConversion"/>
  </si>
  <si>
    <t>MilestoneDefinition Counter</t>
    <phoneticPr fontId="2" type="noConversion"/>
  </si>
  <si>
    <t>MilestoneDefinition properties</t>
    <phoneticPr fontId="2" type="noConversion"/>
  </si>
  <si>
    <t>里程碑定义序号</t>
    <phoneticPr fontId="2" type="noConversion"/>
  </si>
  <si>
    <t>里程碑定义主键</t>
    <phoneticPr fontId="2" type="noConversion"/>
  </si>
  <si>
    <t>里程碑识别码</t>
    <phoneticPr fontId="2" type="noConversion"/>
  </si>
  <si>
    <t>里程碑代码</t>
    <phoneticPr fontId="2" type="noConversion"/>
  </si>
  <si>
    <t>里程碑触发值</t>
    <phoneticPr fontId="2" type="noConversion"/>
  </si>
  <si>
    <t>里程碑计数器主键</t>
    <phoneticPr fontId="2" type="noConversion"/>
  </si>
  <si>
    <t>MilestoneDefinition Counter ID</t>
    <phoneticPr fontId="2" type="noConversion"/>
  </si>
  <si>
    <t>MilestoneDefinition Counter name</t>
    <phoneticPr fontId="2" type="noConversion"/>
  </si>
  <si>
    <t>里程碑计数器识别码</t>
    <phoneticPr fontId="2" type="noConversion"/>
  </si>
  <si>
    <t>里程碑计数器代码</t>
    <phoneticPr fontId="2" type="noConversion"/>
  </si>
  <si>
    <t>识别码</t>
    <phoneticPr fontId="2" type="noConversion"/>
  </si>
  <si>
    <t>internalName</t>
    <phoneticPr fontId="2" type="noConversion"/>
  </si>
  <si>
    <t>LocalizedName</t>
  </si>
  <si>
    <t>rewardStrategy</t>
  </si>
  <si>
    <t>celebrationType</t>
  </si>
  <si>
    <t>selectionStrategyConfig minSelectionsAllowed</t>
    <phoneticPr fontId="2" type="noConversion"/>
  </si>
  <si>
    <t>selectionStrategyConfig maxSelectionsAllowed</t>
    <phoneticPr fontId="2" type="noConversion"/>
  </si>
  <si>
    <t>reward_index</t>
    <phoneticPr fontId="2" type="noConversion"/>
  </si>
  <si>
    <t>reward {31c5f01c}</t>
    <phoneticPr fontId="2" type="noConversion"/>
  </si>
  <si>
    <t>reward {d35466b8}</t>
    <phoneticPr fontId="2" type="noConversion"/>
  </si>
  <si>
    <t>reward quantity</t>
    <phoneticPr fontId="2" type="noConversion"/>
  </si>
  <si>
    <t>reward itemID</t>
    <phoneticPr fontId="2" type="noConversion"/>
  </si>
  <si>
    <t>reward {0ba947a2}</t>
    <phoneticPr fontId="2" type="noConversion"/>
  </si>
  <si>
    <t>reward {00fa4f01}</t>
    <phoneticPr fontId="2" type="noConversion"/>
  </si>
  <si>
    <t>reward __type</t>
    <phoneticPr fontId="2" type="noConversion"/>
  </si>
  <si>
    <t>内置名</t>
    <phoneticPr fontId="2" type="noConversion"/>
  </si>
  <si>
    <t>LocalizedName_content_zh</t>
    <phoneticPr fontId="2" type="noConversion"/>
  </si>
  <si>
    <t>LocalizedName_content_en</t>
    <phoneticPr fontId="2" type="noConversion"/>
  </si>
  <si>
    <t>奖励策略</t>
    <phoneticPr fontId="2" type="noConversion"/>
  </si>
  <si>
    <t>reward media image</t>
    <phoneticPr fontId="2" type="noConversion"/>
  </si>
  <si>
    <t>reward media {15c4c3cb}</t>
    <phoneticPr fontId="2" type="noConversion"/>
  </si>
  <si>
    <t>reward {00fa4f01} mInternalName</t>
    <phoneticPr fontId="2" type="noConversion"/>
  </si>
  <si>
    <t>庆祝类型</t>
    <phoneticPr fontId="2" type="noConversion"/>
  </si>
  <si>
    <t>最小选择数量</t>
    <phoneticPr fontId="2" type="noConversion"/>
  </si>
  <si>
    <t>最大选择数量</t>
    <phoneticPr fontId="2" type="noConversion"/>
  </si>
  <si>
    <t>奖励序号</t>
    <phoneticPr fontId="2" type="noConversion"/>
  </si>
  <si>
    <t>奖励名称键</t>
    <phoneticPr fontId="2" type="noConversion"/>
  </si>
  <si>
    <t>reward {31c5f01c}_content_zh</t>
    <phoneticPr fontId="2" type="noConversion"/>
  </si>
  <si>
    <t>reward {31c5f01c}_content_en</t>
    <phoneticPr fontId="2" type="noConversion"/>
  </si>
  <si>
    <t>奖励名称（中文）</t>
    <phoneticPr fontId="2" type="noConversion"/>
  </si>
  <si>
    <t>奖励名称（英文）</t>
    <phoneticPr fontId="2" type="noConversion"/>
  </si>
  <si>
    <t>奖励描述键</t>
    <phoneticPr fontId="2" type="noConversion"/>
  </si>
  <si>
    <t>reward {d35466b8}_content_zh</t>
    <phoneticPr fontId="2" type="noConversion"/>
  </si>
  <si>
    <t>reward {d35466b8}_content_en</t>
    <phoneticPr fontId="2" type="noConversion"/>
  </si>
  <si>
    <t>奖励描述（中文）</t>
    <phoneticPr fontId="2" type="noConversion"/>
  </si>
  <si>
    <t>奖励描述（英文）</t>
    <phoneticPr fontId="2" type="noConversion"/>
  </si>
  <si>
    <t>奖励数量</t>
    <phoneticPr fontId="2" type="noConversion"/>
  </si>
  <si>
    <t>奖励道具识别码</t>
    <phoneticPr fontId="2" type="noConversion"/>
  </si>
  <si>
    <t>奖励货币主键</t>
    <phoneticPr fontId="2" type="noConversion"/>
  </si>
  <si>
    <t>奖励货币内置名</t>
    <phoneticPr fontId="2" type="noConversion"/>
  </si>
  <si>
    <t>奖励缩略图路径</t>
    <phoneticPr fontId="2" type="noConversion"/>
  </si>
  <si>
    <t>奖励缩略图路径（小写）</t>
    <phoneticPr fontId="2" type="noConversion"/>
  </si>
  <si>
    <t>奖励类型</t>
    <phoneticPr fontId="2" type="noConversion"/>
  </si>
  <si>
    <t>seriesId</t>
    <phoneticPr fontId="2" type="noConversion"/>
  </si>
  <si>
    <t>序列识别码</t>
    <phoneticPr fontId="2" type="noConversion"/>
  </si>
  <si>
    <t>{50c23533}</t>
    <phoneticPr fontId="2" type="noConversion"/>
  </si>
  <si>
    <t>赛季代号</t>
    <phoneticPr fontId="2" type="noConversion"/>
  </si>
  <si>
    <t>quest {7fad8491}</t>
    <phoneticPr fontId="2" type="noConversion"/>
  </si>
  <si>
    <t>quest {8ff60339}</t>
    <phoneticPr fontId="2" type="noConversion"/>
  </si>
  <si>
    <t>quest rewards</t>
    <phoneticPr fontId="2" type="noConversion"/>
  </si>
  <si>
    <t>quest {90e39fce} {8ff60339}</t>
    <phoneticPr fontId="2" type="noConversion"/>
  </si>
  <si>
    <t>quest {7fad8491} {8d7928e4}</t>
    <phoneticPr fontId="2" type="noConversion"/>
  </si>
  <si>
    <t>quest rewards Items</t>
    <phoneticPr fontId="2" type="noConversion"/>
  </si>
  <si>
    <t>奖励主键</t>
    <phoneticPr fontId="2" type="noConversion"/>
  </si>
  <si>
    <t>奖励道具</t>
    <phoneticPr fontId="2" type="noConversion"/>
  </si>
  <si>
    <t>missionId</t>
    <phoneticPr fontId="2" type="noConversion"/>
  </si>
  <si>
    <t>{7fad8491}</t>
    <phoneticPr fontId="2" type="noConversion"/>
  </si>
  <si>
    <t>{7fad8491} {8d7928e4}</t>
    <phoneticPr fontId="2" type="noConversion"/>
  </si>
  <si>
    <t>小型任务主键</t>
  </si>
  <si>
    <t>前驱小型任务列表</t>
  </si>
  <si>
    <t>小型任务主键列表</t>
  </si>
  <si>
    <t>小型任务代码</t>
  </si>
  <si>
    <t>小型任务奖励类型主键</t>
  </si>
  <si>
    <t>小型任务奖励类型识别码</t>
  </si>
  <si>
    <t>大型任务序号</t>
  </si>
  <si>
    <t>大型任务主键</t>
  </si>
  <si>
    <t>大型任务分组序号</t>
  </si>
  <si>
    <t>大型任务分组已锁定</t>
  </si>
  <si>
    <t>进阶大型任务主键</t>
  </si>
  <si>
    <t>大型任务标题（中文）</t>
  </si>
  <si>
    <t>大型任务标题（英文）</t>
  </si>
  <si>
    <t>MilestoneDefinition properties LocalizedName_content_zh</t>
  </si>
  <si>
    <t>MilestoneDefinition properties LocalizedName_content_zh</t>
    <phoneticPr fontId="2" type="noConversion"/>
  </si>
  <si>
    <t>MilestoneDefinition properties LocalizedName_content_en</t>
  </si>
  <si>
    <t>MilestoneDefinition properties LocalizedName_content_en</t>
    <phoneticPr fontId="2" type="noConversion"/>
  </si>
  <si>
    <t>MilestoneDefinition properties rewards {d35466b8}_content_zh</t>
  </si>
  <si>
    <t>MilestoneDefinition properties rewards {d35466b8}_content_zh</t>
    <phoneticPr fontId="2" type="noConversion"/>
  </si>
  <si>
    <t>MilestoneDefinition properties rewards {d35466b8}_content_en</t>
  </si>
  <si>
    <t>MilestoneDefinition properties rewards {d35466b8}_content_en</t>
    <phoneticPr fontId="2" type="noConversion"/>
  </si>
  <si>
    <t>里程碑属性主键列表</t>
    <phoneticPr fontId="2" type="noConversion"/>
  </si>
  <si>
    <t>里程碑奖励（中文）</t>
    <phoneticPr fontId="2" type="noConversion"/>
  </si>
  <si>
    <t>里程碑奖励（英文）</t>
    <phoneticPr fontId="2" type="noConversion"/>
  </si>
  <si>
    <t>奖励分组名称（中文）</t>
    <phoneticPr fontId="2" type="noConversion"/>
  </si>
  <si>
    <t>奖励分组名称（英文）</t>
    <phoneticPr fontId="2" type="noConversion"/>
  </si>
  <si>
    <t>主键</t>
    <phoneticPr fontId="2" type="noConversion"/>
  </si>
  <si>
    <t>标题键</t>
    <phoneticPr fontId="2" type="noConversion"/>
  </si>
  <si>
    <t>描述键</t>
    <phoneticPr fontId="2" type="noConversion"/>
  </si>
  <si>
    <t>名称键</t>
    <phoneticPr fontId="2" type="noConversion"/>
  </si>
  <si>
    <t>简介键</t>
    <phoneticPr fontId="2" type="noConversion"/>
  </si>
  <si>
    <t>统计指标</t>
    <phoneticPr fontId="2" type="noConversion"/>
  </si>
  <si>
    <t>标题（中文）</t>
    <phoneticPr fontId="2" type="noConversion"/>
  </si>
  <si>
    <t>标题（英文）</t>
    <phoneticPr fontId="2" type="noConversion"/>
  </si>
  <si>
    <t>描述（中文）</t>
  </si>
  <si>
    <t>所属大型任务分组主键</t>
    <phoneticPr fontId="2" type="noConversion"/>
  </si>
  <si>
    <t>所属大型任务事件主键</t>
    <phoneticPr fontId="2" type="noConversion"/>
  </si>
  <si>
    <t>所属进度主键</t>
    <phoneticPr fontId="2" type="noConversion"/>
  </si>
  <si>
    <t>parent_questGroup_key</t>
  </si>
  <si>
    <t>parent_questEvent_key</t>
  </si>
  <si>
    <t>parent_progression_key</t>
  </si>
  <si>
    <t>TitleTra_content_zh</t>
    <phoneticPr fontId="2" type="noConversion"/>
  </si>
  <si>
    <t>TitleTra_content_en</t>
    <phoneticPr fontId="2" type="noConversion"/>
  </si>
  <si>
    <t>parent_questGroup_key</t>
    <phoneticPr fontId="2" type="noConversion"/>
  </si>
  <si>
    <t>parent_questEvent_key</t>
    <phoneticPr fontId="2" type="noConversion"/>
  </si>
  <si>
    <t>{1ba4e4a5}</t>
  </si>
  <si>
    <t>TitleTra</t>
  </si>
  <si>
    <t>missions</t>
  </si>
  <si>
    <t>{0f400dc1}</t>
  </si>
  <si>
    <t>QuestData QuestNameTra</t>
  </si>
  <si>
    <t>QuestData {c88f1a9b}</t>
  </si>
  <si>
    <t>QuestData {ee2e0dbc}</t>
  </si>
  <si>
    <t>QuestData {c504ece0}</t>
  </si>
  <si>
    <t>QuestData {fafa4664}</t>
  </si>
  <si>
    <t>TitleTra_content_zh</t>
  </si>
  <si>
    <t>TitleTra_content_en</t>
  </si>
  <si>
    <t>QuestData QuestNameTra_content_zh</t>
  </si>
  <si>
    <t>QuestData QuestNameTra_content_en</t>
  </si>
  <si>
    <t>QuestData {c88f1a9b}_content_zh</t>
  </si>
  <si>
    <t>QuestData {c88f1a9b}_content_en</t>
  </si>
  <si>
    <t>level</t>
    <phoneticPr fontId="2" type="noConversion"/>
  </si>
  <si>
    <t>层级</t>
    <phoneticPr fontId="2" type="noConversion"/>
  </si>
  <si>
    <t>大型任务等级</t>
    <phoneticPr fontId="2" type="noConversion"/>
  </si>
  <si>
    <t>parent_quest_key</t>
    <phoneticPr fontId="2" type="noConversion"/>
  </si>
  <si>
    <t>所属大型任务主键</t>
    <phoneticPr fontId="2" type="noConversion"/>
  </si>
  <si>
    <t>mission_index</t>
    <phoneticPr fontId="2" type="noConversion"/>
  </si>
  <si>
    <t>大型任务等级</t>
  </si>
  <si>
    <t>quest TitleTra_content_zh</t>
    <phoneticPr fontId="2" type="noConversion"/>
  </si>
  <si>
    <t>quest TitleTra_content_en</t>
    <phoneticPr fontId="2" type="noConversion"/>
  </si>
  <si>
    <t>quest level</t>
    <phoneticPr fontId="2" type="noConversion"/>
  </si>
  <si>
    <t>小型任务序号</t>
    <phoneticPr fontId="2" type="noConversion"/>
  </si>
  <si>
    <t>parent_progression_key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</si>
</sst>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A31515"/>
      <name val="Consolas"/>
      <family val="3"/>
    </font>
    <font>
      <sz val="9"/>
      <name val="等线"/>
      <family val="2"/>
      <charset val="134"/>
      <scheme val="minor"/>
    </font>
    <font>
      <sz val="11"/>
      <color theme="0"/>
      <name val="Consolas"/>
      <family val="3"/>
    </font>
    <font>
      <sz val="11"/>
      <name val="Consolas"/>
      <family val="3"/>
    </font>
  </fonts>
  <fills count="2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0A8B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9A4E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5B14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0" fillId="5" borderId="0" xfId="0" applyFill="1">
      <alignment vertical="center"/>
    </xf>
    <xf numFmtId="0" fontId="1" fillId="5" borderId="0" xfId="0" applyFont="1" applyFill="1">
      <alignment vertical="center"/>
    </xf>
    <xf numFmtId="0" fontId="0" fillId="6" borderId="0" xfId="0" applyFill="1">
      <alignment vertical="center"/>
    </xf>
    <xf numFmtId="0" fontId="1" fillId="6" borderId="0" xfId="0" applyFont="1" applyFill="1">
      <alignment vertical="center"/>
    </xf>
    <xf numFmtId="0" fontId="0" fillId="7" borderId="0" xfId="0" applyFill="1">
      <alignment vertical="center"/>
    </xf>
    <xf numFmtId="0" fontId="1" fillId="7" borderId="0" xfId="0" applyFont="1" applyFill="1">
      <alignment vertical="center"/>
    </xf>
    <xf numFmtId="0" fontId="0" fillId="8" borderId="0" xfId="0" applyFill="1">
      <alignment vertical="center"/>
    </xf>
    <xf numFmtId="0" fontId="1" fillId="8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8" borderId="0" xfId="0" applyFont="1" applyFill="1">
      <alignment vertical="center"/>
    </xf>
    <xf numFmtId="0" fontId="4" fillId="3" borderId="0" xfId="0" applyFont="1" applyFill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0" fillId="9" borderId="0" xfId="0" applyFill="1">
      <alignment vertical="center"/>
    </xf>
    <xf numFmtId="0" fontId="1" fillId="9" borderId="0" xfId="0" applyFont="1" applyFill="1">
      <alignment vertical="center"/>
    </xf>
    <xf numFmtId="0" fontId="0" fillId="10" borderId="0" xfId="0" applyFill="1">
      <alignment vertical="center"/>
    </xf>
    <xf numFmtId="0" fontId="1" fillId="10" borderId="0" xfId="0" applyFont="1" applyFill="1">
      <alignment vertical="center"/>
    </xf>
    <xf numFmtId="0" fontId="0" fillId="11" borderId="0" xfId="0" applyFill="1">
      <alignment vertical="center"/>
    </xf>
    <xf numFmtId="0" fontId="1" fillId="11" borderId="0" xfId="0" applyFont="1" applyFill="1">
      <alignment vertical="center"/>
    </xf>
    <xf numFmtId="0" fontId="0" fillId="12" borderId="0" xfId="0" applyFill="1">
      <alignment vertical="center"/>
    </xf>
    <xf numFmtId="0" fontId="1" fillId="12" borderId="0" xfId="0" applyFont="1" applyFill="1">
      <alignment vertical="center"/>
    </xf>
    <xf numFmtId="0" fontId="0" fillId="13" borderId="0" xfId="0" applyFill="1">
      <alignment vertical="center"/>
    </xf>
    <xf numFmtId="0" fontId="1" fillId="13" borderId="0" xfId="0" applyFont="1" applyFill="1">
      <alignment vertical="center"/>
    </xf>
    <xf numFmtId="0" fontId="0" fillId="14" borderId="0" xfId="0" applyFill="1">
      <alignment vertical="center"/>
    </xf>
    <xf numFmtId="0" fontId="1" fillId="14" borderId="0" xfId="0" applyFont="1" applyFill="1">
      <alignment vertical="center"/>
    </xf>
    <xf numFmtId="0" fontId="0" fillId="15" borderId="0" xfId="0" applyFill="1">
      <alignment vertical="center"/>
    </xf>
    <xf numFmtId="0" fontId="0" fillId="16" borderId="0" xfId="0" applyFill="1">
      <alignment vertical="center"/>
    </xf>
    <xf numFmtId="0" fontId="1" fillId="16" borderId="0" xfId="0" applyFont="1" applyFill="1">
      <alignment vertical="center"/>
    </xf>
    <xf numFmtId="0" fontId="0" fillId="17" borderId="0" xfId="0" applyFill="1">
      <alignment vertical="center"/>
    </xf>
    <xf numFmtId="0" fontId="1" fillId="17" borderId="0" xfId="0" applyFont="1" applyFill="1">
      <alignment vertical="center"/>
    </xf>
    <xf numFmtId="0" fontId="0" fillId="18" borderId="0" xfId="0" applyFill="1">
      <alignment vertical="center"/>
    </xf>
    <xf numFmtId="0" fontId="1" fillId="18" borderId="0" xfId="0" applyFont="1" applyFill="1">
      <alignment vertical="center"/>
    </xf>
    <xf numFmtId="0" fontId="4" fillId="7" borderId="0" xfId="0" applyFont="1" applyFill="1">
      <alignment vertical="center"/>
    </xf>
    <xf numFmtId="0" fontId="4" fillId="16" borderId="0" xfId="0" applyFont="1" applyFill="1">
      <alignment vertical="center"/>
    </xf>
    <xf numFmtId="0" fontId="0" fillId="19" borderId="0" xfId="0" applyFill="1">
      <alignment vertical="center"/>
    </xf>
    <xf numFmtId="0" fontId="1" fillId="19" borderId="0" xfId="0" applyFont="1" applyFill="1">
      <alignment vertical="center"/>
    </xf>
    <xf numFmtId="0" fontId="0" fillId="20" borderId="0" xfId="0" applyFill="1">
      <alignment vertical="center"/>
    </xf>
    <xf numFmtId="0" fontId="1" fillId="20" borderId="0" xfId="0" applyFont="1" applyFill="1">
      <alignment vertical="center"/>
    </xf>
    <xf numFmtId="0" fontId="4" fillId="20" borderId="0" xfId="0" applyFont="1" applyFill="1">
      <alignment vertical="center"/>
    </xf>
    <xf numFmtId="0" fontId="0" fillId="21" borderId="0" xfId="0" applyFill="1">
      <alignment vertical="center"/>
    </xf>
    <xf numFmtId="0" fontId="1" fillId="21" borderId="0" xfId="0" applyFont="1" applyFill="1">
      <alignment vertical="center"/>
    </xf>
    <xf numFmtId="0" fontId="4" fillId="19" borderId="0" xfId="0" applyFont="1" applyFill="1">
      <alignment vertical="center"/>
    </xf>
    <xf numFmtId="0" fontId="4" fillId="4" borderId="0" xfId="0" applyFont="1" applyFill="1">
      <alignment vertical="center"/>
    </xf>
    <xf numFmtId="0" fontId="4" fillId="15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22" borderId="0" xfId="0" applyFont="1" applyFill="1">
      <alignment vertical="center"/>
    </xf>
    <xf numFmtId="0" fontId="0" fillId="22" borderId="0" xfId="0" applyFill="1">
      <alignment vertical="center"/>
    </xf>
    <xf numFmtId="0" fontId="1" fillId="22" borderId="0" xfId="0" applyFont="1" applyFill="1">
      <alignment vertical="center"/>
    </xf>
    <xf numFmtId="0" fontId="4" fillId="23" borderId="0" xfId="0" applyFont="1" applyFill="1">
      <alignment vertical="center"/>
    </xf>
    <xf numFmtId="0" fontId="0" fillId="2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5B14F"/>
      <color rgb="FFC9A4E4"/>
      <color rgb="FF0099FF"/>
      <color rgb="FF33CCCC"/>
      <color rgb="FF10A8B8"/>
      <color rgb="FF75E7F3"/>
      <color rgb="FFC8F5FA"/>
      <color rgb="FFD2E4F0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D847-CCF8-4FA1-A596-3E7E4A442187}">
  <sheetPr codeName="Sheet3"/>
  <dimension ref="A1:F238"/>
  <sheetViews>
    <sheetView workbookViewId="0"/>
  </sheetViews>
  <sheetFormatPr defaultRowHeight="14.25" x14ac:dyDescent="0.2"/>
  <cols>
    <col min="2" max="2" width="38.25" bestFit="1" customWidth="1"/>
    <col min="3" max="3" width="17.25" bestFit="1" customWidth="1"/>
    <col min="4" max="4" width="14.375" bestFit="1" customWidth="1"/>
  </cols>
  <sheetData>
    <row r="1" spans="1:6" x14ac:dyDescent="0.2">
      <c r="A1" t="s">
        <v>16</v>
      </c>
      <c r="B1" t="s">
        <v>17</v>
      </c>
      <c r="C1" t="s">
        <v>19</v>
      </c>
      <c r="D1" t="s">
        <v>20</v>
      </c>
      <c r="E1" t="s">
        <v>23</v>
      </c>
      <c r="F1" t="s">
        <v>21</v>
      </c>
    </row>
    <row r="2" spans="1:6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F2">
        <v>0</v>
      </c>
    </row>
    <row r="3" spans="1:6" ht="15" x14ac:dyDescent="0.2">
      <c r="A3">
        <v>1</v>
      </c>
      <c r="B3" s="1" t="s">
        <v>35</v>
      </c>
      <c r="C3" t="s">
        <v>36</v>
      </c>
      <c r="D3" s="4" t="s">
        <v>22</v>
      </c>
      <c r="E3" s="4"/>
      <c r="F3">
        <v>1</v>
      </c>
    </row>
    <row r="4" spans="1:6" ht="15" x14ac:dyDescent="0.2">
      <c r="A4">
        <v>2</v>
      </c>
      <c r="B4" s="1" t="s">
        <v>37</v>
      </c>
      <c r="C4" t="s">
        <v>39</v>
      </c>
      <c r="D4" s="4" t="s">
        <v>22</v>
      </c>
      <c r="E4" s="4" t="s">
        <v>22</v>
      </c>
      <c r="F4">
        <v>4</v>
      </c>
    </row>
    <row r="5" spans="1:6" ht="15" x14ac:dyDescent="0.2">
      <c r="A5">
        <v>3</v>
      </c>
      <c r="B5" s="1" t="s">
        <v>38</v>
      </c>
      <c r="C5" t="s">
        <v>40</v>
      </c>
      <c r="D5" s="4" t="s">
        <v>22</v>
      </c>
      <c r="E5" s="4"/>
      <c r="F5">
        <v>5</v>
      </c>
    </row>
    <row r="6" spans="1:6" ht="15" x14ac:dyDescent="0.2">
      <c r="A6">
        <v>4</v>
      </c>
      <c r="B6" s="1" t="s">
        <v>84</v>
      </c>
      <c r="C6" t="s">
        <v>85</v>
      </c>
      <c r="D6" s="4" t="s">
        <v>22</v>
      </c>
      <c r="E6" s="4" t="s">
        <v>22</v>
      </c>
      <c r="F6">
        <v>11</v>
      </c>
    </row>
    <row r="7" spans="1:6" ht="15" x14ac:dyDescent="0.2">
      <c r="A7">
        <v>5</v>
      </c>
      <c r="B7" s="1" t="s">
        <v>41</v>
      </c>
      <c r="C7" t="s">
        <v>42</v>
      </c>
      <c r="D7" s="4" t="s">
        <v>22</v>
      </c>
      <c r="E7" s="4"/>
      <c r="F7">
        <v>13</v>
      </c>
    </row>
    <row r="8" spans="1:6" ht="15" x14ac:dyDescent="0.2">
      <c r="A8">
        <v>6</v>
      </c>
      <c r="B8" s="1" t="s">
        <v>86</v>
      </c>
      <c r="C8" t="s">
        <v>87</v>
      </c>
      <c r="D8" s="4" t="s">
        <v>22</v>
      </c>
      <c r="E8" s="4" t="s">
        <v>22</v>
      </c>
      <c r="F8">
        <v>14</v>
      </c>
    </row>
    <row r="9" spans="1:6" ht="15" x14ac:dyDescent="0.2">
      <c r="A9">
        <v>7</v>
      </c>
      <c r="B9" s="1" t="s">
        <v>43</v>
      </c>
      <c r="C9" t="s">
        <v>44</v>
      </c>
      <c r="D9" s="4" t="s">
        <v>22</v>
      </c>
      <c r="E9" s="4"/>
      <c r="F9">
        <v>12</v>
      </c>
    </row>
    <row r="10" spans="1:6" ht="15" x14ac:dyDescent="0.2">
      <c r="A10">
        <v>8</v>
      </c>
      <c r="B10" s="1" t="s">
        <v>45</v>
      </c>
      <c r="C10" t="s">
        <v>46</v>
      </c>
      <c r="D10" s="4" t="s">
        <v>22</v>
      </c>
      <c r="E10" s="4"/>
      <c r="F10">
        <v>28</v>
      </c>
    </row>
    <row r="11" spans="1:6" ht="15" x14ac:dyDescent="0.2">
      <c r="A11">
        <v>9</v>
      </c>
      <c r="B11" s="1" t="s">
        <v>47</v>
      </c>
      <c r="C11" t="s">
        <v>48</v>
      </c>
      <c r="D11" s="4" t="s">
        <v>22</v>
      </c>
      <c r="E11" s="4"/>
      <c r="F11">
        <v>22</v>
      </c>
    </row>
    <row r="12" spans="1:6" ht="15" x14ac:dyDescent="0.2">
      <c r="A12">
        <v>10</v>
      </c>
      <c r="B12" s="1" t="s">
        <v>49</v>
      </c>
      <c r="C12" t="s">
        <v>50</v>
      </c>
      <c r="D12" s="4" t="s">
        <v>22</v>
      </c>
      <c r="E12" s="4"/>
      <c r="F12">
        <v>23</v>
      </c>
    </row>
    <row r="13" spans="1:6" ht="15" x14ac:dyDescent="0.2">
      <c r="A13">
        <v>11</v>
      </c>
      <c r="B13" s="1" t="s">
        <v>51</v>
      </c>
      <c r="C13" t="s">
        <v>52</v>
      </c>
      <c r="D13" s="4" t="s">
        <v>22</v>
      </c>
      <c r="E13" s="4"/>
      <c r="F13">
        <v>25</v>
      </c>
    </row>
    <row r="14" spans="1:6" ht="15" x14ac:dyDescent="0.2">
      <c r="A14">
        <v>12</v>
      </c>
      <c r="B14" s="1" t="s">
        <v>53</v>
      </c>
      <c r="C14" t="s">
        <v>54</v>
      </c>
      <c r="D14" s="4" t="s">
        <v>22</v>
      </c>
      <c r="E14" s="4"/>
      <c r="F14">
        <v>26</v>
      </c>
    </row>
    <row r="15" spans="1:6" ht="15" x14ac:dyDescent="0.2">
      <c r="A15">
        <v>13</v>
      </c>
      <c r="B15" s="1" t="s">
        <v>55</v>
      </c>
      <c r="C15" t="s">
        <v>56</v>
      </c>
      <c r="D15" s="4" t="s">
        <v>22</v>
      </c>
      <c r="E15" s="4"/>
      <c r="F15">
        <v>10</v>
      </c>
    </row>
    <row r="16" spans="1:6" ht="15" x14ac:dyDescent="0.2">
      <c r="A16">
        <v>14</v>
      </c>
      <c r="B16" s="1" t="s">
        <v>77</v>
      </c>
      <c r="C16" t="s">
        <v>78</v>
      </c>
      <c r="D16" s="4" t="s">
        <v>22</v>
      </c>
      <c r="E16" s="4" t="s">
        <v>22</v>
      </c>
      <c r="F16">
        <v>24</v>
      </c>
    </row>
    <row r="17" spans="1:6" ht="15" x14ac:dyDescent="0.2">
      <c r="A17">
        <v>15</v>
      </c>
      <c r="B17" s="1" t="s">
        <v>79</v>
      </c>
      <c r="C17" t="s">
        <v>370</v>
      </c>
      <c r="D17" s="4" t="s">
        <v>22</v>
      </c>
      <c r="E17" s="4" t="s">
        <v>22</v>
      </c>
      <c r="F17">
        <v>18</v>
      </c>
    </row>
    <row r="18" spans="1:6" ht="15" x14ac:dyDescent="0.2">
      <c r="A18">
        <v>16</v>
      </c>
      <c r="B18" s="1" t="s">
        <v>80</v>
      </c>
      <c r="C18" t="s">
        <v>81</v>
      </c>
      <c r="D18" s="4" t="s">
        <v>22</v>
      </c>
      <c r="E18" s="4" t="s">
        <v>22</v>
      </c>
      <c r="F18">
        <v>19</v>
      </c>
    </row>
    <row r="19" spans="1:6" ht="15" x14ac:dyDescent="0.2">
      <c r="A19">
        <v>17</v>
      </c>
      <c r="B19" s="1" t="s">
        <v>57</v>
      </c>
      <c r="C19" t="s">
        <v>58</v>
      </c>
      <c r="D19" s="4" t="s">
        <v>22</v>
      </c>
      <c r="E19" s="4" t="s">
        <v>22</v>
      </c>
      <c r="F19">
        <v>9</v>
      </c>
    </row>
    <row r="20" spans="1:6" ht="15" x14ac:dyDescent="0.2">
      <c r="A20">
        <v>18</v>
      </c>
      <c r="B20" s="1" t="s">
        <v>59</v>
      </c>
      <c r="C20" t="s">
        <v>60</v>
      </c>
      <c r="D20" s="4" t="s">
        <v>22</v>
      </c>
      <c r="E20" s="4"/>
      <c r="F20">
        <v>6</v>
      </c>
    </row>
    <row r="21" spans="1:6" ht="15" x14ac:dyDescent="0.2">
      <c r="A21">
        <v>19</v>
      </c>
      <c r="B21" s="1" t="s">
        <v>61</v>
      </c>
      <c r="C21" t="s">
        <v>62</v>
      </c>
      <c r="D21" s="4" t="s">
        <v>22</v>
      </c>
      <c r="E21" s="4"/>
      <c r="F21">
        <v>7</v>
      </c>
    </row>
    <row r="22" spans="1:6" ht="15" x14ac:dyDescent="0.2">
      <c r="A22">
        <v>20</v>
      </c>
      <c r="B22" s="1" t="s">
        <v>63</v>
      </c>
      <c r="C22" t="s">
        <v>64</v>
      </c>
      <c r="D22" s="4" t="s">
        <v>22</v>
      </c>
      <c r="E22" s="4"/>
      <c r="F22">
        <v>8</v>
      </c>
    </row>
    <row r="23" spans="1:6" ht="15" x14ac:dyDescent="0.2">
      <c r="A23">
        <v>21</v>
      </c>
      <c r="B23" s="1" t="s">
        <v>65</v>
      </c>
      <c r="C23" t="s">
        <v>66</v>
      </c>
      <c r="D23" s="4" t="s">
        <v>22</v>
      </c>
      <c r="E23" s="4"/>
      <c r="F23">
        <v>16</v>
      </c>
    </row>
    <row r="24" spans="1:6" ht="15" x14ac:dyDescent="0.2">
      <c r="A24">
        <v>22</v>
      </c>
      <c r="B24" s="1" t="s">
        <v>82</v>
      </c>
      <c r="C24" t="s">
        <v>83</v>
      </c>
      <c r="D24" s="4" t="s">
        <v>22</v>
      </c>
      <c r="E24" s="4" t="s">
        <v>22</v>
      </c>
      <c r="F24">
        <v>20</v>
      </c>
    </row>
    <row r="25" spans="1:6" ht="15" x14ac:dyDescent="0.2">
      <c r="A25">
        <v>23</v>
      </c>
      <c r="B25" s="1" t="s">
        <v>67</v>
      </c>
      <c r="C25" t="s">
        <v>68</v>
      </c>
      <c r="D25" s="4" t="s">
        <v>22</v>
      </c>
      <c r="E25" s="4"/>
      <c r="F25">
        <v>2</v>
      </c>
    </row>
    <row r="26" spans="1:6" ht="15" x14ac:dyDescent="0.2">
      <c r="A26">
        <v>24</v>
      </c>
      <c r="B26" s="1" t="s">
        <v>75</v>
      </c>
      <c r="C26" t="s">
        <v>76</v>
      </c>
      <c r="D26" s="4" t="s">
        <v>22</v>
      </c>
      <c r="E26" s="4" t="s">
        <v>22</v>
      </c>
      <c r="F26">
        <v>17</v>
      </c>
    </row>
    <row r="27" spans="1:6" ht="15" x14ac:dyDescent="0.2">
      <c r="A27">
        <v>25</v>
      </c>
      <c r="B27" s="1" t="s">
        <v>69</v>
      </c>
      <c r="C27" t="s">
        <v>70</v>
      </c>
      <c r="D27" s="4" t="s">
        <v>22</v>
      </c>
      <c r="E27" s="4"/>
      <c r="F27">
        <v>3</v>
      </c>
    </row>
    <row r="28" spans="1:6" ht="15" x14ac:dyDescent="0.2">
      <c r="A28">
        <v>26</v>
      </c>
      <c r="B28" s="1" t="s">
        <v>71</v>
      </c>
      <c r="C28" t="s">
        <v>72</v>
      </c>
      <c r="D28" s="4" t="s">
        <v>22</v>
      </c>
      <c r="E28" s="4"/>
      <c r="F28">
        <v>21</v>
      </c>
    </row>
    <row r="29" spans="1:6" ht="15" x14ac:dyDescent="0.2">
      <c r="A29">
        <v>27</v>
      </c>
      <c r="B29" s="1" t="s">
        <v>73</v>
      </c>
      <c r="C29" t="s">
        <v>74</v>
      </c>
      <c r="D29" s="4" t="s">
        <v>22</v>
      </c>
      <c r="E29" s="4"/>
      <c r="F29">
        <v>15</v>
      </c>
    </row>
    <row r="30" spans="1:6" ht="15" x14ac:dyDescent="0.2">
      <c r="A30">
        <v>28</v>
      </c>
      <c r="B30" s="1" t="s">
        <v>88</v>
      </c>
      <c r="C30" t="s">
        <v>89</v>
      </c>
      <c r="D30" s="4" t="s">
        <v>22</v>
      </c>
      <c r="E30" s="4" t="s">
        <v>22</v>
      </c>
      <c r="F30">
        <v>27</v>
      </c>
    </row>
    <row r="31" spans="1:6" ht="15" x14ac:dyDescent="0.2">
      <c r="A31" s="2">
        <v>29</v>
      </c>
      <c r="B31" s="3" t="s">
        <v>90</v>
      </c>
      <c r="C31" s="2"/>
      <c r="D31" s="4" t="s">
        <v>380</v>
      </c>
      <c r="E31" s="4"/>
    </row>
    <row r="32" spans="1:6" ht="15" x14ac:dyDescent="0.2">
      <c r="A32" s="2">
        <v>30</v>
      </c>
      <c r="B32" s="3" t="s">
        <v>91</v>
      </c>
      <c r="C32" s="2"/>
      <c r="D32" s="4" t="s">
        <v>380</v>
      </c>
      <c r="E32" s="4"/>
    </row>
    <row r="33" spans="1:5" ht="15" x14ac:dyDescent="0.2">
      <c r="A33" s="2">
        <v>31</v>
      </c>
      <c r="B33" s="3" t="s">
        <v>92</v>
      </c>
      <c r="C33" s="2"/>
      <c r="D33" s="4" t="s">
        <v>380</v>
      </c>
      <c r="E33" s="4"/>
    </row>
    <row r="34" spans="1:5" ht="15" x14ac:dyDescent="0.2">
      <c r="A34" s="2">
        <v>32</v>
      </c>
      <c r="B34" s="3" t="s">
        <v>415</v>
      </c>
      <c r="C34" s="2"/>
      <c r="D34" s="4" t="s">
        <v>380</v>
      </c>
      <c r="E34" s="4"/>
    </row>
    <row r="35" spans="1:5" ht="15" x14ac:dyDescent="0.2">
      <c r="A35" s="2">
        <v>33</v>
      </c>
      <c r="B35" s="3" t="s">
        <v>416</v>
      </c>
      <c r="C35" s="2"/>
      <c r="D35" s="4" t="s">
        <v>380</v>
      </c>
      <c r="E35" s="4"/>
    </row>
    <row r="36" spans="1:5" ht="15" x14ac:dyDescent="0.2">
      <c r="A36" s="2">
        <v>34</v>
      </c>
      <c r="B36" s="3" t="s">
        <v>93</v>
      </c>
      <c r="C36" s="2" t="s">
        <v>330</v>
      </c>
      <c r="D36" s="4" t="s">
        <v>380</v>
      </c>
      <c r="E36" s="4"/>
    </row>
    <row r="37" spans="1:5" ht="15" x14ac:dyDescent="0.2">
      <c r="A37" s="2">
        <v>35</v>
      </c>
      <c r="B37" s="3" t="s">
        <v>94</v>
      </c>
      <c r="C37" s="2" t="s">
        <v>331</v>
      </c>
      <c r="D37" s="4" t="s">
        <v>380</v>
      </c>
      <c r="E37" s="4"/>
    </row>
    <row r="38" spans="1:5" ht="15" x14ac:dyDescent="0.2">
      <c r="A38" s="2">
        <v>36</v>
      </c>
      <c r="B38" s="3" t="s">
        <v>95</v>
      </c>
      <c r="C38" s="2"/>
      <c r="D38" s="4" t="s">
        <v>380</v>
      </c>
      <c r="E38" s="4"/>
    </row>
    <row r="39" spans="1:5" ht="15" x14ac:dyDescent="0.2">
      <c r="A39" s="2">
        <v>37</v>
      </c>
      <c r="B39" s="3" t="s">
        <v>96</v>
      </c>
      <c r="C39" s="2"/>
      <c r="D39" s="4" t="s">
        <v>380</v>
      </c>
      <c r="E39" s="4"/>
    </row>
    <row r="40" spans="1:5" ht="15" x14ac:dyDescent="0.2">
      <c r="A40" s="2">
        <v>38</v>
      </c>
      <c r="B40" s="3" t="s">
        <v>97</v>
      </c>
      <c r="C40" s="2" t="s">
        <v>332</v>
      </c>
      <c r="D40" s="4" t="s">
        <v>380</v>
      </c>
      <c r="E40" s="4"/>
    </row>
    <row r="41" spans="1:5" ht="15" x14ac:dyDescent="0.2">
      <c r="A41" s="2">
        <v>39</v>
      </c>
      <c r="B41" s="3" t="s">
        <v>98</v>
      </c>
      <c r="C41" s="2" t="s">
        <v>333</v>
      </c>
      <c r="D41" s="4" t="s">
        <v>380</v>
      </c>
      <c r="E41" s="4"/>
    </row>
    <row r="42" spans="1:5" ht="15" x14ac:dyDescent="0.2">
      <c r="A42" s="2">
        <v>40</v>
      </c>
      <c r="B42" s="3" t="s">
        <v>99</v>
      </c>
      <c r="C42" s="2"/>
      <c r="D42" s="4" t="s">
        <v>380</v>
      </c>
      <c r="E42" s="4"/>
    </row>
    <row r="43" spans="1:5" ht="15" x14ac:dyDescent="0.2">
      <c r="A43" s="2">
        <v>41</v>
      </c>
      <c r="B43" s="3" t="s">
        <v>100</v>
      </c>
      <c r="C43" s="2" t="s">
        <v>334</v>
      </c>
      <c r="D43" s="4" t="s">
        <v>380</v>
      </c>
      <c r="E43" s="4"/>
    </row>
    <row r="44" spans="1:5" ht="15" x14ac:dyDescent="0.2">
      <c r="A44" s="2">
        <v>42</v>
      </c>
      <c r="B44" s="3" t="s">
        <v>101</v>
      </c>
      <c r="C44" s="2" t="s">
        <v>381</v>
      </c>
      <c r="D44" s="4" t="s">
        <v>380</v>
      </c>
      <c r="E44" s="4"/>
    </row>
    <row r="45" spans="1:5" ht="15" x14ac:dyDescent="0.2">
      <c r="A45" s="2">
        <v>43</v>
      </c>
      <c r="B45" s="3" t="s">
        <v>124</v>
      </c>
      <c r="C45" s="2" t="s">
        <v>382</v>
      </c>
      <c r="D45" s="4" t="s">
        <v>380</v>
      </c>
      <c r="E45" s="4" t="s">
        <v>380</v>
      </c>
    </row>
    <row r="46" spans="1:5" ht="15" x14ac:dyDescent="0.2">
      <c r="A46" s="2">
        <v>44</v>
      </c>
      <c r="B46" s="3" t="s">
        <v>102</v>
      </c>
      <c r="C46" s="2" t="s">
        <v>383</v>
      </c>
      <c r="D46" s="4" t="s">
        <v>380</v>
      </c>
      <c r="E46" s="4"/>
    </row>
    <row r="47" spans="1:5" ht="15" x14ac:dyDescent="0.2">
      <c r="A47" s="2">
        <v>45</v>
      </c>
      <c r="B47" s="3" t="s">
        <v>103</v>
      </c>
      <c r="C47" s="2"/>
      <c r="D47" s="4" t="s">
        <v>380</v>
      </c>
      <c r="E47" s="4"/>
    </row>
    <row r="48" spans="1:5" ht="15" x14ac:dyDescent="0.2">
      <c r="A48" s="2">
        <v>46</v>
      </c>
      <c r="B48" s="3" t="s">
        <v>104</v>
      </c>
      <c r="C48" s="2"/>
      <c r="D48" s="4" t="s">
        <v>380</v>
      </c>
      <c r="E48" s="4"/>
    </row>
    <row r="49" spans="1:5" ht="15" x14ac:dyDescent="0.2">
      <c r="A49" s="2">
        <v>47</v>
      </c>
      <c r="B49" s="3" t="s">
        <v>105</v>
      </c>
      <c r="C49" s="2"/>
      <c r="D49" s="4" t="s">
        <v>380</v>
      </c>
      <c r="E49" s="4"/>
    </row>
    <row r="50" spans="1:5" ht="15" x14ac:dyDescent="0.2">
      <c r="A50" s="2">
        <v>48</v>
      </c>
      <c r="B50" s="3" t="s">
        <v>106</v>
      </c>
      <c r="C50" s="2"/>
      <c r="D50" s="4" t="s">
        <v>380</v>
      </c>
      <c r="E50" s="4"/>
    </row>
    <row r="51" spans="1:5" ht="15" x14ac:dyDescent="0.2">
      <c r="A51" s="2">
        <v>49</v>
      </c>
      <c r="B51" s="3" t="s">
        <v>107</v>
      </c>
      <c r="C51" s="2"/>
      <c r="D51" s="4" t="s">
        <v>380</v>
      </c>
      <c r="E51" s="4"/>
    </row>
    <row r="52" spans="1:5" ht="15" x14ac:dyDescent="0.2">
      <c r="A52" s="2">
        <v>50</v>
      </c>
      <c r="B52" s="3" t="s">
        <v>108</v>
      </c>
      <c r="C52" s="2"/>
      <c r="D52" s="4" t="s">
        <v>380</v>
      </c>
      <c r="E52" s="4"/>
    </row>
    <row r="53" spans="1:5" ht="15" x14ac:dyDescent="0.2">
      <c r="A53" s="2">
        <v>51</v>
      </c>
      <c r="B53" s="3" t="s">
        <v>109</v>
      </c>
      <c r="C53" s="2"/>
      <c r="D53" s="4" t="s">
        <v>380</v>
      </c>
      <c r="E53" s="4"/>
    </row>
    <row r="54" spans="1:5" ht="15" x14ac:dyDescent="0.2">
      <c r="A54" s="2">
        <v>52</v>
      </c>
      <c r="B54" s="3" t="s">
        <v>110</v>
      </c>
      <c r="C54" s="2"/>
      <c r="D54" s="4" t="s">
        <v>380</v>
      </c>
      <c r="E54" s="4"/>
    </row>
    <row r="55" spans="1:5" ht="15" x14ac:dyDescent="0.2">
      <c r="A55" s="2">
        <v>53</v>
      </c>
      <c r="B55" s="3" t="s">
        <v>111</v>
      </c>
      <c r="C55" s="2"/>
      <c r="D55" s="4" t="s">
        <v>380</v>
      </c>
      <c r="E55" s="4"/>
    </row>
    <row r="56" spans="1:5" ht="15" x14ac:dyDescent="0.2">
      <c r="A56" s="2">
        <v>54</v>
      </c>
      <c r="B56" s="3" t="s">
        <v>112</v>
      </c>
      <c r="C56" s="2"/>
      <c r="D56" s="4" t="s">
        <v>380</v>
      </c>
      <c r="E56" s="4"/>
    </row>
    <row r="57" spans="1:5" ht="15" x14ac:dyDescent="0.2">
      <c r="A57" s="2">
        <v>55</v>
      </c>
      <c r="B57" s="3" t="s">
        <v>113</v>
      </c>
      <c r="C57" s="2"/>
      <c r="D57" s="4" t="s">
        <v>380</v>
      </c>
      <c r="E57" s="4"/>
    </row>
    <row r="58" spans="1:5" ht="15" x14ac:dyDescent="0.2">
      <c r="A58" s="2">
        <v>56</v>
      </c>
      <c r="B58" s="3" t="s">
        <v>114</v>
      </c>
      <c r="C58" s="2"/>
      <c r="D58" s="4" t="s">
        <v>380</v>
      </c>
      <c r="E58" s="4"/>
    </row>
    <row r="59" spans="1:5" ht="15" x14ac:dyDescent="0.2">
      <c r="A59" s="2">
        <v>57</v>
      </c>
      <c r="B59" s="3" t="s">
        <v>115</v>
      </c>
      <c r="C59" s="2"/>
      <c r="D59" s="4" t="s">
        <v>380</v>
      </c>
      <c r="E59" s="4"/>
    </row>
    <row r="60" spans="1:5" ht="15" x14ac:dyDescent="0.2">
      <c r="A60" s="2">
        <v>58</v>
      </c>
      <c r="B60" s="3" t="s">
        <v>116</v>
      </c>
      <c r="C60" s="2"/>
      <c r="D60" s="4" t="s">
        <v>380</v>
      </c>
      <c r="E60" s="4"/>
    </row>
    <row r="61" spans="1:5" ht="15" x14ac:dyDescent="0.2">
      <c r="A61" s="2">
        <v>59</v>
      </c>
      <c r="B61" s="3" t="s">
        <v>117</v>
      </c>
      <c r="C61" s="2"/>
      <c r="D61" s="4" t="s">
        <v>380</v>
      </c>
      <c r="E61" s="4"/>
    </row>
    <row r="62" spans="1:5" ht="15" x14ac:dyDescent="0.2">
      <c r="A62" s="2">
        <v>60</v>
      </c>
      <c r="B62" s="3" t="s">
        <v>123</v>
      </c>
      <c r="C62" s="2"/>
      <c r="D62" s="4" t="s">
        <v>380</v>
      </c>
      <c r="E62" s="4"/>
    </row>
    <row r="63" spans="1:5" ht="15" x14ac:dyDescent="0.2">
      <c r="A63" s="2">
        <v>61</v>
      </c>
      <c r="B63" s="3" t="s">
        <v>118</v>
      </c>
      <c r="C63" s="2"/>
      <c r="D63" s="4" t="s">
        <v>380</v>
      </c>
      <c r="E63" s="4"/>
    </row>
    <row r="64" spans="1:5" ht="15" x14ac:dyDescent="0.2">
      <c r="A64" s="2">
        <v>62</v>
      </c>
      <c r="B64" s="3" t="s">
        <v>119</v>
      </c>
      <c r="C64" s="2"/>
      <c r="D64" s="4" t="s">
        <v>380</v>
      </c>
      <c r="E64" s="4"/>
    </row>
    <row r="65" spans="1:5" ht="15" x14ac:dyDescent="0.2">
      <c r="A65" s="2">
        <v>63</v>
      </c>
      <c r="B65" s="3" t="s">
        <v>120</v>
      </c>
      <c r="C65" s="2" t="s">
        <v>384</v>
      </c>
      <c r="D65" s="4" t="s">
        <v>380</v>
      </c>
      <c r="E65" s="4"/>
    </row>
    <row r="66" spans="1:5" ht="15" x14ac:dyDescent="0.2">
      <c r="A66" s="2">
        <v>64</v>
      </c>
      <c r="B66" s="3" t="s">
        <v>121</v>
      </c>
      <c r="C66" s="2" t="s">
        <v>385</v>
      </c>
      <c r="D66" s="4" t="s">
        <v>380</v>
      </c>
      <c r="E66" s="4"/>
    </row>
    <row r="67" spans="1:5" ht="15" x14ac:dyDescent="0.2">
      <c r="A67" s="2">
        <v>65</v>
      </c>
      <c r="B67" s="3" t="s">
        <v>122</v>
      </c>
      <c r="C67" s="2" t="s">
        <v>386</v>
      </c>
      <c r="D67" s="4" t="s">
        <v>380</v>
      </c>
      <c r="E67" s="4"/>
    </row>
    <row r="68" spans="1:5" ht="15" x14ac:dyDescent="0.2">
      <c r="A68" s="2">
        <v>66</v>
      </c>
      <c r="B68" s="3" t="s">
        <v>125</v>
      </c>
      <c r="C68" s="2"/>
      <c r="D68" s="4" t="s">
        <v>380</v>
      </c>
      <c r="E68" s="4"/>
    </row>
    <row r="69" spans="1:5" ht="15" x14ac:dyDescent="0.2">
      <c r="A69" s="2">
        <v>67</v>
      </c>
      <c r="B69" s="3" t="s">
        <v>126</v>
      </c>
      <c r="C69" s="2"/>
      <c r="D69" s="4" t="s">
        <v>380</v>
      </c>
      <c r="E69" s="4"/>
    </row>
    <row r="70" spans="1:5" ht="15" x14ac:dyDescent="0.2">
      <c r="A70" s="2">
        <v>68</v>
      </c>
      <c r="B70" s="3" t="s">
        <v>127</v>
      </c>
      <c r="C70" s="2"/>
      <c r="D70" s="4" t="s">
        <v>380</v>
      </c>
      <c r="E70" s="4"/>
    </row>
    <row r="71" spans="1:5" ht="15" x14ac:dyDescent="0.2">
      <c r="A71" s="2">
        <v>69</v>
      </c>
      <c r="B71" s="3" t="s">
        <v>128</v>
      </c>
      <c r="C71" s="2"/>
      <c r="D71" s="4" t="s">
        <v>380</v>
      </c>
      <c r="E71" s="4"/>
    </row>
    <row r="72" spans="1:5" ht="15" x14ac:dyDescent="0.2">
      <c r="A72" s="2">
        <v>70</v>
      </c>
      <c r="B72" s="3" t="s">
        <v>129</v>
      </c>
      <c r="C72" s="2"/>
      <c r="D72" s="4" t="s">
        <v>380</v>
      </c>
      <c r="E72" s="4"/>
    </row>
    <row r="73" spans="1:5" ht="15" x14ac:dyDescent="0.2">
      <c r="A73" s="2">
        <v>71</v>
      </c>
      <c r="B73" s="3" t="s">
        <v>130</v>
      </c>
      <c r="C73" s="2"/>
      <c r="D73" s="4" t="s">
        <v>380</v>
      </c>
      <c r="E73" s="4"/>
    </row>
    <row r="74" spans="1:5" ht="15" x14ac:dyDescent="0.2">
      <c r="A74" s="2">
        <v>72</v>
      </c>
      <c r="B74" s="3" t="s">
        <v>131</v>
      </c>
      <c r="C74" s="2"/>
      <c r="D74" s="4" t="s">
        <v>380</v>
      </c>
      <c r="E74" s="4"/>
    </row>
    <row r="75" spans="1:5" ht="15" x14ac:dyDescent="0.2">
      <c r="A75" s="2">
        <v>73</v>
      </c>
      <c r="B75" s="3" t="s">
        <v>156</v>
      </c>
      <c r="C75" s="2" t="s">
        <v>387</v>
      </c>
      <c r="D75" s="4" t="s">
        <v>380</v>
      </c>
      <c r="E75" s="4"/>
    </row>
    <row r="76" spans="1:5" ht="15" x14ac:dyDescent="0.2">
      <c r="A76" s="2">
        <v>74</v>
      </c>
      <c r="B76" s="3" t="s">
        <v>157</v>
      </c>
      <c r="C76" s="2" t="s">
        <v>388</v>
      </c>
      <c r="D76" s="4" t="s">
        <v>380</v>
      </c>
      <c r="E76" s="4"/>
    </row>
    <row r="77" spans="1:5" ht="15" x14ac:dyDescent="0.2">
      <c r="A77" s="2">
        <v>75</v>
      </c>
      <c r="B77" s="3" t="s">
        <v>417</v>
      </c>
      <c r="C77" s="2" t="s">
        <v>428</v>
      </c>
      <c r="D77" s="4" t="s">
        <v>380</v>
      </c>
      <c r="E77" s="4"/>
    </row>
    <row r="78" spans="1:5" ht="15" x14ac:dyDescent="0.2">
      <c r="A78" s="2">
        <v>76</v>
      </c>
      <c r="B78" s="3" t="s">
        <v>158</v>
      </c>
      <c r="C78" s="2" t="s">
        <v>389</v>
      </c>
      <c r="D78" s="4" t="s">
        <v>380</v>
      </c>
      <c r="E78" s="4" t="s">
        <v>380</v>
      </c>
    </row>
    <row r="79" spans="1:5" ht="15" x14ac:dyDescent="0.2">
      <c r="A79" s="2">
        <v>77</v>
      </c>
      <c r="B79" s="3" t="s">
        <v>371</v>
      </c>
      <c r="C79" s="2"/>
      <c r="D79" s="4" t="s">
        <v>380</v>
      </c>
      <c r="E79" s="4"/>
    </row>
    <row r="80" spans="1:5" ht="15" x14ac:dyDescent="0.2">
      <c r="A80" s="2">
        <v>78</v>
      </c>
      <c r="B80" s="3" t="s">
        <v>372</v>
      </c>
      <c r="C80" s="2"/>
      <c r="D80" s="4" t="s">
        <v>380</v>
      </c>
      <c r="E80" s="4"/>
    </row>
    <row r="81" spans="1:5" ht="15" x14ac:dyDescent="0.2">
      <c r="A81" s="2">
        <v>79</v>
      </c>
      <c r="B81" s="3" t="s">
        <v>170</v>
      </c>
      <c r="C81" s="2" t="s">
        <v>390</v>
      </c>
      <c r="D81" s="4" t="s">
        <v>380</v>
      </c>
      <c r="E81" s="4"/>
    </row>
    <row r="82" spans="1:5" ht="15" x14ac:dyDescent="0.2">
      <c r="A82" s="2">
        <v>80</v>
      </c>
      <c r="B82" s="3" t="s">
        <v>171</v>
      </c>
      <c r="C82" s="2" t="s">
        <v>391</v>
      </c>
      <c r="D82" s="4" t="s">
        <v>380</v>
      </c>
      <c r="E82" s="4"/>
    </row>
    <row r="83" spans="1:5" ht="15" x14ac:dyDescent="0.2">
      <c r="A83" s="2">
        <v>81</v>
      </c>
      <c r="B83" s="3" t="s">
        <v>172</v>
      </c>
      <c r="C83" s="2" t="s">
        <v>392</v>
      </c>
      <c r="D83" s="4" t="s">
        <v>380</v>
      </c>
      <c r="E83" s="4"/>
    </row>
    <row r="84" spans="1:5" ht="15" x14ac:dyDescent="0.2">
      <c r="A84" s="2">
        <v>82</v>
      </c>
      <c r="B84" s="3" t="s">
        <v>173</v>
      </c>
      <c r="C84" s="2" t="s">
        <v>393</v>
      </c>
      <c r="D84" s="4" t="s">
        <v>380</v>
      </c>
      <c r="E84" s="4"/>
    </row>
    <row r="85" spans="1:5" ht="15" x14ac:dyDescent="0.2">
      <c r="A85" s="2">
        <v>83</v>
      </c>
      <c r="B85" s="3" t="s">
        <v>174</v>
      </c>
      <c r="C85" s="2" t="s">
        <v>394</v>
      </c>
      <c r="D85" s="4" t="s">
        <v>380</v>
      </c>
      <c r="E85" s="4"/>
    </row>
    <row r="86" spans="1:5" ht="15" x14ac:dyDescent="0.2">
      <c r="A86" s="2">
        <v>84</v>
      </c>
      <c r="B86" s="3" t="s">
        <v>175</v>
      </c>
      <c r="C86" s="2" t="s">
        <v>395</v>
      </c>
      <c r="D86" s="4" t="s">
        <v>380</v>
      </c>
      <c r="E86" s="4"/>
    </row>
    <row r="87" spans="1:5" ht="15" x14ac:dyDescent="0.2">
      <c r="A87" s="2">
        <v>85</v>
      </c>
      <c r="B87" s="3" t="s">
        <v>176</v>
      </c>
      <c r="C87" s="2" t="s">
        <v>396</v>
      </c>
      <c r="D87" s="4" t="s">
        <v>380</v>
      </c>
      <c r="E87" s="4"/>
    </row>
    <row r="88" spans="1:5" ht="15" x14ac:dyDescent="0.2">
      <c r="A88" s="2">
        <v>86</v>
      </c>
      <c r="B88" s="3" t="s">
        <v>177</v>
      </c>
      <c r="C88" s="2" t="s">
        <v>397</v>
      </c>
      <c r="D88" s="4" t="s">
        <v>380</v>
      </c>
      <c r="E88" s="4"/>
    </row>
    <row r="89" spans="1:5" ht="15" x14ac:dyDescent="0.2">
      <c r="A89" s="2">
        <v>87</v>
      </c>
      <c r="B89" s="3" t="s">
        <v>178</v>
      </c>
      <c r="C89" s="2" t="s">
        <v>398</v>
      </c>
      <c r="D89" s="4" t="s">
        <v>380</v>
      </c>
      <c r="E89" s="4"/>
    </row>
    <row r="90" spans="1:5" ht="15" x14ac:dyDescent="0.2">
      <c r="A90" s="2">
        <v>88</v>
      </c>
      <c r="B90" s="3" t="s">
        <v>179</v>
      </c>
      <c r="C90" s="2" t="s">
        <v>399</v>
      </c>
      <c r="D90" s="4" t="s">
        <v>380</v>
      </c>
      <c r="E90" s="4"/>
    </row>
    <row r="91" spans="1:5" ht="15" x14ac:dyDescent="0.2">
      <c r="A91" s="2">
        <v>89</v>
      </c>
      <c r="B91" s="3" t="s">
        <v>418</v>
      </c>
      <c r="C91" s="2" t="s">
        <v>429</v>
      </c>
      <c r="D91" s="4" t="s">
        <v>380</v>
      </c>
      <c r="E91" s="4"/>
    </row>
    <row r="92" spans="1:5" ht="15" x14ac:dyDescent="0.2">
      <c r="A92" s="2">
        <v>90</v>
      </c>
      <c r="B92" s="3" t="s">
        <v>180</v>
      </c>
      <c r="C92" s="2" t="s">
        <v>258</v>
      </c>
      <c r="D92" s="4" t="s">
        <v>380</v>
      </c>
      <c r="E92" s="4"/>
    </row>
    <row r="93" spans="1:5" ht="15" x14ac:dyDescent="0.2">
      <c r="A93" s="2">
        <v>91</v>
      </c>
      <c r="B93" s="3" t="s">
        <v>181</v>
      </c>
      <c r="C93" s="2" t="s">
        <v>259</v>
      </c>
      <c r="D93" s="4" t="s">
        <v>380</v>
      </c>
      <c r="E93" s="4"/>
    </row>
    <row r="94" spans="1:5" ht="15" x14ac:dyDescent="0.2">
      <c r="A94" s="2">
        <v>92</v>
      </c>
      <c r="B94" s="3" t="s">
        <v>182</v>
      </c>
      <c r="C94" s="2" t="s">
        <v>260</v>
      </c>
      <c r="D94" s="4" t="s">
        <v>380</v>
      </c>
      <c r="E94" s="4"/>
    </row>
    <row r="95" spans="1:5" ht="15" x14ac:dyDescent="0.2">
      <c r="A95" s="2">
        <v>93</v>
      </c>
      <c r="B95" s="3" t="s">
        <v>183</v>
      </c>
      <c r="C95" s="2" t="s">
        <v>261</v>
      </c>
      <c r="D95" s="4" t="s">
        <v>380</v>
      </c>
      <c r="E95" s="4"/>
    </row>
    <row r="96" spans="1:5" ht="15" x14ac:dyDescent="0.2">
      <c r="A96" s="2">
        <v>94</v>
      </c>
      <c r="B96" s="3" t="s">
        <v>184</v>
      </c>
      <c r="C96" s="2" t="s">
        <v>262</v>
      </c>
      <c r="D96" s="4" t="s">
        <v>380</v>
      </c>
      <c r="E96" s="4"/>
    </row>
    <row r="97" spans="1:5" ht="15" x14ac:dyDescent="0.2">
      <c r="A97" s="2">
        <v>95</v>
      </c>
      <c r="B97" s="3" t="s">
        <v>185</v>
      </c>
      <c r="C97" s="2" t="s">
        <v>263</v>
      </c>
      <c r="D97" s="4" t="s">
        <v>380</v>
      </c>
      <c r="E97" s="4"/>
    </row>
    <row r="98" spans="1:5" ht="15" x14ac:dyDescent="0.2">
      <c r="A98" s="2">
        <v>96</v>
      </c>
      <c r="B98" s="3" t="s">
        <v>186</v>
      </c>
      <c r="C98" s="2" t="s">
        <v>264</v>
      </c>
      <c r="D98" s="4" t="s">
        <v>380</v>
      </c>
      <c r="E98" s="4"/>
    </row>
    <row r="99" spans="1:5" ht="15" x14ac:dyDescent="0.2">
      <c r="A99" s="2">
        <v>97</v>
      </c>
      <c r="B99" s="3" t="s">
        <v>187</v>
      </c>
      <c r="C99" s="2" t="s">
        <v>265</v>
      </c>
      <c r="D99" s="4" t="s">
        <v>380</v>
      </c>
      <c r="E99" s="4"/>
    </row>
    <row r="100" spans="1:5" ht="15" x14ac:dyDescent="0.2">
      <c r="A100" s="2">
        <v>98</v>
      </c>
      <c r="B100" s="3" t="s">
        <v>188</v>
      </c>
      <c r="C100" s="2" t="s">
        <v>266</v>
      </c>
      <c r="D100" s="4" t="s">
        <v>380</v>
      </c>
      <c r="E100" s="4"/>
    </row>
    <row r="101" spans="1:5" ht="15" x14ac:dyDescent="0.2">
      <c r="A101" s="2">
        <v>99</v>
      </c>
      <c r="B101" s="3" t="s">
        <v>189</v>
      </c>
      <c r="C101" s="2" t="s">
        <v>267</v>
      </c>
      <c r="D101" s="4" t="s">
        <v>380</v>
      </c>
      <c r="E101" s="4"/>
    </row>
    <row r="102" spans="1:5" ht="15" x14ac:dyDescent="0.2">
      <c r="A102" s="2">
        <v>100</v>
      </c>
      <c r="B102" s="3" t="s">
        <v>190</v>
      </c>
      <c r="C102" s="2" t="s">
        <v>268</v>
      </c>
      <c r="D102" s="4" t="s">
        <v>380</v>
      </c>
      <c r="E102" s="4"/>
    </row>
    <row r="103" spans="1:5" ht="15" x14ac:dyDescent="0.2">
      <c r="A103" s="2">
        <v>101</v>
      </c>
      <c r="B103" s="3" t="s">
        <v>191</v>
      </c>
      <c r="C103" s="2" t="s">
        <v>274</v>
      </c>
      <c r="D103" s="4" t="s">
        <v>380</v>
      </c>
      <c r="E103" s="4"/>
    </row>
    <row r="104" spans="1:5" ht="15" x14ac:dyDescent="0.2">
      <c r="A104" s="2">
        <v>102</v>
      </c>
      <c r="B104" s="3" t="s">
        <v>192</v>
      </c>
      <c r="C104" s="2" t="s">
        <v>275</v>
      </c>
      <c r="D104" s="4" t="s">
        <v>380</v>
      </c>
      <c r="E104" s="4"/>
    </row>
    <row r="105" spans="1:5" ht="15" x14ac:dyDescent="0.2">
      <c r="A105" s="2">
        <v>103</v>
      </c>
      <c r="B105" s="3" t="s">
        <v>193</v>
      </c>
      <c r="C105" s="2" t="s">
        <v>276</v>
      </c>
      <c r="D105" s="4" t="s">
        <v>380</v>
      </c>
      <c r="E105" s="4"/>
    </row>
    <row r="106" spans="1:5" ht="15" x14ac:dyDescent="0.2">
      <c r="A106" s="2">
        <v>104</v>
      </c>
      <c r="B106" s="3" t="s">
        <v>194</v>
      </c>
      <c r="C106" s="2" t="s">
        <v>277</v>
      </c>
      <c r="D106" s="4" t="s">
        <v>380</v>
      </c>
      <c r="E106" s="4"/>
    </row>
    <row r="107" spans="1:5" ht="15" x14ac:dyDescent="0.2">
      <c r="A107" s="2">
        <v>105</v>
      </c>
      <c r="B107" s="3" t="s">
        <v>195</v>
      </c>
      <c r="C107" s="2" t="s">
        <v>269</v>
      </c>
      <c r="D107" s="4" t="s">
        <v>380</v>
      </c>
      <c r="E107" s="4"/>
    </row>
    <row r="108" spans="1:5" ht="15" x14ac:dyDescent="0.2">
      <c r="A108" s="2">
        <v>106</v>
      </c>
      <c r="B108" s="3" t="s">
        <v>196</v>
      </c>
      <c r="C108" s="2" t="s">
        <v>270</v>
      </c>
      <c r="D108" s="4" t="s">
        <v>380</v>
      </c>
      <c r="E108" s="4"/>
    </row>
    <row r="109" spans="1:5" ht="15" x14ac:dyDescent="0.2">
      <c r="A109" s="2">
        <v>107</v>
      </c>
      <c r="B109" s="3" t="s">
        <v>197</v>
      </c>
      <c r="C109" s="2" t="s">
        <v>271</v>
      </c>
      <c r="D109" s="4" t="s">
        <v>380</v>
      </c>
      <c r="E109" s="4"/>
    </row>
    <row r="110" spans="1:5" ht="15" x14ac:dyDescent="0.2">
      <c r="A110" s="2">
        <v>108</v>
      </c>
      <c r="B110" s="3" t="s">
        <v>198</v>
      </c>
      <c r="C110" s="2" t="s">
        <v>272</v>
      </c>
      <c r="D110" s="4" t="s">
        <v>380</v>
      </c>
      <c r="E110" s="4"/>
    </row>
    <row r="111" spans="1:5" ht="15" x14ac:dyDescent="0.2">
      <c r="A111" s="2">
        <v>109</v>
      </c>
      <c r="B111" s="3" t="s">
        <v>199</v>
      </c>
      <c r="C111" s="2" t="s">
        <v>278</v>
      </c>
      <c r="D111" s="4" t="s">
        <v>380</v>
      </c>
      <c r="E111" s="4"/>
    </row>
    <row r="112" spans="1:5" ht="15" x14ac:dyDescent="0.2">
      <c r="A112" s="2">
        <v>110</v>
      </c>
      <c r="B112" s="3" t="s">
        <v>200</v>
      </c>
      <c r="C112" s="2" t="s">
        <v>279</v>
      </c>
      <c r="D112" s="4" t="s">
        <v>380</v>
      </c>
      <c r="E112" s="4"/>
    </row>
    <row r="113" spans="1:5" ht="15" x14ac:dyDescent="0.2">
      <c r="A113" s="2">
        <v>111</v>
      </c>
      <c r="B113" s="3" t="s">
        <v>201</v>
      </c>
      <c r="C113" s="2" t="s">
        <v>280</v>
      </c>
      <c r="D113" s="4" t="s">
        <v>380</v>
      </c>
      <c r="E113" s="4"/>
    </row>
    <row r="114" spans="1:5" ht="15" x14ac:dyDescent="0.2">
      <c r="A114" s="2">
        <v>112</v>
      </c>
      <c r="B114" s="3" t="s">
        <v>202</v>
      </c>
      <c r="C114" s="2" t="s">
        <v>281</v>
      </c>
      <c r="D114" s="4" t="s">
        <v>380</v>
      </c>
      <c r="E114" s="4"/>
    </row>
    <row r="115" spans="1:5" ht="15" x14ac:dyDescent="0.2">
      <c r="A115" s="2">
        <v>113</v>
      </c>
      <c r="B115" s="3" t="s">
        <v>203</v>
      </c>
      <c r="C115" s="2" t="s">
        <v>273</v>
      </c>
      <c r="D115" s="4" t="s">
        <v>380</v>
      </c>
      <c r="E115" s="4"/>
    </row>
    <row r="116" spans="1:5" ht="15" x14ac:dyDescent="0.2">
      <c r="A116" s="2">
        <v>114</v>
      </c>
      <c r="B116" s="3" t="s">
        <v>204</v>
      </c>
      <c r="C116" s="2" t="s">
        <v>282</v>
      </c>
      <c r="D116" s="4" t="s">
        <v>380</v>
      </c>
      <c r="E116" s="4"/>
    </row>
    <row r="117" spans="1:5" ht="15" x14ac:dyDescent="0.2">
      <c r="A117" s="2">
        <v>115</v>
      </c>
      <c r="B117" s="3" t="s">
        <v>205</v>
      </c>
      <c r="C117" s="2" t="s">
        <v>283</v>
      </c>
      <c r="D117" s="4" t="s">
        <v>380</v>
      </c>
      <c r="E117" s="4"/>
    </row>
    <row r="118" spans="1:5" ht="15" x14ac:dyDescent="0.2">
      <c r="A118" s="2">
        <v>116</v>
      </c>
      <c r="B118" s="3" t="s">
        <v>206</v>
      </c>
      <c r="C118" s="2" t="s">
        <v>284</v>
      </c>
      <c r="D118" s="4" t="s">
        <v>380</v>
      </c>
      <c r="E118" s="4"/>
    </row>
    <row r="119" spans="1:5" ht="15" x14ac:dyDescent="0.2">
      <c r="A119" s="2">
        <v>117</v>
      </c>
      <c r="B119" s="3" t="s">
        <v>207</v>
      </c>
      <c r="C119" s="2" t="s">
        <v>285</v>
      </c>
      <c r="D119" s="4" t="s">
        <v>380</v>
      </c>
      <c r="E119" s="4"/>
    </row>
    <row r="120" spans="1:5" ht="15" x14ac:dyDescent="0.2">
      <c r="A120" s="2">
        <v>118</v>
      </c>
      <c r="B120" s="3" t="s">
        <v>208</v>
      </c>
      <c r="C120" s="2" t="s">
        <v>286</v>
      </c>
      <c r="D120" s="4" t="s">
        <v>380</v>
      </c>
      <c r="E120" s="4"/>
    </row>
    <row r="121" spans="1:5" ht="15" x14ac:dyDescent="0.2">
      <c r="A121" s="2">
        <v>119</v>
      </c>
      <c r="B121" s="3" t="s">
        <v>419</v>
      </c>
      <c r="C121" s="2" t="s">
        <v>430</v>
      </c>
      <c r="D121" s="4" t="s">
        <v>380</v>
      </c>
      <c r="E121" s="4"/>
    </row>
    <row r="122" spans="1:5" ht="15" x14ac:dyDescent="0.2">
      <c r="A122" s="2">
        <v>120</v>
      </c>
      <c r="B122" s="3" t="s">
        <v>209</v>
      </c>
      <c r="C122" s="2" t="s">
        <v>288</v>
      </c>
      <c r="D122" s="4" t="s">
        <v>380</v>
      </c>
      <c r="E122" s="4" t="s">
        <v>380</v>
      </c>
    </row>
    <row r="123" spans="1:5" ht="15" x14ac:dyDescent="0.2">
      <c r="A123" s="2">
        <v>121</v>
      </c>
      <c r="B123" s="3" t="s">
        <v>210</v>
      </c>
      <c r="C123" s="2" t="s">
        <v>287</v>
      </c>
      <c r="D123" s="4" t="s">
        <v>380</v>
      </c>
      <c r="E123" s="4" t="s">
        <v>380</v>
      </c>
    </row>
    <row r="124" spans="1:5" ht="15" x14ac:dyDescent="0.2">
      <c r="A124" s="2">
        <v>122</v>
      </c>
      <c r="B124" s="3" t="s">
        <v>211</v>
      </c>
      <c r="C124" s="2" t="s">
        <v>289</v>
      </c>
      <c r="D124" s="4" t="s">
        <v>380</v>
      </c>
      <c r="E124" s="4" t="s">
        <v>380</v>
      </c>
    </row>
    <row r="125" spans="1:5" ht="15" x14ac:dyDescent="0.2">
      <c r="A125" s="2">
        <v>123</v>
      </c>
      <c r="B125" s="3" t="s">
        <v>212</v>
      </c>
      <c r="C125" s="2" t="s">
        <v>290</v>
      </c>
      <c r="D125" s="4" t="s">
        <v>380</v>
      </c>
      <c r="E125" s="4" t="s">
        <v>380</v>
      </c>
    </row>
    <row r="126" spans="1:5" ht="15" x14ac:dyDescent="0.2">
      <c r="A126" s="2">
        <v>124</v>
      </c>
      <c r="B126" s="3" t="s">
        <v>213</v>
      </c>
      <c r="C126" s="2" t="s">
        <v>291</v>
      </c>
      <c r="D126" s="4" t="s">
        <v>380</v>
      </c>
      <c r="E126" s="4" t="s">
        <v>380</v>
      </c>
    </row>
    <row r="127" spans="1:5" ht="15" x14ac:dyDescent="0.2">
      <c r="A127" s="2">
        <v>125</v>
      </c>
      <c r="B127" s="3" t="s">
        <v>214</v>
      </c>
      <c r="C127" s="2" t="s">
        <v>292</v>
      </c>
      <c r="D127" s="4" t="s">
        <v>380</v>
      </c>
      <c r="E127" s="4" t="s">
        <v>380</v>
      </c>
    </row>
    <row r="128" spans="1:5" ht="15" x14ac:dyDescent="0.2">
      <c r="A128" s="2">
        <v>126</v>
      </c>
      <c r="B128" s="3" t="s">
        <v>420</v>
      </c>
      <c r="C128" s="2" t="s">
        <v>431</v>
      </c>
      <c r="D128" s="4" t="s">
        <v>380</v>
      </c>
      <c r="E128" s="4"/>
    </row>
    <row r="129" spans="1:5" ht="15" x14ac:dyDescent="0.2">
      <c r="A129" s="2">
        <v>127</v>
      </c>
      <c r="B129" s="3" t="s">
        <v>215</v>
      </c>
      <c r="C129" s="2" t="s">
        <v>293</v>
      </c>
      <c r="D129" s="4" t="s">
        <v>380</v>
      </c>
      <c r="E129" s="4"/>
    </row>
    <row r="130" spans="1:5" ht="15" x14ac:dyDescent="0.2">
      <c r="A130" s="2">
        <v>128</v>
      </c>
      <c r="B130" s="3" t="s">
        <v>216</v>
      </c>
      <c r="C130" s="2" t="s">
        <v>294</v>
      </c>
      <c r="D130" s="4" t="s">
        <v>380</v>
      </c>
      <c r="E130" s="4"/>
    </row>
    <row r="131" spans="1:5" ht="15" x14ac:dyDescent="0.2">
      <c r="A131" s="2">
        <v>129</v>
      </c>
      <c r="B131" s="3" t="s">
        <v>217</v>
      </c>
      <c r="C131" s="2" t="s">
        <v>295</v>
      </c>
      <c r="D131" s="4" t="s">
        <v>380</v>
      </c>
      <c r="E131" s="4"/>
    </row>
    <row r="132" spans="1:5" ht="15" x14ac:dyDescent="0.2">
      <c r="A132" s="2">
        <v>130</v>
      </c>
      <c r="B132" s="3" t="s">
        <v>218</v>
      </c>
      <c r="C132" s="2" t="s">
        <v>296</v>
      </c>
      <c r="D132" s="4" t="s">
        <v>380</v>
      </c>
      <c r="E132" s="4"/>
    </row>
    <row r="133" spans="1:5" ht="15" x14ac:dyDescent="0.2">
      <c r="A133" s="2">
        <v>131</v>
      </c>
      <c r="B133" s="3" t="s">
        <v>219</v>
      </c>
      <c r="C133" s="2" t="s">
        <v>297</v>
      </c>
      <c r="D133" s="4" t="s">
        <v>380</v>
      </c>
      <c r="E133" s="4"/>
    </row>
    <row r="134" spans="1:5" ht="15" x14ac:dyDescent="0.2">
      <c r="A134" s="2">
        <v>132</v>
      </c>
      <c r="B134" s="3" t="s">
        <v>220</v>
      </c>
      <c r="C134" s="2" t="s">
        <v>298</v>
      </c>
      <c r="D134" s="4" t="s">
        <v>380</v>
      </c>
      <c r="E134" s="4"/>
    </row>
    <row r="135" spans="1:5" ht="15" x14ac:dyDescent="0.2">
      <c r="A135" s="2">
        <v>133</v>
      </c>
      <c r="B135" s="3" t="s">
        <v>221</v>
      </c>
      <c r="C135" s="2" t="s">
        <v>299</v>
      </c>
      <c r="D135" s="4" t="s">
        <v>380</v>
      </c>
      <c r="E135" s="4"/>
    </row>
    <row r="136" spans="1:5" ht="15" x14ac:dyDescent="0.2">
      <c r="A136" s="2">
        <v>134</v>
      </c>
      <c r="B136" s="3" t="s">
        <v>222</v>
      </c>
      <c r="C136" s="2" t="s">
        <v>300</v>
      </c>
      <c r="D136" s="4" t="s">
        <v>380</v>
      </c>
      <c r="E136" s="4"/>
    </row>
    <row r="137" spans="1:5" ht="15" x14ac:dyDescent="0.2">
      <c r="A137" s="2">
        <v>135</v>
      </c>
      <c r="B137" s="3" t="s">
        <v>223</v>
      </c>
      <c r="C137" s="2" t="s">
        <v>436</v>
      </c>
      <c r="D137" s="4" t="s">
        <v>380</v>
      </c>
      <c r="E137" s="4"/>
    </row>
    <row r="138" spans="1:5" ht="15" x14ac:dyDescent="0.2">
      <c r="A138" s="2">
        <v>136</v>
      </c>
      <c r="B138" s="3" t="s">
        <v>224</v>
      </c>
      <c r="C138" s="2" t="s">
        <v>301</v>
      </c>
      <c r="D138" s="4" t="s">
        <v>380</v>
      </c>
      <c r="E138" s="4"/>
    </row>
    <row r="139" spans="1:5" ht="15" x14ac:dyDescent="0.2">
      <c r="A139" s="2">
        <v>137</v>
      </c>
      <c r="B139" s="3" t="s">
        <v>225</v>
      </c>
      <c r="C139" s="2" t="s">
        <v>302</v>
      </c>
      <c r="D139" s="4" t="s">
        <v>380</v>
      </c>
      <c r="E139" s="4"/>
    </row>
    <row r="140" spans="1:5" ht="15" x14ac:dyDescent="0.2">
      <c r="A140" s="2">
        <v>138</v>
      </c>
      <c r="B140" s="3" t="s">
        <v>226</v>
      </c>
      <c r="C140" s="2" t="s">
        <v>303</v>
      </c>
      <c r="D140" s="4" t="s">
        <v>380</v>
      </c>
      <c r="E140" s="4"/>
    </row>
    <row r="141" spans="1:5" ht="15" x14ac:dyDescent="0.2">
      <c r="A141" s="2">
        <v>139</v>
      </c>
      <c r="B141" s="3" t="s">
        <v>227</v>
      </c>
      <c r="C141" s="2" t="s">
        <v>304</v>
      </c>
      <c r="D141" s="4" t="s">
        <v>380</v>
      </c>
      <c r="E141" s="4"/>
    </row>
    <row r="142" spans="1:5" ht="15" x14ac:dyDescent="0.2">
      <c r="A142" s="2">
        <v>140</v>
      </c>
      <c r="B142" s="3" t="s">
        <v>228</v>
      </c>
      <c r="C142" s="2" t="s">
        <v>305</v>
      </c>
      <c r="D142" s="4" t="s">
        <v>380</v>
      </c>
      <c r="E142" s="4"/>
    </row>
    <row r="143" spans="1:5" ht="15" x14ac:dyDescent="0.2">
      <c r="A143" s="2">
        <v>141</v>
      </c>
      <c r="B143" s="3" t="s">
        <v>229</v>
      </c>
      <c r="C143" s="2" t="s">
        <v>306</v>
      </c>
      <c r="D143" s="4" t="s">
        <v>380</v>
      </c>
      <c r="E143" s="4"/>
    </row>
    <row r="144" spans="1:5" ht="15" x14ac:dyDescent="0.2">
      <c r="A144" s="2">
        <v>142</v>
      </c>
      <c r="B144" s="3" t="s">
        <v>230</v>
      </c>
      <c r="C144" s="2" t="s">
        <v>307</v>
      </c>
      <c r="D144" s="4" t="s">
        <v>380</v>
      </c>
      <c r="E144" s="4"/>
    </row>
    <row r="145" spans="1:5" ht="15" x14ac:dyDescent="0.2">
      <c r="A145" s="2">
        <v>143</v>
      </c>
      <c r="B145" s="3" t="s">
        <v>231</v>
      </c>
      <c r="C145" s="2" t="s">
        <v>308</v>
      </c>
      <c r="D145" s="4" t="s">
        <v>380</v>
      </c>
      <c r="E145" s="4"/>
    </row>
    <row r="146" spans="1:5" ht="15" x14ac:dyDescent="0.2">
      <c r="A146" s="2">
        <v>144</v>
      </c>
      <c r="B146" s="3" t="s">
        <v>232</v>
      </c>
      <c r="C146" s="2" t="s">
        <v>309</v>
      </c>
      <c r="D146" s="4" t="s">
        <v>380</v>
      </c>
      <c r="E146" s="4"/>
    </row>
    <row r="147" spans="1:5" ht="15" x14ac:dyDescent="0.2">
      <c r="A147" s="2">
        <v>145</v>
      </c>
      <c r="B147" s="3" t="s">
        <v>233</v>
      </c>
      <c r="C147" s="2" t="s">
        <v>310</v>
      </c>
      <c r="D147" s="4" t="s">
        <v>380</v>
      </c>
      <c r="E147" s="4"/>
    </row>
    <row r="148" spans="1:5" ht="15" x14ac:dyDescent="0.2">
      <c r="A148" s="2">
        <v>146</v>
      </c>
      <c r="B148" s="3" t="s">
        <v>234</v>
      </c>
      <c r="C148" s="2" t="s">
        <v>311</v>
      </c>
      <c r="D148" s="4" t="s">
        <v>380</v>
      </c>
      <c r="E148" s="4"/>
    </row>
    <row r="149" spans="1:5" ht="15" x14ac:dyDescent="0.2">
      <c r="A149" s="2">
        <v>147</v>
      </c>
      <c r="B149" s="3" t="s">
        <v>235</v>
      </c>
      <c r="C149" s="2" t="s">
        <v>312</v>
      </c>
      <c r="D149" s="4" t="s">
        <v>380</v>
      </c>
      <c r="E149" s="4"/>
    </row>
    <row r="150" spans="1:5" ht="15" x14ac:dyDescent="0.2">
      <c r="A150" s="2">
        <v>148</v>
      </c>
      <c r="B150" s="3" t="s">
        <v>236</v>
      </c>
      <c r="C150" s="2" t="s">
        <v>313</v>
      </c>
      <c r="D150" s="4" t="s">
        <v>380</v>
      </c>
      <c r="E150" s="4"/>
    </row>
    <row r="151" spans="1:5" ht="15" x14ac:dyDescent="0.2">
      <c r="A151" s="2">
        <v>149</v>
      </c>
      <c r="B151" s="3" t="s">
        <v>237</v>
      </c>
      <c r="C151" s="2" t="s">
        <v>314</v>
      </c>
      <c r="D151" s="4" t="s">
        <v>380</v>
      </c>
      <c r="E151" s="4"/>
    </row>
    <row r="152" spans="1:5" ht="15" x14ac:dyDescent="0.2">
      <c r="A152" s="2">
        <v>150</v>
      </c>
      <c r="B152" s="3" t="s">
        <v>238</v>
      </c>
      <c r="C152" s="2" t="s">
        <v>315</v>
      </c>
      <c r="D152" s="4" t="s">
        <v>380</v>
      </c>
      <c r="E152" s="4"/>
    </row>
    <row r="153" spans="1:5" ht="15" x14ac:dyDescent="0.2">
      <c r="A153" s="2">
        <v>151</v>
      </c>
      <c r="B153" s="3" t="s">
        <v>239</v>
      </c>
      <c r="C153" s="2" t="s">
        <v>316</v>
      </c>
      <c r="D153" s="4" t="s">
        <v>380</v>
      </c>
      <c r="E153" s="4"/>
    </row>
    <row r="154" spans="1:5" ht="15" x14ac:dyDescent="0.2">
      <c r="A154" s="2">
        <v>152</v>
      </c>
      <c r="B154" s="3" t="s">
        <v>240</v>
      </c>
      <c r="C154" s="2" t="s">
        <v>317</v>
      </c>
      <c r="D154" s="4" t="s">
        <v>380</v>
      </c>
      <c r="E154" s="4"/>
    </row>
    <row r="155" spans="1:5" ht="15" x14ac:dyDescent="0.2">
      <c r="A155" s="2">
        <v>153</v>
      </c>
      <c r="B155" s="3" t="s">
        <v>241</v>
      </c>
      <c r="C155" s="2" t="s">
        <v>318</v>
      </c>
      <c r="D155" s="4" t="s">
        <v>380</v>
      </c>
      <c r="E155" s="4"/>
    </row>
    <row r="156" spans="1:5" ht="15" x14ac:dyDescent="0.2">
      <c r="A156" s="2">
        <v>154</v>
      </c>
      <c r="B156" s="3" t="s">
        <v>242</v>
      </c>
      <c r="C156" s="2" t="s">
        <v>319</v>
      </c>
      <c r="D156" s="4" t="s">
        <v>380</v>
      </c>
      <c r="E156" s="4"/>
    </row>
    <row r="157" spans="1:5" ht="15" x14ac:dyDescent="0.2">
      <c r="A157" s="2">
        <v>155</v>
      </c>
      <c r="B157" s="3" t="s">
        <v>243</v>
      </c>
      <c r="C157" s="2" t="s">
        <v>320</v>
      </c>
      <c r="D157" s="4" t="s">
        <v>380</v>
      </c>
      <c r="E157" s="4"/>
    </row>
    <row r="158" spans="1:5" ht="15" x14ac:dyDescent="0.2">
      <c r="A158" s="2">
        <v>156</v>
      </c>
      <c r="B158" s="3" t="s">
        <v>244</v>
      </c>
      <c r="C158" s="2" t="s">
        <v>321</v>
      </c>
      <c r="D158" s="4" t="s">
        <v>380</v>
      </c>
      <c r="E158" s="4"/>
    </row>
    <row r="159" spans="1:5" ht="15" x14ac:dyDescent="0.2">
      <c r="A159" s="2">
        <v>157</v>
      </c>
      <c r="B159" s="3" t="s">
        <v>245</v>
      </c>
      <c r="C159" s="2"/>
      <c r="D159" s="4" t="s">
        <v>380</v>
      </c>
      <c r="E159" s="4" t="s">
        <v>380</v>
      </c>
    </row>
    <row r="160" spans="1:5" ht="15" x14ac:dyDescent="0.2">
      <c r="A160" s="2">
        <v>158</v>
      </c>
      <c r="B160" s="3" t="s">
        <v>246</v>
      </c>
      <c r="C160" s="2" t="s">
        <v>327</v>
      </c>
      <c r="D160" s="4" t="s">
        <v>380</v>
      </c>
      <c r="E160" s="4"/>
    </row>
    <row r="161" spans="1:5" ht="15" x14ac:dyDescent="0.2">
      <c r="A161" s="2">
        <v>159</v>
      </c>
      <c r="B161" s="3" t="s">
        <v>247</v>
      </c>
      <c r="C161" s="2" t="s">
        <v>323</v>
      </c>
      <c r="D161" s="4" t="s">
        <v>380</v>
      </c>
      <c r="E161" s="4"/>
    </row>
    <row r="162" spans="1:5" ht="15" x14ac:dyDescent="0.2">
      <c r="A162" s="2">
        <v>160</v>
      </c>
      <c r="B162" s="3" t="s">
        <v>248</v>
      </c>
      <c r="C162" s="2" t="s">
        <v>324</v>
      </c>
      <c r="D162" s="4" t="s">
        <v>380</v>
      </c>
      <c r="E162" s="4"/>
    </row>
    <row r="163" spans="1:5" ht="15" x14ac:dyDescent="0.2">
      <c r="A163" s="2">
        <v>161</v>
      </c>
      <c r="B163" s="3" t="s">
        <v>249</v>
      </c>
      <c r="C163" s="2" t="s">
        <v>325</v>
      </c>
      <c r="D163" s="4" t="s">
        <v>380</v>
      </c>
      <c r="E163" s="4"/>
    </row>
    <row r="164" spans="1:5" ht="15" x14ac:dyDescent="0.2">
      <c r="A164" s="2">
        <v>162</v>
      </c>
      <c r="B164" s="3" t="s">
        <v>250</v>
      </c>
      <c r="C164" s="2" t="s">
        <v>326</v>
      </c>
      <c r="D164" s="4" t="s">
        <v>380</v>
      </c>
      <c r="E164" s="4" t="s">
        <v>380</v>
      </c>
    </row>
    <row r="165" spans="1:5" ht="15" x14ac:dyDescent="0.2">
      <c r="A165" s="2">
        <v>163</v>
      </c>
      <c r="B165" s="3" t="s">
        <v>251</v>
      </c>
      <c r="C165" s="2" t="s">
        <v>322</v>
      </c>
      <c r="D165" s="4" t="s">
        <v>380</v>
      </c>
      <c r="E165" s="4" t="s">
        <v>380</v>
      </c>
    </row>
    <row r="166" spans="1:5" ht="15" x14ac:dyDescent="0.2">
      <c r="A166" s="2">
        <v>164</v>
      </c>
      <c r="B166" s="3" t="s">
        <v>252</v>
      </c>
      <c r="C166" s="2" t="s">
        <v>328</v>
      </c>
      <c r="D166" s="4" t="s">
        <v>380</v>
      </c>
      <c r="E166" s="4"/>
    </row>
    <row r="167" spans="1:5" ht="15" x14ac:dyDescent="0.2">
      <c r="A167" s="2">
        <v>165</v>
      </c>
      <c r="B167" s="3" t="s">
        <v>253</v>
      </c>
      <c r="C167" s="2" t="s">
        <v>400</v>
      </c>
      <c r="D167" s="4" t="s">
        <v>380</v>
      </c>
      <c r="E167" s="4"/>
    </row>
    <row r="168" spans="1:5" ht="15" x14ac:dyDescent="0.2">
      <c r="A168" s="2">
        <v>166</v>
      </c>
      <c r="B168" s="3" t="s">
        <v>254</v>
      </c>
      <c r="C168" s="2" t="s">
        <v>401</v>
      </c>
      <c r="D168" s="4" t="s">
        <v>380</v>
      </c>
      <c r="E168" s="4"/>
    </row>
    <row r="169" spans="1:5" ht="15" x14ac:dyDescent="0.2">
      <c r="A169" s="2">
        <v>167</v>
      </c>
      <c r="B169" s="3" t="s">
        <v>255</v>
      </c>
      <c r="C169" s="2" t="s">
        <v>402</v>
      </c>
      <c r="D169" s="4" t="s">
        <v>380</v>
      </c>
      <c r="E169" s="4"/>
    </row>
    <row r="170" spans="1:5" ht="15" x14ac:dyDescent="0.2">
      <c r="A170" s="2">
        <v>168</v>
      </c>
      <c r="B170" s="3" t="s">
        <v>256</v>
      </c>
      <c r="C170" s="2" t="s">
        <v>403</v>
      </c>
      <c r="D170" s="4" t="s">
        <v>380</v>
      </c>
      <c r="E170" s="4"/>
    </row>
    <row r="171" spans="1:5" ht="15" x14ac:dyDescent="0.2">
      <c r="A171" s="2">
        <v>169</v>
      </c>
      <c r="B171" s="3" t="s">
        <v>132</v>
      </c>
      <c r="C171" s="2"/>
      <c r="D171" s="4" t="s">
        <v>380</v>
      </c>
      <c r="E171" s="4"/>
    </row>
    <row r="172" spans="1:5" ht="15" x14ac:dyDescent="0.2">
      <c r="A172" s="2">
        <v>170</v>
      </c>
      <c r="B172" s="3" t="s">
        <v>133</v>
      </c>
      <c r="C172" s="2"/>
      <c r="D172" s="4" t="s">
        <v>380</v>
      </c>
      <c r="E172" s="4"/>
    </row>
    <row r="173" spans="1:5" ht="15" x14ac:dyDescent="0.2">
      <c r="A173" s="2">
        <v>171</v>
      </c>
      <c r="B173" s="3" t="s">
        <v>134</v>
      </c>
      <c r="C173" s="2"/>
      <c r="D173" s="4" t="s">
        <v>380</v>
      </c>
      <c r="E173" s="4"/>
    </row>
    <row r="174" spans="1:5" ht="15" x14ac:dyDescent="0.2">
      <c r="A174" s="2">
        <v>172</v>
      </c>
      <c r="B174" s="3" t="s">
        <v>135</v>
      </c>
      <c r="C174" s="2"/>
      <c r="D174" s="4" t="s">
        <v>380</v>
      </c>
      <c r="E174" s="4"/>
    </row>
    <row r="175" spans="1:5" ht="15" x14ac:dyDescent="0.2">
      <c r="A175" s="2">
        <v>173</v>
      </c>
      <c r="B175" s="3" t="s">
        <v>136</v>
      </c>
      <c r="C175" s="2"/>
      <c r="D175" s="4" t="s">
        <v>380</v>
      </c>
      <c r="E175" s="4"/>
    </row>
    <row r="176" spans="1:5" ht="15" x14ac:dyDescent="0.2">
      <c r="A176" s="2">
        <v>174</v>
      </c>
      <c r="B176" s="3" t="s">
        <v>137</v>
      </c>
      <c r="C176" s="2"/>
      <c r="D176" s="4" t="s">
        <v>380</v>
      </c>
      <c r="E176" s="4"/>
    </row>
    <row r="177" spans="1:5" ht="15" x14ac:dyDescent="0.2">
      <c r="A177" s="2">
        <v>175</v>
      </c>
      <c r="B177" s="3" t="s">
        <v>138</v>
      </c>
      <c r="C177" s="2"/>
      <c r="D177" s="4" t="s">
        <v>380</v>
      </c>
      <c r="E177" s="4"/>
    </row>
    <row r="178" spans="1:5" ht="15" x14ac:dyDescent="0.2">
      <c r="A178" s="2">
        <v>176</v>
      </c>
      <c r="B178" s="3" t="s">
        <v>139</v>
      </c>
      <c r="C178" s="2"/>
      <c r="D178" s="4" t="s">
        <v>380</v>
      </c>
      <c r="E178" s="4"/>
    </row>
    <row r="179" spans="1:5" ht="15" x14ac:dyDescent="0.2">
      <c r="A179" s="2">
        <v>177</v>
      </c>
      <c r="B179" s="3" t="s">
        <v>140</v>
      </c>
      <c r="C179" s="2"/>
      <c r="D179" s="4" t="s">
        <v>380</v>
      </c>
      <c r="E179" s="4"/>
    </row>
    <row r="180" spans="1:5" ht="15" x14ac:dyDescent="0.2">
      <c r="A180" s="2">
        <v>178</v>
      </c>
      <c r="B180" s="3" t="s">
        <v>141</v>
      </c>
      <c r="C180" s="2"/>
      <c r="D180" s="4" t="s">
        <v>380</v>
      </c>
      <c r="E180" s="4"/>
    </row>
    <row r="181" spans="1:5" ht="15" x14ac:dyDescent="0.2">
      <c r="A181" s="2">
        <v>179</v>
      </c>
      <c r="B181" s="3" t="s">
        <v>142</v>
      </c>
      <c r="C181" s="2"/>
      <c r="D181" s="4" t="s">
        <v>380</v>
      </c>
      <c r="E181" s="4"/>
    </row>
    <row r="182" spans="1:5" ht="15" x14ac:dyDescent="0.2">
      <c r="A182" s="2">
        <v>180</v>
      </c>
      <c r="B182" s="3" t="s">
        <v>143</v>
      </c>
      <c r="C182" s="2"/>
      <c r="D182" s="4" t="s">
        <v>380</v>
      </c>
      <c r="E182" s="4"/>
    </row>
    <row r="183" spans="1:5" ht="15" x14ac:dyDescent="0.2">
      <c r="A183" s="2">
        <v>181</v>
      </c>
      <c r="B183" s="3" t="s">
        <v>144</v>
      </c>
      <c r="C183" s="2"/>
      <c r="D183" s="4" t="s">
        <v>380</v>
      </c>
      <c r="E183" s="4"/>
    </row>
    <row r="184" spans="1:5" ht="15" x14ac:dyDescent="0.2">
      <c r="A184" s="2">
        <v>182</v>
      </c>
      <c r="B184" s="3" t="s">
        <v>145</v>
      </c>
      <c r="C184" s="2"/>
      <c r="D184" s="4" t="s">
        <v>380</v>
      </c>
      <c r="E184" s="4"/>
    </row>
    <row r="185" spans="1:5" ht="15" x14ac:dyDescent="0.2">
      <c r="A185" s="2">
        <v>183</v>
      </c>
      <c r="B185" s="3" t="s">
        <v>146</v>
      </c>
      <c r="C185" s="2"/>
      <c r="D185" s="4" t="s">
        <v>380</v>
      </c>
      <c r="E185" s="4"/>
    </row>
    <row r="186" spans="1:5" ht="15" x14ac:dyDescent="0.2">
      <c r="A186" s="2">
        <v>184</v>
      </c>
      <c r="B186" s="3" t="s">
        <v>147</v>
      </c>
      <c r="C186" s="2"/>
      <c r="D186" s="4" t="s">
        <v>380</v>
      </c>
      <c r="E186" s="4"/>
    </row>
    <row r="187" spans="1:5" ht="15" x14ac:dyDescent="0.2">
      <c r="A187" s="2">
        <v>185</v>
      </c>
      <c r="B187" s="3" t="s">
        <v>148</v>
      </c>
      <c r="C187" s="2"/>
      <c r="D187" s="4" t="s">
        <v>380</v>
      </c>
      <c r="E187" s="4"/>
    </row>
    <row r="188" spans="1:5" ht="15" x14ac:dyDescent="0.2">
      <c r="A188" s="2">
        <v>186</v>
      </c>
      <c r="B188" s="3" t="s">
        <v>149</v>
      </c>
      <c r="C188" s="2"/>
      <c r="D188" s="4" t="s">
        <v>380</v>
      </c>
      <c r="E188" s="4"/>
    </row>
    <row r="189" spans="1:5" ht="15" x14ac:dyDescent="0.2">
      <c r="A189" s="2">
        <v>187</v>
      </c>
      <c r="B189" s="3" t="s">
        <v>150</v>
      </c>
      <c r="C189" s="2"/>
      <c r="D189" s="4" t="s">
        <v>380</v>
      </c>
      <c r="E189" s="4"/>
    </row>
    <row r="190" spans="1:5" ht="15" x14ac:dyDescent="0.2">
      <c r="A190" s="2">
        <v>188</v>
      </c>
      <c r="B190" s="3" t="s">
        <v>151</v>
      </c>
      <c r="C190" s="2"/>
      <c r="D190" s="4" t="s">
        <v>380</v>
      </c>
      <c r="E190" s="4"/>
    </row>
    <row r="191" spans="1:5" ht="15" x14ac:dyDescent="0.2">
      <c r="A191" s="2">
        <v>189</v>
      </c>
      <c r="B191" s="3" t="s">
        <v>152</v>
      </c>
      <c r="C191" s="2"/>
      <c r="D191" s="4" t="s">
        <v>380</v>
      </c>
      <c r="E191" s="4"/>
    </row>
    <row r="192" spans="1:5" ht="15" x14ac:dyDescent="0.2">
      <c r="A192" s="2">
        <v>190</v>
      </c>
      <c r="B192" s="3" t="s">
        <v>159</v>
      </c>
      <c r="C192" s="2" t="s">
        <v>404</v>
      </c>
      <c r="D192" s="4" t="s">
        <v>380</v>
      </c>
      <c r="E192" s="4"/>
    </row>
    <row r="193" spans="1:5" ht="15" x14ac:dyDescent="0.2">
      <c r="A193" s="2">
        <v>191</v>
      </c>
      <c r="B193" s="3" t="s">
        <v>160</v>
      </c>
      <c r="C193" s="2"/>
      <c r="D193" s="4" t="s">
        <v>380</v>
      </c>
      <c r="E193" s="4"/>
    </row>
    <row r="194" spans="1:5" ht="15" x14ac:dyDescent="0.2">
      <c r="A194" s="2">
        <v>192</v>
      </c>
      <c r="B194" s="3" t="s">
        <v>161</v>
      </c>
      <c r="C194" s="2"/>
      <c r="D194" s="4" t="s">
        <v>380</v>
      </c>
      <c r="E194" s="4" t="s">
        <v>380</v>
      </c>
    </row>
    <row r="195" spans="1:5" ht="15" x14ac:dyDescent="0.2">
      <c r="A195" s="2">
        <v>193</v>
      </c>
      <c r="B195" s="3" t="s">
        <v>162</v>
      </c>
      <c r="C195" s="2"/>
      <c r="D195" s="4" t="s">
        <v>380</v>
      </c>
      <c r="E195" s="4"/>
    </row>
    <row r="196" spans="1:5" ht="15" x14ac:dyDescent="0.2">
      <c r="A196" s="2">
        <v>194</v>
      </c>
      <c r="B196" s="3" t="s">
        <v>163</v>
      </c>
      <c r="C196" s="2"/>
      <c r="D196" s="4" t="s">
        <v>380</v>
      </c>
      <c r="E196" s="4"/>
    </row>
    <row r="197" spans="1:5" ht="15" x14ac:dyDescent="0.2">
      <c r="A197" s="2">
        <v>195</v>
      </c>
      <c r="B197" s="3" t="s">
        <v>164</v>
      </c>
      <c r="C197" s="2"/>
      <c r="D197" s="4" t="s">
        <v>380</v>
      </c>
      <c r="E197" s="4"/>
    </row>
    <row r="198" spans="1:5" ht="15" x14ac:dyDescent="0.2">
      <c r="A198" s="2">
        <v>196</v>
      </c>
      <c r="B198" s="3" t="s">
        <v>165</v>
      </c>
      <c r="C198" s="2"/>
      <c r="D198" s="4" t="s">
        <v>380</v>
      </c>
      <c r="E198" s="4"/>
    </row>
    <row r="199" spans="1:5" ht="15" x14ac:dyDescent="0.2">
      <c r="A199" s="2">
        <v>197</v>
      </c>
      <c r="B199" s="3" t="s">
        <v>166</v>
      </c>
      <c r="C199" s="2"/>
      <c r="D199" s="4" t="s">
        <v>380</v>
      </c>
      <c r="E199" s="4"/>
    </row>
    <row r="200" spans="1:5" ht="15" x14ac:dyDescent="0.2">
      <c r="A200" s="2">
        <v>198</v>
      </c>
      <c r="B200" s="3" t="s">
        <v>167</v>
      </c>
      <c r="C200" s="2"/>
      <c r="D200" s="4" t="s">
        <v>380</v>
      </c>
      <c r="E200" s="4"/>
    </row>
    <row r="201" spans="1:5" ht="15" x14ac:dyDescent="0.2">
      <c r="A201" s="2">
        <v>199</v>
      </c>
      <c r="B201" s="3" t="s">
        <v>168</v>
      </c>
      <c r="C201" s="2"/>
      <c r="D201" s="4" t="s">
        <v>380</v>
      </c>
      <c r="E201" s="4"/>
    </row>
    <row r="202" spans="1:5" ht="15" x14ac:dyDescent="0.2">
      <c r="A202" s="2">
        <v>200</v>
      </c>
      <c r="B202" s="3" t="s">
        <v>169</v>
      </c>
      <c r="C202" s="2"/>
      <c r="D202" s="4" t="s">
        <v>380</v>
      </c>
      <c r="E202" s="4"/>
    </row>
    <row r="203" spans="1:5" ht="15" x14ac:dyDescent="0.2">
      <c r="A203" s="2">
        <v>201</v>
      </c>
      <c r="B203" s="3" t="s">
        <v>377</v>
      </c>
      <c r="C203" s="2" t="s">
        <v>412</v>
      </c>
      <c r="D203" s="4" t="s">
        <v>380</v>
      </c>
      <c r="E203" s="4"/>
    </row>
    <row r="204" spans="1:5" ht="15" x14ac:dyDescent="0.2">
      <c r="A204" s="2">
        <v>202</v>
      </c>
      <c r="B204" s="3" t="s">
        <v>378</v>
      </c>
      <c r="C204" s="2" t="s">
        <v>413</v>
      </c>
      <c r="D204" s="4" t="s">
        <v>380</v>
      </c>
      <c r="E204" s="4"/>
    </row>
    <row r="205" spans="1:5" ht="15" x14ac:dyDescent="0.2">
      <c r="A205" s="2">
        <v>203</v>
      </c>
      <c r="B205" s="3" t="s">
        <v>379</v>
      </c>
      <c r="C205" s="2" t="s">
        <v>414</v>
      </c>
      <c r="D205" s="4" t="s">
        <v>380</v>
      </c>
      <c r="E205" s="4"/>
    </row>
    <row r="206" spans="1:5" ht="15" x14ac:dyDescent="0.2">
      <c r="A206" s="2">
        <v>204</v>
      </c>
      <c r="B206" s="3" t="s">
        <v>257</v>
      </c>
      <c r="C206" s="2" t="s">
        <v>329</v>
      </c>
      <c r="D206" s="4" t="s">
        <v>380</v>
      </c>
      <c r="E206" s="4"/>
    </row>
    <row r="207" spans="1:5" ht="15" x14ac:dyDescent="0.2">
      <c r="A207" s="2">
        <v>205</v>
      </c>
      <c r="B207" s="3" t="s">
        <v>373</v>
      </c>
      <c r="C207" s="2" t="s">
        <v>408</v>
      </c>
      <c r="D207" s="4" t="s">
        <v>380</v>
      </c>
      <c r="E207" s="4"/>
    </row>
    <row r="208" spans="1:5" ht="15" x14ac:dyDescent="0.2">
      <c r="A208" s="2">
        <v>206</v>
      </c>
      <c r="B208" s="3" t="s">
        <v>374</v>
      </c>
      <c r="C208" s="2" t="s">
        <v>409</v>
      </c>
      <c r="D208" s="4" t="s">
        <v>380</v>
      </c>
      <c r="E208" s="4"/>
    </row>
    <row r="209" spans="1:5" ht="15" x14ac:dyDescent="0.2">
      <c r="A209" s="2">
        <v>207</v>
      </c>
      <c r="B209" s="3" t="s">
        <v>421</v>
      </c>
      <c r="C209" s="2"/>
      <c r="D209" s="4" t="s">
        <v>380</v>
      </c>
      <c r="E209" s="4"/>
    </row>
    <row r="210" spans="1:5" ht="15" x14ac:dyDescent="0.2">
      <c r="A210" s="2">
        <v>208</v>
      </c>
      <c r="B210" s="3" t="s">
        <v>153</v>
      </c>
      <c r="C210" s="2" t="s">
        <v>405</v>
      </c>
      <c r="D210" s="4" t="s">
        <v>380</v>
      </c>
      <c r="E210" s="4"/>
    </row>
    <row r="211" spans="1:5" ht="15" x14ac:dyDescent="0.2">
      <c r="A211" s="2">
        <v>209</v>
      </c>
      <c r="B211" s="3" t="s">
        <v>154</v>
      </c>
      <c r="C211" s="2" t="s">
        <v>406</v>
      </c>
      <c r="D211" s="4" t="s">
        <v>380</v>
      </c>
      <c r="E211" s="4"/>
    </row>
    <row r="212" spans="1:5" ht="15" x14ac:dyDescent="0.2">
      <c r="A212" s="2">
        <v>210</v>
      </c>
      <c r="B212" s="3" t="s">
        <v>155</v>
      </c>
      <c r="C212" s="2"/>
      <c r="D212" s="4" t="s">
        <v>380</v>
      </c>
      <c r="E212" s="4"/>
    </row>
    <row r="213" spans="1:5" ht="15" x14ac:dyDescent="0.2">
      <c r="A213" s="2">
        <v>211</v>
      </c>
      <c r="B213" s="3" t="s">
        <v>375</v>
      </c>
      <c r="C213" s="2" t="s">
        <v>410</v>
      </c>
      <c r="D213" s="4" t="s">
        <v>380</v>
      </c>
      <c r="E213" s="4"/>
    </row>
    <row r="214" spans="1:5" ht="15" x14ac:dyDescent="0.2">
      <c r="A214" s="2">
        <v>212</v>
      </c>
      <c r="B214" s="3" t="s">
        <v>376</v>
      </c>
      <c r="C214" s="2" t="s">
        <v>411</v>
      </c>
      <c r="D214" s="4" t="s">
        <v>380</v>
      </c>
      <c r="E214" s="4"/>
    </row>
    <row r="215" spans="1:5" ht="15" x14ac:dyDescent="0.2">
      <c r="A215" s="2">
        <v>213</v>
      </c>
      <c r="B215" s="3" t="s">
        <v>422</v>
      </c>
      <c r="C215" s="2" t="s">
        <v>432</v>
      </c>
      <c r="D215" s="4" t="s">
        <v>380</v>
      </c>
      <c r="E215" s="4"/>
    </row>
    <row r="216" spans="1:5" ht="15" x14ac:dyDescent="0.2">
      <c r="A216" s="2">
        <v>214</v>
      </c>
      <c r="B216" s="3" t="s">
        <v>423</v>
      </c>
      <c r="C216" s="2" t="s">
        <v>433</v>
      </c>
      <c r="D216" s="4" t="s">
        <v>380</v>
      </c>
      <c r="E216" s="4"/>
    </row>
    <row r="217" spans="1:5" ht="15" x14ac:dyDescent="0.2">
      <c r="A217" s="2">
        <v>215</v>
      </c>
      <c r="B217" s="3" t="s">
        <v>424</v>
      </c>
      <c r="C217" s="2"/>
      <c r="D217" s="4" t="s">
        <v>380</v>
      </c>
      <c r="E217" s="4"/>
    </row>
    <row r="218" spans="1:5" ht="15" x14ac:dyDescent="0.2">
      <c r="A218" s="2">
        <v>216</v>
      </c>
      <c r="B218" s="3" t="s">
        <v>425</v>
      </c>
      <c r="C218" s="2" t="s">
        <v>434</v>
      </c>
      <c r="D218" s="4" t="s">
        <v>380</v>
      </c>
      <c r="E218" s="4"/>
    </row>
    <row r="219" spans="1:5" ht="15" x14ac:dyDescent="0.2">
      <c r="A219" s="2">
        <v>217</v>
      </c>
      <c r="B219" s="3" t="s">
        <v>426</v>
      </c>
      <c r="C219" s="2" t="s">
        <v>435</v>
      </c>
      <c r="D219" s="4" t="s">
        <v>380</v>
      </c>
      <c r="E219" s="4"/>
    </row>
    <row r="220" spans="1:5" ht="15" x14ac:dyDescent="0.2">
      <c r="A220" s="2">
        <v>218</v>
      </c>
      <c r="B220" s="3" t="s">
        <v>427</v>
      </c>
      <c r="C220" s="2"/>
      <c r="D220" s="4" t="s">
        <v>380</v>
      </c>
      <c r="E220" s="4"/>
    </row>
    <row r="221" spans="1:5" ht="15" x14ac:dyDescent="0.2">
      <c r="A221" s="2">
        <v>219</v>
      </c>
      <c r="B221" s="5" t="s">
        <v>352</v>
      </c>
      <c r="C221" s="2" t="s">
        <v>407</v>
      </c>
      <c r="D221" s="4"/>
      <c r="E221" s="4"/>
    </row>
    <row r="222" spans="1:5" ht="15" x14ac:dyDescent="0.2">
      <c r="A222" s="2">
        <v>220</v>
      </c>
      <c r="B222" s="5" t="s">
        <v>353</v>
      </c>
      <c r="C222" s="2" t="s">
        <v>335</v>
      </c>
      <c r="D222" s="4"/>
      <c r="E222" s="4"/>
    </row>
    <row r="223" spans="1:5" ht="15" x14ac:dyDescent="0.2">
      <c r="A223" s="2">
        <v>221</v>
      </c>
      <c r="B223" s="5" t="s">
        <v>354</v>
      </c>
      <c r="C223" s="2" t="s">
        <v>336</v>
      </c>
      <c r="D223" s="4"/>
      <c r="E223" s="4"/>
    </row>
    <row r="224" spans="1:5" ht="15" x14ac:dyDescent="0.2">
      <c r="A224" s="2">
        <v>222</v>
      </c>
      <c r="B224" s="5" t="s">
        <v>355</v>
      </c>
      <c r="C224" s="2" t="s">
        <v>337</v>
      </c>
      <c r="D224" s="4"/>
      <c r="E224" s="4"/>
    </row>
    <row r="225" spans="1:5" ht="15" x14ac:dyDescent="0.2">
      <c r="A225" s="2">
        <v>223</v>
      </c>
      <c r="B225" s="5" t="s">
        <v>356</v>
      </c>
      <c r="C225" s="2" t="s">
        <v>338</v>
      </c>
      <c r="D225" s="4"/>
      <c r="E225" s="4"/>
    </row>
    <row r="226" spans="1:5" ht="15" x14ac:dyDescent="0.2">
      <c r="A226" s="2">
        <v>224</v>
      </c>
      <c r="B226" s="5" t="s">
        <v>357</v>
      </c>
      <c r="C226" s="2" t="s">
        <v>339</v>
      </c>
      <c r="D226" s="4"/>
      <c r="E226" s="4"/>
    </row>
    <row r="227" spans="1:5" ht="15" x14ac:dyDescent="0.2">
      <c r="A227" s="2">
        <v>225</v>
      </c>
      <c r="B227" s="5" t="s">
        <v>358</v>
      </c>
      <c r="C227" s="2" t="s">
        <v>340</v>
      </c>
      <c r="D227" s="4"/>
      <c r="E227" s="4"/>
    </row>
    <row r="228" spans="1:5" ht="15" x14ac:dyDescent="0.2">
      <c r="A228" s="2">
        <v>226</v>
      </c>
      <c r="B228" s="5" t="s">
        <v>359</v>
      </c>
      <c r="C228" s="2" t="s">
        <v>341</v>
      </c>
      <c r="D228" s="4"/>
      <c r="E228" s="4"/>
    </row>
    <row r="229" spans="1:5" ht="15" x14ac:dyDescent="0.2">
      <c r="A229" s="2">
        <v>227</v>
      </c>
      <c r="B229" s="5" t="s">
        <v>360</v>
      </c>
      <c r="C229" s="2" t="s">
        <v>342</v>
      </c>
      <c r="D229" s="4"/>
      <c r="E229" s="4"/>
    </row>
    <row r="230" spans="1:5" ht="15" x14ac:dyDescent="0.2">
      <c r="A230" s="2">
        <v>228</v>
      </c>
      <c r="B230" s="5" t="s">
        <v>361</v>
      </c>
      <c r="C230" s="2" t="s">
        <v>343</v>
      </c>
      <c r="D230" s="4"/>
      <c r="E230" s="4"/>
    </row>
    <row r="231" spans="1:5" ht="15" x14ac:dyDescent="0.2">
      <c r="A231" s="2">
        <v>229</v>
      </c>
      <c r="B231" s="5" t="s">
        <v>362</v>
      </c>
      <c r="C231" s="2" t="s">
        <v>344</v>
      </c>
      <c r="D231" s="4"/>
      <c r="E231" s="4"/>
    </row>
    <row r="232" spans="1:5" ht="15" x14ac:dyDescent="0.2">
      <c r="A232" s="2">
        <v>230</v>
      </c>
      <c r="B232" s="5" t="s">
        <v>363</v>
      </c>
      <c r="C232" s="2" t="s">
        <v>345</v>
      </c>
      <c r="D232" s="4"/>
      <c r="E232" s="4"/>
    </row>
    <row r="233" spans="1:5" ht="15" x14ac:dyDescent="0.2">
      <c r="A233" s="2">
        <v>231</v>
      </c>
      <c r="B233" s="5" t="s">
        <v>364</v>
      </c>
      <c r="C233" s="2" t="s">
        <v>346</v>
      </c>
      <c r="D233" s="4"/>
      <c r="E233" s="4"/>
    </row>
    <row r="234" spans="1:5" ht="15" x14ac:dyDescent="0.2">
      <c r="A234" s="2">
        <v>232</v>
      </c>
      <c r="B234" s="5" t="s">
        <v>365</v>
      </c>
      <c r="C234" s="2" t="s">
        <v>347</v>
      </c>
      <c r="D234" s="4"/>
      <c r="E234" s="4"/>
    </row>
    <row r="235" spans="1:5" ht="15" x14ac:dyDescent="0.2">
      <c r="A235" s="2">
        <v>233</v>
      </c>
      <c r="B235" s="5" t="s">
        <v>366</v>
      </c>
      <c r="C235" s="2" t="s">
        <v>348</v>
      </c>
      <c r="D235" s="4"/>
      <c r="E235" s="4"/>
    </row>
    <row r="236" spans="1:5" ht="15" x14ac:dyDescent="0.2">
      <c r="A236" s="2">
        <v>234</v>
      </c>
      <c r="B236" s="5" t="s">
        <v>367</v>
      </c>
      <c r="C236" s="2" t="s">
        <v>349</v>
      </c>
      <c r="D236" s="4"/>
      <c r="E236" s="4"/>
    </row>
    <row r="237" spans="1:5" ht="15" x14ac:dyDescent="0.2">
      <c r="A237" s="2">
        <v>235</v>
      </c>
      <c r="B237" s="5" t="s">
        <v>368</v>
      </c>
      <c r="C237" s="2" t="s">
        <v>350</v>
      </c>
      <c r="D237" s="4"/>
      <c r="E237" s="4"/>
    </row>
    <row r="238" spans="1:5" ht="15" x14ac:dyDescent="0.2">
      <c r="A238" s="2">
        <v>236</v>
      </c>
      <c r="B238" s="5" t="s">
        <v>369</v>
      </c>
      <c r="C238" s="2" t="s">
        <v>351</v>
      </c>
      <c r="D238" s="4"/>
      <c r="E238" s="4"/>
    </row>
  </sheetData>
  <sortState xmlns:xlrd2="http://schemas.microsoft.com/office/spreadsheetml/2017/richdata2" ref="A2:F238">
    <sortCondition ref="A1:A238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3C8A-7D37-4049-8BCE-0021ECC5B208}">
  <sheetPr codeName="Sheet1"/>
  <dimension ref="A1:G9"/>
  <sheetViews>
    <sheetView workbookViewId="0"/>
  </sheetViews>
  <sheetFormatPr defaultRowHeight="14.25" x14ac:dyDescent="0.2"/>
  <cols>
    <col min="2" max="2" width="21.62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G2">
        <v>0</v>
      </c>
    </row>
    <row r="3" spans="1:7" ht="15" x14ac:dyDescent="0.2">
      <c r="A3">
        <v>1</v>
      </c>
      <c r="B3" s="1" t="s">
        <v>2</v>
      </c>
      <c r="C3" t="s">
        <v>3</v>
      </c>
      <c r="D3" s="4" t="s">
        <v>22</v>
      </c>
      <c r="E3" s="4"/>
      <c r="G3">
        <v>1</v>
      </c>
    </row>
    <row r="4" spans="1:7" ht="15" x14ac:dyDescent="0.2">
      <c r="A4">
        <v>2</v>
      </c>
      <c r="B4" s="1" t="s">
        <v>4</v>
      </c>
      <c r="C4" t="s">
        <v>5</v>
      </c>
      <c r="D4" s="4" t="s">
        <v>22</v>
      </c>
      <c r="E4" s="4" t="s">
        <v>22</v>
      </c>
      <c r="G4">
        <v>2</v>
      </c>
    </row>
    <row r="5" spans="1:7" ht="15" x14ac:dyDescent="0.2">
      <c r="A5">
        <v>3</v>
      </c>
      <c r="B5" s="1" t="s">
        <v>6</v>
      </c>
      <c r="C5" t="s">
        <v>7</v>
      </c>
      <c r="D5" s="4" t="s">
        <v>22</v>
      </c>
      <c r="E5" s="4" t="s">
        <v>22</v>
      </c>
      <c r="G5">
        <v>4</v>
      </c>
    </row>
    <row r="6" spans="1:7" ht="15" x14ac:dyDescent="0.2">
      <c r="A6">
        <v>4</v>
      </c>
      <c r="B6" s="1" t="s">
        <v>8</v>
      </c>
      <c r="C6" t="s">
        <v>9</v>
      </c>
      <c r="D6" s="4" t="s">
        <v>22</v>
      </c>
      <c r="E6" s="4" t="s">
        <v>22</v>
      </c>
      <c r="G6">
        <v>5</v>
      </c>
    </row>
    <row r="7" spans="1:7" ht="15" x14ac:dyDescent="0.2">
      <c r="A7">
        <v>5</v>
      </c>
      <c r="B7" s="1" t="s">
        <v>10</v>
      </c>
      <c r="C7" t="s">
        <v>11</v>
      </c>
      <c r="D7" s="4" t="s">
        <v>22</v>
      </c>
      <c r="E7" s="4" t="s">
        <v>22</v>
      </c>
      <c r="G7">
        <v>6</v>
      </c>
    </row>
    <row r="8" spans="1:7" ht="15" x14ac:dyDescent="0.2">
      <c r="A8">
        <v>6</v>
      </c>
      <c r="B8" s="1" t="s">
        <v>12</v>
      </c>
      <c r="C8" t="s">
        <v>13</v>
      </c>
      <c r="D8" s="4" t="s">
        <v>22</v>
      </c>
      <c r="E8" s="4" t="s">
        <v>22</v>
      </c>
      <c r="G8">
        <v>7</v>
      </c>
    </row>
    <row r="9" spans="1:7" ht="15" x14ac:dyDescent="0.2">
      <c r="A9">
        <v>7</v>
      </c>
      <c r="B9" s="1" t="s">
        <v>14</v>
      </c>
      <c r="C9" t="s">
        <v>15</v>
      </c>
      <c r="D9" s="4" t="s">
        <v>22</v>
      </c>
      <c r="E9" s="4" t="s">
        <v>22</v>
      </c>
      <c r="G9">
        <v>3</v>
      </c>
    </row>
  </sheetData>
  <sortState xmlns:xlrd2="http://schemas.microsoft.com/office/spreadsheetml/2017/richdata2" ref="A2:G9">
    <sortCondition ref="A1:A9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4CE4-6BF4-4EF3-9A3B-6635F33FCDE2}">
  <sheetPr codeName="Sheet2"/>
  <dimension ref="A1:G46"/>
  <sheetViews>
    <sheetView workbookViewId="0"/>
  </sheetViews>
  <sheetFormatPr defaultRowHeight="14.25" x14ac:dyDescent="0.2"/>
  <cols>
    <col min="2" max="2" width="57.125" bestFit="1" customWidth="1"/>
    <col min="3" max="3" width="17.2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G2">
        <v>0</v>
      </c>
    </row>
    <row r="3" spans="1:7" ht="15" x14ac:dyDescent="0.2">
      <c r="A3">
        <v>1</v>
      </c>
      <c r="B3" s="1" t="s">
        <v>2</v>
      </c>
      <c r="C3" t="s">
        <v>3</v>
      </c>
      <c r="D3" s="4" t="s">
        <v>22</v>
      </c>
      <c r="E3" s="4"/>
      <c r="G3">
        <v>3</v>
      </c>
    </row>
    <row r="4" spans="1:7" ht="15" x14ac:dyDescent="0.2">
      <c r="A4">
        <v>2</v>
      </c>
      <c r="B4" s="1" t="s">
        <v>4</v>
      </c>
      <c r="C4" t="s">
        <v>5</v>
      </c>
      <c r="D4" s="4" t="s">
        <v>22</v>
      </c>
      <c r="E4" s="4" t="s">
        <v>22</v>
      </c>
      <c r="F4" t="b">
        <v>0</v>
      </c>
      <c r="G4">
        <v>5</v>
      </c>
    </row>
    <row r="5" spans="1:7" ht="15" x14ac:dyDescent="0.2">
      <c r="A5">
        <v>3</v>
      </c>
      <c r="B5" s="1" t="s">
        <v>3227</v>
      </c>
      <c r="C5" t="s">
        <v>3228</v>
      </c>
      <c r="D5" s="4" t="s">
        <v>3232</v>
      </c>
      <c r="E5" s="4" t="s">
        <v>3232</v>
      </c>
      <c r="G5">
        <v>19</v>
      </c>
    </row>
    <row r="6" spans="1:7" ht="15" x14ac:dyDescent="0.2">
      <c r="A6">
        <v>4</v>
      </c>
      <c r="B6" s="1" t="s">
        <v>3229</v>
      </c>
      <c r="C6" t="s">
        <v>3230</v>
      </c>
      <c r="D6" s="4" t="s">
        <v>3232</v>
      </c>
      <c r="E6" s="4" t="s">
        <v>3232</v>
      </c>
      <c r="G6">
        <v>20</v>
      </c>
    </row>
    <row r="7" spans="1:7" ht="15" x14ac:dyDescent="0.2">
      <c r="A7">
        <v>5</v>
      </c>
      <c r="B7" s="1" t="s">
        <v>3237</v>
      </c>
      <c r="C7" t="s">
        <v>3238</v>
      </c>
      <c r="D7" s="4" t="s">
        <v>3232</v>
      </c>
      <c r="E7" s="4" t="s">
        <v>3232</v>
      </c>
      <c r="F7" t="b">
        <v>0</v>
      </c>
      <c r="G7">
        <v>21</v>
      </c>
    </row>
    <row r="8" spans="1:7" ht="15" x14ac:dyDescent="0.2">
      <c r="A8">
        <v>6</v>
      </c>
      <c r="B8" s="1" t="s">
        <v>3231</v>
      </c>
      <c r="C8" t="s">
        <v>3239</v>
      </c>
      <c r="D8" s="4" t="s">
        <v>3232</v>
      </c>
      <c r="E8" s="4" t="s">
        <v>3232</v>
      </c>
      <c r="F8" t="b">
        <v>0</v>
      </c>
      <c r="G8">
        <v>22</v>
      </c>
    </row>
    <row r="9" spans="1:7" ht="15" x14ac:dyDescent="0.2">
      <c r="A9">
        <v>7</v>
      </c>
      <c r="B9" s="1" t="s">
        <v>3233</v>
      </c>
      <c r="C9" t="s">
        <v>3234</v>
      </c>
      <c r="D9" s="4" t="s">
        <v>3232</v>
      </c>
      <c r="E9" s="4" t="s">
        <v>3232</v>
      </c>
      <c r="G9">
        <v>23</v>
      </c>
    </row>
    <row r="10" spans="1:7" ht="15" x14ac:dyDescent="0.2">
      <c r="A10">
        <v>8</v>
      </c>
      <c r="B10" s="1" t="s">
        <v>3235</v>
      </c>
      <c r="C10" t="s">
        <v>3236</v>
      </c>
      <c r="D10" s="4" t="s">
        <v>3232</v>
      </c>
      <c r="E10" s="4"/>
      <c r="G10">
        <v>24</v>
      </c>
    </row>
    <row r="11" spans="1:7" ht="15" x14ac:dyDescent="0.2">
      <c r="A11">
        <v>9</v>
      </c>
      <c r="B11" s="1" t="s">
        <v>24</v>
      </c>
      <c r="C11" t="s">
        <v>25</v>
      </c>
      <c r="D11" s="4" t="s">
        <v>22</v>
      </c>
      <c r="E11" s="4"/>
      <c r="G11">
        <v>7</v>
      </c>
    </row>
    <row r="12" spans="1:7" ht="15" x14ac:dyDescent="0.2">
      <c r="A12">
        <v>10</v>
      </c>
      <c r="B12" s="1" t="s">
        <v>3240</v>
      </c>
      <c r="C12" t="s">
        <v>3241</v>
      </c>
      <c r="D12" s="4" t="s">
        <v>3232</v>
      </c>
      <c r="E12" s="4"/>
      <c r="G12">
        <v>25</v>
      </c>
    </row>
    <row r="13" spans="1:7" ht="15" x14ac:dyDescent="0.2">
      <c r="A13">
        <v>11</v>
      </c>
      <c r="B13" s="1" t="s">
        <v>3242</v>
      </c>
      <c r="C13" t="s">
        <v>3243</v>
      </c>
      <c r="D13" s="4" t="s">
        <v>3232</v>
      </c>
      <c r="E13" s="4" t="s">
        <v>3232</v>
      </c>
      <c r="F13" t="b">
        <v>0</v>
      </c>
      <c r="G13">
        <v>26</v>
      </c>
    </row>
    <row r="14" spans="1:7" ht="15" x14ac:dyDescent="0.2">
      <c r="A14">
        <v>12</v>
      </c>
      <c r="B14" s="1" t="s">
        <v>3244</v>
      </c>
      <c r="C14" t="s">
        <v>3245</v>
      </c>
      <c r="D14" s="4" t="s">
        <v>3232</v>
      </c>
      <c r="E14" s="4" t="s">
        <v>3232</v>
      </c>
      <c r="F14" t="b">
        <v>0</v>
      </c>
      <c r="G14">
        <v>27</v>
      </c>
    </row>
    <row r="15" spans="1:7" ht="15" x14ac:dyDescent="0.2">
      <c r="A15">
        <v>13</v>
      </c>
      <c r="B15" s="1" t="s">
        <v>3246</v>
      </c>
      <c r="C15" t="s">
        <v>3247</v>
      </c>
      <c r="D15" s="4" t="s">
        <v>3232</v>
      </c>
      <c r="E15" s="4"/>
      <c r="G15">
        <v>28</v>
      </c>
    </row>
    <row r="16" spans="1:7" ht="15" x14ac:dyDescent="0.2">
      <c r="A16">
        <v>14</v>
      </c>
      <c r="B16" s="1" t="s">
        <v>3248</v>
      </c>
      <c r="C16" t="s">
        <v>3249</v>
      </c>
      <c r="D16" s="4" t="s">
        <v>3232</v>
      </c>
      <c r="E16" s="4"/>
      <c r="G16">
        <v>29</v>
      </c>
    </row>
    <row r="17" spans="1:7" ht="15" x14ac:dyDescent="0.2">
      <c r="A17">
        <v>15</v>
      </c>
      <c r="B17" s="1" t="s">
        <v>3250</v>
      </c>
      <c r="C17" t="s">
        <v>3254</v>
      </c>
      <c r="D17" s="4" t="s">
        <v>3232</v>
      </c>
      <c r="E17" s="4"/>
      <c r="G17">
        <v>30</v>
      </c>
    </row>
    <row r="18" spans="1:7" ht="15" x14ac:dyDescent="0.2">
      <c r="A18">
        <v>16</v>
      </c>
      <c r="B18" s="1" t="s">
        <v>3251</v>
      </c>
      <c r="C18" t="s">
        <v>3255</v>
      </c>
      <c r="D18" s="4" t="s">
        <v>3232</v>
      </c>
      <c r="E18" s="4"/>
      <c r="G18">
        <v>31</v>
      </c>
    </row>
    <row r="19" spans="1:7" ht="15" x14ac:dyDescent="0.2">
      <c r="A19">
        <v>17</v>
      </c>
      <c r="B19" s="1" t="s">
        <v>3252</v>
      </c>
      <c r="C19" t="s">
        <v>3256</v>
      </c>
      <c r="D19" s="4" t="s">
        <v>3232</v>
      </c>
      <c r="E19" s="4"/>
      <c r="G19">
        <v>32</v>
      </c>
    </row>
    <row r="20" spans="1:7" ht="15" x14ac:dyDescent="0.2">
      <c r="A20">
        <v>18</v>
      </c>
      <c r="B20" s="1" t="s">
        <v>3268</v>
      </c>
      <c r="C20" t="s">
        <v>3269</v>
      </c>
      <c r="D20" s="4" t="s">
        <v>3232</v>
      </c>
      <c r="E20" s="4"/>
      <c r="G20">
        <v>33</v>
      </c>
    </row>
    <row r="21" spans="1:7" ht="15" x14ac:dyDescent="0.2">
      <c r="A21">
        <v>19</v>
      </c>
      <c r="B21" s="1" t="s">
        <v>3253</v>
      </c>
      <c r="C21" t="s">
        <v>3257</v>
      </c>
      <c r="D21" s="4" t="s">
        <v>3232</v>
      </c>
      <c r="E21" s="4"/>
      <c r="G21">
        <v>34</v>
      </c>
    </row>
    <row r="22" spans="1:7" ht="15" x14ac:dyDescent="0.2">
      <c r="A22">
        <v>20</v>
      </c>
      <c r="B22" s="1" t="s">
        <v>3258</v>
      </c>
      <c r="C22" t="s">
        <v>3259</v>
      </c>
      <c r="D22" s="4" t="s">
        <v>3232</v>
      </c>
      <c r="E22" s="4"/>
      <c r="G22">
        <v>35</v>
      </c>
    </row>
    <row r="23" spans="1:7" ht="15" x14ac:dyDescent="0.2">
      <c r="A23">
        <v>21</v>
      </c>
      <c r="B23" s="1" t="s">
        <v>3260</v>
      </c>
      <c r="C23" t="s">
        <v>3262</v>
      </c>
      <c r="D23" s="4" t="s">
        <v>3232</v>
      </c>
      <c r="E23" s="4" t="s">
        <v>3232</v>
      </c>
      <c r="F23" t="b">
        <v>0</v>
      </c>
      <c r="G23">
        <v>36</v>
      </c>
    </row>
    <row r="24" spans="1:7" ht="15" x14ac:dyDescent="0.2">
      <c r="A24">
        <v>22</v>
      </c>
      <c r="B24" s="1" t="s">
        <v>3261</v>
      </c>
      <c r="C24" t="s">
        <v>3263</v>
      </c>
      <c r="D24" s="4" t="s">
        <v>3232</v>
      </c>
      <c r="E24" s="4" t="s">
        <v>3232</v>
      </c>
      <c r="F24" t="b">
        <v>0</v>
      </c>
      <c r="G24">
        <v>37</v>
      </c>
    </row>
    <row r="25" spans="1:7" ht="15" x14ac:dyDescent="0.2">
      <c r="A25">
        <v>23</v>
      </c>
      <c r="B25" s="1" t="s">
        <v>3264</v>
      </c>
      <c r="C25" t="s">
        <v>3267</v>
      </c>
      <c r="D25" s="4" t="s">
        <v>3232</v>
      </c>
      <c r="E25" s="4"/>
      <c r="F25" t="b">
        <v>0</v>
      </c>
      <c r="G25">
        <v>38</v>
      </c>
    </row>
    <row r="26" spans="1:7" ht="15" x14ac:dyDescent="0.2">
      <c r="A26">
        <v>24</v>
      </c>
      <c r="B26" s="1" t="s">
        <v>3265</v>
      </c>
      <c r="C26" t="s">
        <v>3266</v>
      </c>
      <c r="D26" s="4" t="s">
        <v>3232</v>
      </c>
      <c r="E26" s="4"/>
      <c r="G26">
        <v>39</v>
      </c>
    </row>
    <row r="27" spans="1:7" ht="15" x14ac:dyDescent="0.2">
      <c r="A27">
        <v>25</v>
      </c>
      <c r="B27" s="1" t="s">
        <v>3270</v>
      </c>
      <c r="C27" t="s">
        <v>3272</v>
      </c>
      <c r="D27" s="4" t="s">
        <v>3232</v>
      </c>
      <c r="E27" s="4" t="s">
        <v>3232</v>
      </c>
      <c r="F27" t="b">
        <v>0</v>
      </c>
      <c r="G27">
        <v>40</v>
      </c>
    </row>
    <row r="28" spans="1:7" ht="15" x14ac:dyDescent="0.2">
      <c r="A28">
        <v>26</v>
      </c>
      <c r="B28" s="1" t="s">
        <v>3271</v>
      </c>
      <c r="C28" t="s">
        <v>3273</v>
      </c>
      <c r="D28" s="4" t="s">
        <v>3232</v>
      </c>
      <c r="E28" s="4" t="s">
        <v>3232</v>
      </c>
      <c r="F28" t="b">
        <v>0</v>
      </c>
      <c r="G28">
        <v>41</v>
      </c>
    </row>
    <row r="29" spans="1:7" ht="15" x14ac:dyDescent="0.2">
      <c r="A29">
        <v>27</v>
      </c>
      <c r="B29" s="1" t="s">
        <v>3274</v>
      </c>
      <c r="C29" t="s">
        <v>3275</v>
      </c>
      <c r="D29" s="4" t="s">
        <v>3232</v>
      </c>
      <c r="E29" s="4"/>
      <c r="G29">
        <v>42</v>
      </c>
    </row>
    <row r="30" spans="1:7" ht="15" x14ac:dyDescent="0.2">
      <c r="A30">
        <v>28</v>
      </c>
      <c r="B30" s="1" t="s">
        <v>3276</v>
      </c>
      <c r="C30" t="s">
        <v>3277</v>
      </c>
      <c r="D30" s="4" t="s">
        <v>3232</v>
      </c>
      <c r="E30" s="4"/>
      <c r="F30" t="b">
        <v>0</v>
      </c>
      <c r="G30">
        <v>43</v>
      </c>
    </row>
    <row r="31" spans="1:7" ht="15" x14ac:dyDescent="0.2">
      <c r="A31">
        <v>29</v>
      </c>
      <c r="B31" s="1" t="s">
        <v>3278</v>
      </c>
      <c r="C31" t="s">
        <v>3279</v>
      </c>
      <c r="D31" s="4" t="s">
        <v>3232</v>
      </c>
      <c r="E31" s="4"/>
      <c r="G31">
        <v>1</v>
      </c>
    </row>
    <row r="32" spans="1:7" ht="15" x14ac:dyDescent="0.2">
      <c r="A32" s="2">
        <v>30</v>
      </c>
      <c r="B32" s="3" t="s">
        <v>888</v>
      </c>
      <c r="C32" s="2" t="s">
        <v>3280</v>
      </c>
      <c r="D32" s="4"/>
      <c r="E32" s="4"/>
      <c r="G32">
        <v>4</v>
      </c>
    </row>
    <row r="33" spans="1:7" ht="15" x14ac:dyDescent="0.2">
      <c r="A33" s="2">
        <v>31</v>
      </c>
      <c r="B33" s="3" t="s">
        <v>3281</v>
      </c>
      <c r="C33" s="2" t="s">
        <v>26</v>
      </c>
      <c r="D33" s="4" t="s">
        <v>22</v>
      </c>
      <c r="E33" s="4" t="s">
        <v>22</v>
      </c>
      <c r="G33">
        <v>8</v>
      </c>
    </row>
    <row r="34" spans="1:7" ht="15" x14ac:dyDescent="0.2">
      <c r="A34" s="2">
        <v>32</v>
      </c>
      <c r="B34" s="3" t="s">
        <v>3282</v>
      </c>
      <c r="C34" s="2" t="s">
        <v>27</v>
      </c>
      <c r="D34" s="4" t="s">
        <v>22</v>
      </c>
      <c r="E34" s="4" t="s">
        <v>22</v>
      </c>
      <c r="G34">
        <v>11</v>
      </c>
    </row>
    <row r="35" spans="1:7" ht="15" x14ac:dyDescent="0.2">
      <c r="A35" s="2">
        <v>33</v>
      </c>
      <c r="B35" s="3" t="s">
        <v>3283</v>
      </c>
      <c r="C35" s="2" t="s">
        <v>28</v>
      </c>
      <c r="D35" s="4" t="s">
        <v>22</v>
      </c>
      <c r="E35" s="4" t="s">
        <v>22</v>
      </c>
      <c r="G35">
        <v>14</v>
      </c>
    </row>
    <row r="36" spans="1:7" ht="15" x14ac:dyDescent="0.2">
      <c r="A36" s="2">
        <v>34</v>
      </c>
      <c r="B36" s="3" t="s">
        <v>3284</v>
      </c>
      <c r="C36" s="2" t="s">
        <v>29</v>
      </c>
      <c r="D36" s="4" t="s">
        <v>22</v>
      </c>
      <c r="E36" s="4" t="s">
        <v>22</v>
      </c>
      <c r="G36">
        <v>17</v>
      </c>
    </row>
    <row r="37" spans="1:7" ht="15" x14ac:dyDescent="0.2">
      <c r="A37" s="2">
        <v>35</v>
      </c>
      <c r="B37" s="3" t="s">
        <v>3285</v>
      </c>
      <c r="C37" s="2" t="s">
        <v>30</v>
      </c>
      <c r="D37" s="4" t="s">
        <v>22</v>
      </c>
      <c r="E37" s="4" t="s">
        <v>22</v>
      </c>
      <c r="G37">
        <v>18</v>
      </c>
    </row>
    <row r="38" spans="1:7" ht="15" x14ac:dyDescent="0.2">
      <c r="A38" s="2">
        <v>36</v>
      </c>
      <c r="B38" s="3" t="s">
        <v>3286</v>
      </c>
      <c r="C38" s="2" t="s">
        <v>31</v>
      </c>
      <c r="D38" s="4" t="s">
        <v>22</v>
      </c>
      <c r="E38" s="4" t="s">
        <v>22</v>
      </c>
      <c r="F38" t="b">
        <v>0</v>
      </c>
      <c r="G38">
        <v>6</v>
      </c>
    </row>
    <row r="39" spans="1:7" ht="15" x14ac:dyDescent="0.2">
      <c r="A39" s="2">
        <v>37</v>
      </c>
      <c r="B39" s="3" t="s">
        <v>3287</v>
      </c>
      <c r="C39" s="2" t="s">
        <v>32</v>
      </c>
      <c r="D39" s="4" t="s">
        <v>22</v>
      </c>
      <c r="E39" s="4" t="s">
        <v>22</v>
      </c>
    </row>
    <row r="40" spans="1:7" ht="15" x14ac:dyDescent="0.2">
      <c r="A40" s="2">
        <v>38</v>
      </c>
      <c r="B40" s="5" t="s">
        <v>3288</v>
      </c>
      <c r="C40" s="2" t="s">
        <v>1308</v>
      </c>
      <c r="D40" s="4"/>
      <c r="E40" s="4" t="s">
        <v>22</v>
      </c>
      <c r="G40">
        <v>9</v>
      </c>
    </row>
    <row r="41" spans="1:7" ht="15" x14ac:dyDescent="0.2">
      <c r="A41" s="2">
        <v>39</v>
      </c>
      <c r="B41" s="5" t="s">
        <v>3289</v>
      </c>
      <c r="C41" s="2" t="s">
        <v>1309</v>
      </c>
      <c r="D41" s="4"/>
      <c r="E41" s="4"/>
      <c r="G41">
        <v>10</v>
      </c>
    </row>
    <row r="42" spans="1:7" ht="15" x14ac:dyDescent="0.2">
      <c r="A42" s="2">
        <v>40</v>
      </c>
      <c r="B42" s="5" t="s">
        <v>3290</v>
      </c>
      <c r="C42" s="2" t="s">
        <v>1310</v>
      </c>
      <c r="D42" s="4"/>
      <c r="E42" s="4" t="s">
        <v>22</v>
      </c>
      <c r="G42">
        <v>12</v>
      </c>
    </row>
    <row r="43" spans="1:7" ht="15" x14ac:dyDescent="0.2">
      <c r="A43" s="2">
        <v>41</v>
      </c>
      <c r="B43" s="5" t="s">
        <v>3291</v>
      </c>
      <c r="C43" s="2" t="s">
        <v>1311</v>
      </c>
      <c r="D43" s="4"/>
      <c r="E43" s="4"/>
      <c r="G43">
        <v>13</v>
      </c>
    </row>
    <row r="44" spans="1:7" ht="15" x14ac:dyDescent="0.2">
      <c r="A44" s="2">
        <v>42</v>
      </c>
      <c r="B44" s="5" t="s">
        <v>3292</v>
      </c>
      <c r="C44" s="2" t="s">
        <v>1312</v>
      </c>
      <c r="D44" s="4"/>
      <c r="E44" s="4" t="s">
        <v>22</v>
      </c>
      <c r="G44">
        <v>15</v>
      </c>
    </row>
    <row r="45" spans="1:7" ht="15" x14ac:dyDescent="0.2">
      <c r="A45" s="2">
        <v>43</v>
      </c>
      <c r="B45" s="5" t="s">
        <v>3293</v>
      </c>
      <c r="C45" s="2" t="s">
        <v>1313</v>
      </c>
      <c r="D45" s="4"/>
      <c r="E45" s="4"/>
      <c r="G45">
        <v>16</v>
      </c>
    </row>
    <row r="46" spans="1:7" ht="15" x14ac:dyDescent="0.2">
      <c r="A46" s="7">
        <v>44</v>
      </c>
      <c r="B46" s="55" t="s">
        <v>33</v>
      </c>
      <c r="C46" s="7" t="s">
        <v>34</v>
      </c>
      <c r="D46" s="4"/>
      <c r="E46" s="4" t="s">
        <v>22</v>
      </c>
      <c r="G46">
        <v>2</v>
      </c>
    </row>
  </sheetData>
  <sortState xmlns:xlrd2="http://schemas.microsoft.com/office/spreadsheetml/2017/richdata2" ref="A2:G46">
    <sortCondition ref="A1:A4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D6F9-097B-4FC9-9A66-3DF1BC82027D}">
  <sheetPr codeName="Sheet34"/>
  <dimension ref="A1:G373"/>
  <sheetViews>
    <sheetView zoomScaleNormal="100" workbookViewId="0"/>
  </sheetViews>
  <sheetFormatPr defaultRowHeight="14.25" x14ac:dyDescent="0.2"/>
  <cols>
    <col min="2" max="2" width="104.875" bestFit="1" customWidth="1"/>
    <col min="3" max="3" width="58.75" bestFit="1" customWidth="1"/>
    <col min="4" max="4" width="14.375" style="4" bestFit="1" customWidth="1"/>
    <col min="5" max="5" width="9" style="4"/>
  </cols>
  <sheetData>
    <row r="1" spans="1:7" x14ac:dyDescent="0.2">
      <c r="A1" t="s">
        <v>16</v>
      </c>
      <c r="B1" t="s">
        <v>18</v>
      </c>
      <c r="C1" t="s">
        <v>19</v>
      </c>
      <c r="D1" s="22" t="s">
        <v>20</v>
      </c>
      <c r="E1" s="22" t="s">
        <v>23</v>
      </c>
      <c r="F1" s="22" t="s">
        <v>881</v>
      </c>
      <c r="G1" s="22" t="s">
        <v>21</v>
      </c>
    </row>
    <row r="2" spans="1:7" ht="15" x14ac:dyDescent="0.2">
      <c r="A2">
        <v>0</v>
      </c>
      <c r="B2" s="1" t="s">
        <v>855</v>
      </c>
      <c r="C2" t="s">
        <v>856</v>
      </c>
      <c r="D2" s="4" t="s">
        <v>22</v>
      </c>
      <c r="G2">
        <v>0</v>
      </c>
    </row>
    <row r="3" spans="1:7" ht="15" x14ac:dyDescent="0.2">
      <c r="A3">
        <v>1</v>
      </c>
      <c r="B3" s="1" t="s">
        <v>1422</v>
      </c>
      <c r="C3" t="s">
        <v>1506</v>
      </c>
      <c r="D3" s="4" t="s">
        <v>22</v>
      </c>
      <c r="G3">
        <v>1</v>
      </c>
    </row>
    <row r="4" spans="1:7" ht="15" x14ac:dyDescent="0.2">
      <c r="A4">
        <v>2</v>
      </c>
      <c r="B4" s="1" t="s">
        <v>1423</v>
      </c>
      <c r="C4" t="s">
        <v>1507</v>
      </c>
      <c r="D4" s="4" t="s">
        <v>22</v>
      </c>
      <c r="G4">
        <v>7</v>
      </c>
    </row>
    <row r="5" spans="1:7" ht="15" x14ac:dyDescent="0.2">
      <c r="A5">
        <v>3</v>
      </c>
      <c r="B5" s="1" t="s">
        <v>3722</v>
      </c>
      <c r="D5" s="4" t="s">
        <v>22</v>
      </c>
      <c r="E5" s="4" t="s">
        <v>22</v>
      </c>
      <c r="G5">
        <v>2</v>
      </c>
    </row>
    <row r="6" spans="1:7" ht="15" x14ac:dyDescent="0.2">
      <c r="A6">
        <v>4</v>
      </c>
      <c r="B6" s="1" t="s">
        <v>3723</v>
      </c>
      <c r="C6" t="s">
        <v>3724</v>
      </c>
      <c r="D6" s="4" t="s">
        <v>22</v>
      </c>
      <c r="E6" s="4" t="s">
        <v>22</v>
      </c>
      <c r="G6">
        <v>6</v>
      </c>
    </row>
    <row r="7" spans="1:7" ht="15" x14ac:dyDescent="0.2">
      <c r="A7">
        <v>5</v>
      </c>
      <c r="B7" s="1" t="s">
        <v>1587</v>
      </c>
      <c r="C7" t="s">
        <v>1588</v>
      </c>
      <c r="D7" s="4" t="s">
        <v>22</v>
      </c>
      <c r="E7" s="4" t="s">
        <v>22</v>
      </c>
      <c r="G7">
        <v>9</v>
      </c>
    </row>
    <row r="8" spans="1:7" ht="15" x14ac:dyDescent="0.2">
      <c r="A8">
        <v>6</v>
      </c>
      <c r="B8" s="1" t="s">
        <v>1589</v>
      </c>
      <c r="C8" t="s">
        <v>1727</v>
      </c>
      <c r="D8" s="4" t="s">
        <v>22</v>
      </c>
      <c r="E8" s="4" t="s">
        <v>22</v>
      </c>
      <c r="G8">
        <v>10</v>
      </c>
    </row>
    <row r="9" spans="1:7" ht="15" x14ac:dyDescent="0.2">
      <c r="A9">
        <v>7</v>
      </c>
      <c r="B9" s="1" t="s">
        <v>1590</v>
      </c>
      <c r="C9" t="s">
        <v>1728</v>
      </c>
      <c r="D9" s="4" t="s">
        <v>22</v>
      </c>
      <c r="E9" s="4" t="s">
        <v>22</v>
      </c>
      <c r="G9">
        <v>11</v>
      </c>
    </row>
    <row r="10" spans="1:7" ht="15" x14ac:dyDescent="0.2">
      <c r="A10">
        <v>8</v>
      </c>
      <c r="B10" s="1" t="s">
        <v>1729</v>
      </c>
      <c r="C10" t="s">
        <v>1730</v>
      </c>
      <c r="D10" s="4" t="s">
        <v>22</v>
      </c>
      <c r="G10">
        <v>71</v>
      </c>
    </row>
    <row r="11" spans="1:7" ht="15" x14ac:dyDescent="0.2">
      <c r="A11">
        <v>9</v>
      </c>
      <c r="B11" s="1" t="s">
        <v>1735</v>
      </c>
      <c r="C11" t="s">
        <v>1736</v>
      </c>
      <c r="D11" s="4" t="s">
        <v>22</v>
      </c>
      <c r="G11">
        <v>72</v>
      </c>
    </row>
    <row r="12" spans="1:7" ht="15" x14ac:dyDescent="0.2">
      <c r="A12">
        <v>10</v>
      </c>
      <c r="B12" s="1" t="s">
        <v>1731</v>
      </c>
      <c r="C12" t="s">
        <v>1737</v>
      </c>
      <c r="D12" s="4" t="s">
        <v>22</v>
      </c>
      <c r="E12" s="4" t="s">
        <v>22</v>
      </c>
      <c r="G12">
        <v>75</v>
      </c>
    </row>
    <row r="13" spans="1:7" ht="15" x14ac:dyDescent="0.2">
      <c r="A13">
        <v>11</v>
      </c>
      <c r="B13" s="1" t="s">
        <v>1732</v>
      </c>
      <c r="C13" t="s">
        <v>1738</v>
      </c>
      <c r="D13" s="4" t="s">
        <v>22</v>
      </c>
      <c r="E13" s="4" t="s">
        <v>22</v>
      </c>
      <c r="G13">
        <v>74</v>
      </c>
    </row>
    <row r="14" spans="1:7" ht="15" x14ac:dyDescent="0.2">
      <c r="A14">
        <v>12</v>
      </c>
      <c r="B14" s="1" t="s">
        <v>1733</v>
      </c>
      <c r="C14" t="s">
        <v>448</v>
      </c>
      <c r="D14" s="4" t="s">
        <v>22</v>
      </c>
      <c r="E14" s="4" t="s">
        <v>22</v>
      </c>
      <c r="F14" t="b">
        <v>0</v>
      </c>
      <c r="G14">
        <v>76</v>
      </c>
    </row>
    <row r="15" spans="1:7" ht="15" x14ac:dyDescent="0.2">
      <c r="A15">
        <v>13</v>
      </c>
      <c r="B15" s="1" t="s">
        <v>1734</v>
      </c>
      <c r="C15" t="s">
        <v>1739</v>
      </c>
      <c r="D15" s="4" t="s">
        <v>22</v>
      </c>
      <c r="E15" s="4" t="s">
        <v>22</v>
      </c>
      <c r="G15">
        <v>77</v>
      </c>
    </row>
    <row r="16" spans="1:7" ht="15" x14ac:dyDescent="0.2">
      <c r="A16">
        <v>14</v>
      </c>
      <c r="B16" s="1" t="s">
        <v>1591</v>
      </c>
      <c r="C16" t="s">
        <v>1740</v>
      </c>
      <c r="D16" s="4" t="s">
        <v>22</v>
      </c>
      <c r="E16" s="4" t="s">
        <v>22</v>
      </c>
      <c r="G16">
        <v>67</v>
      </c>
    </row>
    <row r="17" spans="1:7" ht="15" x14ac:dyDescent="0.2">
      <c r="A17">
        <v>15</v>
      </c>
      <c r="B17" s="1" t="s">
        <v>1592</v>
      </c>
      <c r="C17" t="s">
        <v>1741</v>
      </c>
      <c r="D17" s="4" t="s">
        <v>22</v>
      </c>
      <c r="E17" s="4" t="s">
        <v>22</v>
      </c>
      <c r="G17">
        <v>68</v>
      </c>
    </row>
    <row r="18" spans="1:7" ht="15" x14ac:dyDescent="0.2">
      <c r="A18">
        <v>16</v>
      </c>
      <c r="B18" s="1" t="s">
        <v>1593</v>
      </c>
      <c r="C18" t="s">
        <v>1742</v>
      </c>
      <c r="D18" s="4" t="s">
        <v>22</v>
      </c>
      <c r="E18" s="4" t="s">
        <v>22</v>
      </c>
      <c r="G18">
        <v>8</v>
      </c>
    </row>
    <row r="19" spans="1:7" ht="15" x14ac:dyDescent="0.2">
      <c r="A19">
        <v>17</v>
      </c>
      <c r="B19" s="1" t="s">
        <v>1594</v>
      </c>
      <c r="C19" t="s">
        <v>1743</v>
      </c>
      <c r="D19" s="4" t="s">
        <v>22</v>
      </c>
      <c r="E19" s="4" t="s">
        <v>22</v>
      </c>
      <c r="G19">
        <v>12</v>
      </c>
    </row>
    <row r="20" spans="1:7" ht="15" x14ac:dyDescent="0.2">
      <c r="A20">
        <v>18</v>
      </c>
      <c r="B20" s="1" t="s">
        <v>1595</v>
      </c>
      <c r="C20" t="s">
        <v>1744</v>
      </c>
      <c r="D20" s="4" t="s">
        <v>22</v>
      </c>
      <c r="E20" s="4" t="s">
        <v>22</v>
      </c>
      <c r="G20">
        <v>33</v>
      </c>
    </row>
    <row r="21" spans="1:7" ht="15" x14ac:dyDescent="0.2">
      <c r="A21">
        <v>19</v>
      </c>
      <c r="B21" s="1" t="s">
        <v>1596</v>
      </c>
      <c r="C21" t="s">
        <v>957</v>
      </c>
      <c r="D21" s="4" t="s">
        <v>22</v>
      </c>
      <c r="E21" s="4" t="s">
        <v>22</v>
      </c>
      <c r="G21">
        <v>34</v>
      </c>
    </row>
    <row r="22" spans="1:7" ht="15" x14ac:dyDescent="0.2">
      <c r="A22">
        <v>20</v>
      </c>
      <c r="B22" s="1" t="s">
        <v>1597</v>
      </c>
      <c r="C22" t="s">
        <v>1745</v>
      </c>
      <c r="D22" s="4" t="s">
        <v>22</v>
      </c>
      <c r="E22" s="4" t="s">
        <v>22</v>
      </c>
      <c r="G22">
        <v>35</v>
      </c>
    </row>
    <row r="23" spans="1:7" ht="15" x14ac:dyDescent="0.2">
      <c r="A23">
        <v>21</v>
      </c>
      <c r="B23" s="1" t="s">
        <v>1598</v>
      </c>
      <c r="C23" t="s">
        <v>1747</v>
      </c>
      <c r="D23" s="4" t="s">
        <v>22</v>
      </c>
      <c r="E23" s="4" t="s">
        <v>22</v>
      </c>
      <c r="G23">
        <v>30</v>
      </c>
    </row>
    <row r="24" spans="1:7" ht="15" x14ac:dyDescent="0.2">
      <c r="A24">
        <v>22</v>
      </c>
      <c r="B24" s="1" t="s">
        <v>1599</v>
      </c>
      <c r="C24" t="s">
        <v>1746</v>
      </c>
      <c r="D24" s="4" t="s">
        <v>22</v>
      </c>
      <c r="E24" s="4" t="s">
        <v>22</v>
      </c>
      <c r="G24">
        <v>23</v>
      </c>
    </row>
    <row r="25" spans="1:7" ht="15" x14ac:dyDescent="0.2">
      <c r="A25">
        <v>23</v>
      </c>
      <c r="B25" s="1" t="s">
        <v>1600</v>
      </c>
      <c r="C25" t="s">
        <v>1754</v>
      </c>
      <c r="D25" s="4" t="s">
        <v>22</v>
      </c>
      <c r="E25" s="4" t="s">
        <v>22</v>
      </c>
      <c r="G25">
        <v>36</v>
      </c>
    </row>
    <row r="26" spans="1:7" ht="15" x14ac:dyDescent="0.2">
      <c r="A26">
        <v>24</v>
      </c>
      <c r="B26" s="1" t="s">
        <v>1601</v>
      </c>
      <c r="C26" t="s">
        <v>1748</v>
      </c>
      <c r="D26" s="4" t="s">
        <v>22</v>
      </c>
      <c r="E26" s="4" t="s">
        <v>22</v>
      </c>
      <c r="G26">
        <v>38</v>
      </c>
    </row>
    <row r="27" spans="1:7" ht="15" x14ac:dyDescent="0.2">
      <c r="A27">
        <v>25</v>
      </c>
      <c r="B27" s="1" t="s">
        <v>1602</v>
      </c>
      <c r="C27" t="s">
        <v>1749</v>
      </c>
      <c r="D27" s="4" t="s">
        <v>22</v>
      </c>
      <c r="E27" s="4" t="s">
        <v>22</v>
      </c>
      <c r="G27">
        <v>39</v>
      </c>
    </row>
    <row r="28" spans="1:7" ht="15" x14ac:dyDescent="0.2">
      <c r="A28">
        <v>26</v>
      </c>
      <c r="B28" s="1" t="s">
        <v>1603</v>
      </c>
      <c r="C28" t="s">
        <v>1750</v>
      </c>
      <c r="D28" s="4" t="s">
        <v>22</v>
      </c>
      <c r="E28" s="4" t="s">
        <v>22</v>
      </c>
      <c r="G28">
        <v>131</v>
      </c>
    </row>
    <row r="29" spans="1:7" ht="15" x14ac:dyDescent="0.2">
      <c r="A29">
        <v>27</v>
      </c>
      <c r="B29" s="1" t="s">
        <v>1604</v>
      </c>
      <c r="C29" t="s">
        <v>1751</v>
      </c>
      <c r="D29" s="4" t="s">
        <v>22</v>
      </c>
      <c r="E29" s="4" t="s">
        <v>22</v>
      </c>
      <c r="G29">
        <v>132</v>
      </c>
    </row>
    <row r="30" spans="1:7" ht="15" x14ac:dyDescent="0.2">
      <c r="A30">
        <v>28</v>
      </c>
      <c r="B30" s="1" t="s">
        <v>1605</v>
      </c>
      <c r="C30" t="s">
        <v>1752</v>
      </c>
      <c r="D30" s="4" t="s">
        <v>22</v>
      </c>
      <c r="E30" s="4" t="s">
        <v>22</v>
      </c>
      <c r="G30">
        <v>133</v>
      </c>
    </row>
    <row r="31" spans="1:7" ht="15" x14ac:dyDescent="0.2">
      <c r="A31">
        <v>29</v>
      </c>
      <c r="B31" s="1" t="s">
        <v>3754</v>
      </c>
      <c r="C31" t="s">
        <v>3755</v>
      </c>
      <c r="D31" s="4" t="s">
        <v>22</v>
      </c>
      <c r="E31" s="4" t="s">
        <v>22</v>
      </c>
      <c r="G31">
        <v>134</v>
      </c>
    </row>
    <row r="32" spans="1:7" ht="15" x14ac:dyDescent="0.2">
      <c r="A32">
        <v>30</v>
      </c>
      <c r="B32" s="1" t="s">
        <v>1606</v>
      </c>
      <c r="C32" t="s">
        <v>1753</v>
      </c>
      <c r="D32" s="4" t="s">
        <v>22</v>
      </c>
      <c r="E32" s="4" t="s">
        <v>22</v>
      </c>
      <c r="G32">
        <v>243</v>
      </c>
    </row>
    <row r="33" spans="1:7" ht="15" x14ac:dyDescent="0.2">
      <c r="A33">
        <v>31</v>
      </c>
      <c r="B33" s="1" t="s">
        <v>1607</v>
      </c>
      <c r="C33" t="s">
        <v>1755</v>
      </c>
      <c r="D33" s="4" t="s">
        <v>22</v>
      </c>
      <c r="E33" s="4" t="s">
        <v>22</v>
      </c>
      <c r="G33">
        <v>78</v>
      </c>
    </row>
    <row r="34" spans="1:7" ht="15" x14ac:dyDescent="0.2">
      <c r="A34">
        <v>32</v>
      </c>
      <c r="B34" s="1" t="s">
        <v>1608</v>
      </c>
      <c r="C34" t="s">
        <v>1756</v>
      </c>
      <c r="D34" s="4" t="s">
        <v>22</v>
      </c>
      <c r="E34" s="4" t="s">
        <v>22</v>
      </c>
      <c r="F34" t="b">
        <v>0</v>
      </c>
      <c r="G34">
        <v>24</v>
      </c>
    </row>
    <row r="35" spans="1:7" ht="15" x14ac:dyDescent="0.2">
      <c r="A35">
        <v>33</v>
      </c>
      <c r="B35" s="1" t="s">
        <v>1609</v>
      </c>
      <c r="C35" t="s">
        <v>1757</v>
      </c>
      <c r="D35" s="4" t="s">
        <v>22</v>
      </c>
      <c r="E35" s="4" t="s">
        <v>22</v>
      </c>
      <c r="G35">
        <v>242</v>
      </c>
    </row>
    <row r="36" spans="1:7" ht="15" x14ac:dyDescent="0.2">
      <c r="A36">
        <v>34</v>
      </c>
      <c r="B36" s="1" t="s">
        <v>1610</v>
      </c>
      <c r="C36" t="s">
        <v>1758</v>
      </c>
      <c r="D36" s="4" t="s">
        <v>22</v>
      </c>
      <c r="E36" s="4" t="s">
        <v>22</v>
      </c>
      <c r="G36">
        <v>244</v>
      </c>
    </row>
    <row r="37" spans="1:7" ht="15" x14ac:dyDescent="0.2">
      <c r="A37">
        <v>35</v>
      </c>
      <c r="B37" s="1" t="s">
        <v>1611</v>
      </c>
      <c r="C37" t="s">
        <v>1759</v>
      </c>
      <c r="D37" s="4" t="s">
        <v>22</v>
      </c>
      <c r="E37" s="4" t="s">
        <v>22</v>
      </c>
      <c r="G37">
        <v>52</v>
      </c>
    </row>
    <row r="38" spans="1:7" ht="15" x14ac:dyDescent="0.2">
      <c r="A38">
        <v>36</v>
      </c>
      <c r="B38" s="1" t="s">
        <v>3725</v>
      </c>
      <c r="D38" s="4" t="s">
        <v>22</v>
      </c>
      <c r="G38">
        <v>83</v>
      </c>
    </row>
    <row r="39" spans="1:7" ht="15" x14ac:dyDescent="0.2">
      <c r="A39">
        <v>37</v>
      </c>
      <c r="B39" s="1" t="s">
        <v>3726</v>
      </c>
      <c r="D39" s="4" t="s">
        <v>22</v>
      </c>
      <c r="G39">
        <v>84</v>
      </c>
    </row>
    <row r="40" spans="1:7" ht="15" x14ac:dyDescent="0.2">
      <c r="A40">
        <v>38</v>
      </c>
      <c r="B40" s="1" t="s">
        <v>1612</v>
      </c>
      <c r="C40" t="s">
        <v>1760</v>
      </c>
      <c r="D40" s="4" t="s">
        <v>22</v>
      </c>
      <c r="E40" s="4" t="s">
        <v>22</v>
      </c>
      <c r="G40">
        <v>53</v>
      </c>
    </row>
    <row r="41" spans="1:7" ht="15" x14ac:dyDescent="0.2">
      <c r="A41">
        <v>39</v>
      </c>
      <c r="B41" s="1" t="s">
        <v>1613</v>
      </c>
      <c r="C41" t="s">
        <v>2055</v>
      </c>
      <c r="D41" s="4" t="s">
        <v>22</v>
      </c>
      <c r="E41" s="4" t="s">
        <v>22</v>
      </c>
      <c r="G41">
        <v>20</v>
      </c>
    </row>
    <row r="42" spans="1:7" ht="15" x14ac:dyDescent="0.2">
      <c r="A42">
        <v>40</v>
      </c>
      <c r="B42" s="1" t="s">
        <v>3756</v>
      </c>
      <c r="C42" t="s">
        <v>3758</v>
      </c>
      <c r="D42" s="4" t="s">
        <v>22</v>
      </c>
      <c r="G42">
        <v>21</v>
      </c>
    </row>
    <row r="43" spans="1:7" ht="15" x14ac:dyDescent="0.2">
      <c r="A43">
        <v>41</v>
      </c>
      <c r="B43" s="1" t="s">
        <v>3757</v>
      </c>
      <c r="C43" t="s">
        <v>3759</v>
      </c>
      <c r="D43" s="4" t="s">
        <v>22</v>
      </c>
      <c r="E43" s="4" t="s">
        <v>22</v>
      </c>
      <c r="G43">
        <v>22</v>
      </c>
    </row>
    <row r="44" spans="1:7" ht="15" x14ac:dyDescent="0.2">
      <c r="A44">
        <v>42</v>
      </c>
      <c r="B44" s="1" t="s">
        <v>1614</v>
      </c>
      <c r="C44" t="s">
        <v>1761</v>
      </c>
      <c r="D44" s="4" t="s">
        <v>22</v>
      </c>
      <c r="E44" s="4" t="s">
        <v>22</v>
      </c>
      <c r="G44">
        <v>60</v>
      </c>
    </row>
    <row r="45" spans="1:7" ht="15" x14ac:dyDescent="0.2">
      <c r="A45">
        <v>43</v>
      </c>
      <c r="B45" s="1" t="s">
        <v>1615</v>
      </c>
      <c r="C45" t="s">
        <v>1762</v>
      </c>
      <c r="D45" s="4" t="s">
        <v>22</v>
      </c>
      <c r="E45" s="4" t="s">
        <v>22</v>
      </c>
      <c r="G45">
        <v>61</v>
      </c>
    </row>
    <row r="46" spans="1:7" ht="15" x14ac:dyDescent="0.2">
      <c r="A46">
        <v>44</v>
      </c>
      <c r="B46" s="1" t="s">
        <v>1616</v>
      </c>
      <c r="C46" t="s">
        <v>1763</v>
      </c>
      <c r="D46" s="4" t="s">
        <v>22</v>
      </c>
      <c r="E46" s="4" t="s">
        <v>22</v>
      </c>
      <c r="G46">
        <v>26</v>
      </c>
    </row>
    <row r="47" spans="1:7" ht="15" x14ac:dyDescent="0.2">
      <c r="A47">
        <v>45</v>
      </c>
      <c r="B47" s="1" t="s">
        <v>1617</v>
      </c>
      <c r="C47" t="s">
        <v>1764</v>
      </c>
      <c r="D47" s="4" t="s">
        <v>22</v>
      </c>
      <c r="E47" s="4" t="s">
        <v>22</v>
      </c>
      <c r="F47" t="b">
        <v>0</v>
      </c>
      <c r="G47">
        <v>66</v>
      </c>
    </row>
    <row r="48" spans="1:7" ht="15" x14ac:dyDescent="0.2">
      <c r="A48">
        <v>46</v>
      </c>
      <c r="B48" s="1" t="s">
        <v>1618</v>
      </c>
      <c r="C48" t="s">
        <v>1766</v>
      </c>
      <c r="D48" s="4" t="s">
        <v>22</v>
      </c>
      <c r="E48" s="4" t="s">
        <v>22</v>
      </c>
      <c r="G48">
        <v>62</v>
      </c>
    </row>
    <row r="49" spans="1:7" ht="15" x14ac:dyDescent="0.2">
      <c r="A49">
        <v>47</v>
      </c>
      <c r="B49" s="1" t="s">
        <v>1765</v>
      </c>
      <c r="C49" t="s">
        <v>1767</v>
      </c>
      <c r="D49" s="4" t="s">
        <v>22</v>
      </c>
      <c r="G49">
        <v>63</v>
      </c>
    </row>
    <row r="50" spans="1:7" ht="15" x14ac:dyDescent="0.2">
      <c r="A50">
        <v>48</v>
      </c>
      <c r="B50" s="1" t="s">
        <v>1619</v>
      </c>
      <c r="C50" t="s">
        <v>1768</v>
      </c>
      <c r="D50" s="4" t="s">
        <v>22</v>
      </c>
      <c r="E50" s="4" t="s">
        <v>22</v>
      </c>
      <c r="G50">
        <v>64</v>
      </c>
    </row>
    <row r="51" spans="1:7" ht="15" x14ac:dyDescent="0.2">
      <c r="A51">
        <v>49</v>
      </c>
      <c r="B51" s="1" t="s">
        <v>1620</v>
      </c>
      <c r="C51" t="s">
        <v>1769</v>
      </c>
      <c r="D51" s="4" t="s">
        <v>22</v>
      </c>
      <c r="E51" s="4" t="s">
        <v>22</v>
      </c>
      <c r="G51">
        <v>65</v>
      </c>
    </row>
    <row r="52" spans="1:7" ht="15" x14ac:dyDescent="0.2">
      <c r="A52">
        <v>50</v>
      </c>
      <c r="B52" s="1" t="s">
        <v>1621</v>
      </c>
      <c r="C52" t="s">
        <v>1770</v>
      </c>
      <c r="D52" s="4" t="s">
        <v>22</v>
      </c>
      <c r="E52" s="4" t="s">
        <v>22</v>
      </c>
      <c r="G52">
        <v>79</v>
      </c>
    </row>
    <row r="53" spans="1:7" ht="15" x14ac:dyDescent="0.2">
      <c r="A53">
        <v>51</v>
      </c>
      <c r="B53" s="1" t="s">
        <v>1622</v>
      </c>
      <c r="C53" t="s">
        <v>1771</v>
      </c>
      <c r="D53" s="4" t="s">
        <v>22</v>
      </c>
      <c r="E53" s="4" t="s">
        <v>22</v>
      </c>
      <c r="G53">
        <v>73</v>
      </c>
    </row>
    <row r="54" spans="1:7" ht="15" x14ac:dyDescent="0.2">
      <c r="A54">
        <v>52</v>
      </c>
      <c r="B54" s="1" t="s">
        <v>1623</v>
      </c>
      <c r="C54" t="s">
        <v>1772</v>
      </c>
      <c r="D54" s="4" t="s">
        <v>22</v>
      </c>
      <c r="E54" s="4" t="s">
        <v>22</v>
      </c>
      <c r="G54">
        <v>80</v>
      </c>
    </row>
    <row r="55" spans="1:7" ht="15" x14ac:dyDescent="0.2">
      <c r="A55">
        <v>53</v>
      </c>
      <c r="B55" s="1" t="s">
        <v>1624</v>
      </c>
      <c r="C55" t="s">
        <v>1773</v>
      </c>
      <c r="D55" s="4" t="s">
        <v>22</v>
      </c>
      <c r="E55" s="4" t="s">
        <v>22</v>
      </c>
      <c r="G55">
        <v>46</v>
      </c>
    </row>
    <row r="56" spans="1:7" ht="15" x14ac:dyDescent="0.2">
      <c r="A56">
        <v>54</v>
      </c>
      <c r="B56" s="1" t="s">
        <v>1625</v>
      </c>
      <c r="C56" t="s">
        <v>1774</v>
      </c>
      <c r="D56" s="4" t="s">
        <v>22</v>
      </c>
      <c r="E56" s="4" t="s">
        <v>22</v>
      </c>
      <c r="G56">
        <v>47</v>
      </c>
    </row>
    <row r="57" spans="1:7" ht="15" x14ac:dyDescent="0.2">
      <c r="A57">
        <v>55</v>
      </c>
      <c r="B57" s="1" t="s">
        <v>1626</v>
      </c>
      <c r="C57" t="s">
        <v>1775</v>
      </c>
      <c r="D57" s="4" t="s">
        <v>22</v>
      </c>
      <c r="E57" s="4" t="s">
        <v>22</v>
      </c>
      <c r="G57">
        <v>48</v>
      </c>
    </row>
    <row r="58" spans="1:7" ht="15" x14ac:dyDescent="0.2">
      <c r="A58">
        <v>56</v>
      </c>
      <c r="B58" s="1" t="s">
        <v>1627</v>
      </c>
      <c r="D58" s="4" t="s">
        <v>22</v>
      </c>
      <c r="E58" s="4" t="s">
        <v>22</v>
      </c>
      <c r="G58">
        <v>81</v>
      </c>
    </row>
    <row r="59" spans="1:7" ht="15" x14ac:dyDescent="0.2">
      <c r="A59">
        <v>57</v>
      </c>
      <c r="B59" s="1" t="s">
        <v>1628</v>
      </c>
      <c r="D59" s="4" t="s">
        <v>22</v>
      </c>
      <c r="E59" s="4" t="s">
        <v>22</v>
      </c>
      <c r="G59">
        <v>82</v>
      </c>
    </row>
    <row r="60" spans="1:7" ht="15" x14ac:dyDescent="0.2">
      <c r="A60">
        <v>58</v>
      </c>
      <c r="B60" s="1" t="s">
        <v>1629</v>
      </c>
      <c r="C60" t="s">
        <v>1776</v>
      </c>
      <c r="D60" s="4" t="s">
        <v>22</v>
      </c>
      <c r="E60" s="4" t="s">
        <v>22</v>
      </c>
      <c r="G60">
        <v>27</v>
      </c>
    </row>
    <row r="61" spans="1:7" ht="15" x14ac:dyDescent="0.2">
      <c r="A61">
        <v>59</v>
      </c>
      <c r="B61" s="1" t="s">
        <v>1630</v>
      </c>
      <c r="C61" t="s">
        <v>1777</v>
      </c>
      <c r="D61" s="4" t="s">
        <v>22</v>
      </c>
      <c r="E61" s="4" t="s">
        <v>22</v>
      </c>
      <c r="G61">
        <v>28</v>
      </c>
    </row>
    <row r="62" spans="1:7" ht="15" x14ac:dyDescent="0.2">
      <c r="A62">
        <v>60</v>
      </c>
      <c r="B62" s="1" t="s">
        <v>1631</v>
      </c>
      <c r="C62" t="s">
        <v>2056</v>
      </c>
      <c r="D62" s="4" t="s">
        <v>22</v>
      </c>
      <c r="E62" s="4" t="s">
        <v>22</v>
      </c>
      <c r="G62">
        <v>29</v>
      </c>
    </row>
    <row r="63" spans="1:7" ht="15" x14ac:dyDescent="0.2">
      <c r="A63">
        <v>61</v>
      </c>
      <c r="B63" s="1" t="s">
        <v>1632</v>
      </c>
      <c r="C63" t="s">
        <v>1778</v>
      </c>
      <c r="D63" s="4" t="s">
        <v>22</v>
      </c>
      <c r="E63" s="4" t="s">
        <v>22</v>
      </c>
      <c r="F63" t="b">
        <v>0</v>
      </c>
      <c r="G63">
        <v>31</v>
      </c>
    </row>
    <row r="64" spans="1:7" ht="15" x14ac:dyDescent="0.2">
      <c r="A64">
        <v>62</v>
      </c>
      <c r="B64" s="1" t="s">
        <v>1633</v>
      </c>
      <c r="C64" t="s">
        <v>1779</v>
      </c>
      <c r="D64" s="4" t="s">
        <v>22</v>
      </c>
      <c r="E64" s="4" t="s">
        <v>22</v>
      </c>
      <c r="F64" t="b">
        <v>0</v>
      </c>
      <c r="G64">
        <v>18</v>
      </c>
    </row>
    <row r="65" spans="1:7" ht="15" x14ac:dyDescent="0.2">
      <c r="A65">
        <v>63</v>
      </c>
      <c r="B65" s="1" t="s">
        <v>1634</v>
      </c>
      <c r="C65" t="s">
        <v>1780</v>
      </c>
      <c r="D65" s="4" t="s">
        <v>22</v>
      </c>
      <c r="E65" s="4" t="s">
        <v>22</v>
      </c>
      <c r="F65" t="b">
        <v>0</v>
      </c>
      <c r="G65">
        <v>25</v>
      </c>
    </row>
    <row r="66" spans="1:7" ht="15" x14ac:dyDescent="0.2">
      <c r="A66">
        <v>64</v>
      </c>
      <c r="B66" s="1" t="s">
        <v>1635</v>
      </c>
      <c r="C66" t="s">
        <v>1781</v>
      </c>
      <c r="D66" s="4" t="s">
        <v>22</v>
      </c>
      <c r="E66" s="4" t="s">
        <v>22</v>
      </c>
      <c r="F66" t="b">
        <v>0</v>
      </c>
      <c r="G66">
        <v>32</v>
      </c>
    </row>
    <row r="67" spans="1:7" ht="15" x14ac:dyDescent="0.2">
      <c r="A67">
        <v>65</v>
      </c>
      <c r="B67" s="1" t="s">
        <v>1636</v>
      </c>
      <c r="C67" t="s">
        <v>1782</v>
      </c>
      <c r="D67" s="4" t="s">
        <v>22</v>
      </c>
      <c r="E67" s="4" t="s">
        <v>22</v>
      </c>
      <c r="F67" t="b">
        <v>0</v>
      </c>
      <c r="G67">
        <v>99</v>
      </c>
    </row>
    <row r="68" spans="1:7" ht="15" x14ac:dyDescent="0.2">
      <c r="A68">
        <v>66</v>
      </c>
      <c r="B68" s="1" t="s">
        <v>1637</v>
      </c>
      <c r="C68" t="s">
        <v>1784</v>
      </c>
      <c r="D68" s="4" t="s">
        <v>22</v>
      </c>
      <c r="E68" s="4" t="s">
        <v>22</v>
      </c>
      <c r="F68" t="b">
        <v>0</v>
      </c>
      <c r="G68">
        <v>91</v>
      </c>
    </row>
    <row r="69" spans="1:7" ht="15" x14ac:dyDescent="0.2">
      <c r="A69">
        <v>67</v>
      </c>
      <c r="B69" s="1" t="s">
        <v>1638</v>
      </c>
      <c r="C69" t="s">
        <v>1783</v>
      </c>
      <c r="D69" s="4" t="s">
        <v>22</v>
      </c>
      <c r="E69" s="4" t="s">
        <v>22</v>
      </c>
      <c r="F69" t="b">
        <v>0</v>
      </c>
      <c r="G69">
        <v>90</v>
      </c>
    </row>
    <row r="70" spans="1:7" ht="15" x14ac:dyDescent="0.2">
      <c r="A70">
        <v>68</v>
      </c>
      <c r="B70" s="1" t="s">
        <v>1639</v>
      </c>
      <c r="C70" t="s">
        <v>1785</v>
      </c>
      <c r="D70" s="4" t="s">
        <v>22</v>
      </c>
      <c r="E70" s="4" t="s">
        <v>22</v>
      </c>
      <c r="F70" t="b">
        <v>0</v>
      </c>
      <c r="G70">
        <v>100</v>
      </c>
    </row>
    <row r="71" spans="1:7" ht="15" x14ac:dyDescent="0.2">
      <c r="A71">
        <v>69</v>
      </c>
      <c r="B71" s="1" t="s">
        <v>1640</v>
      </c>
      <c r="C71" t="s">
        <v>1786</v>
      </c>
      <c r="D71" s="4" t="s">
        <v>22</v>
      </c>
      <c r="E71" s="4" t="s">
        <v>22</v>
      </c>
      <c r="F71" t="b">
        <v>0</v>
      </c>
      <c r="G71">
        <v>94</v>
      </c>
    </row>
    <row r="72" spans="1:7" ht="15" x14ac:dyDescent="0.2">
      <c r="A72">
        <v>70</v>
      </c>
      <c r="B72" s="1" t="s">
        <v>1641</v>
      </c>
      <c r="C72" t="s">
        <v>1787</v>
      </c>
      <c r="D72" s="4" t="s">
        <v>22</v>
      </c>
      <c r="E72" s="4" t="s">
        <v>22</v>
      </c>
      <c r="F72" t="b">
        <v>0</v>
      </c>
      <c r="G72">
        <v>95</v>
      </c>
    </row>
    <row r="73" spans="1:7" ht="15" x14ac:dyDescent="0.2">
      <c r="A73">
        <v>71</v>
      </c>
      <c r="B73" s="1" t="s">
        <v>1642</v>
      </c>
      <c r="C73" t="s">
        <v>1788</v>
      </c>
      <c r="D73" s="4" t="s">
        <v>22</v>
      </c>
      <c r="E73" s="4" t="s">
        <v>22</v>
      </c>
      <c r="F73" t="b">
        <v>0</v>
      </c>
      <c r="G73">
        <v>96</v>
      </c>
    </row>
    <row r="74" spans="1:7" ht="15" x14ac:dyDescent="0.2">
      <c r="A74">
        <v>72</v>
      </c>
      <c r="B74" s="1" t="s">
        <v>1643</v>
      </c>
      <c r="C74" t="s">
        <v>1789</v>
      </c>
      <c r="D74" s="4" t="s">
        <v>22</v>
      </c>
      <c r="E74" s="4" t="s">
        <v>22</v>
      </c>
      <c r="F74" t="b">
        <v>0</v>
      </c>
      <c r="G74">
        <v>92</v>
      </c>
    </row>
    <row r="75" spans="1:7" ht="15" x14ac:dyDescent="0.2">
      <c r="A75">
        <v>73</v>
      </c>
      <c r="B75" s="1" t="s">
        <v>1644</v>
      </c>
      <c r="C75" t="s">
        <v>1790</v>
      </c>
      <c r="D75" s="4" t="s">
        <v>22</v>
      </c>
      <c r="E75" s="4" t="s">
        <v>22</v>
      </c>
      <c r="F75" t="b">
        <v>1</v>
      </c>
      <c r="G75">
        <v>103</v>
      </c>
    </row>
    <row r="76" spans="1:7" ht="15" x14ac:dyDescent="0.2">
      <c r="A76">
        <v>74</v>
      </c>
      <c r="B76" s="1" t="s">
        <v>1645</v>
      </c>
      <c r="C76" t="s">
        <v>1791</v>
      </c>
      <c r="D76" s="4" t="s">
        <v>22</v>
      </c>
      <c r="E76" s="4" t="s">
        <v>22</v>
      </c>
      <c r="F76" t="b">
        <v>1</v>
      </c>
      <c r="G76">
        <v>104</v>
      </c>
    </row>
    <row r="77" spans="1:7" ht="15" x14ac:dyDescent="0.2">
      <c r="A77">
        <v>75</v>
      </c>
      <c r="B77" s="1" t="s">
        <v>1646</v>
      </c>
      <c r="C77" t="s">
        <v>1793</v>
      </c>
      <c r="D77" s="4" t="s">
        <v>22</v>
      </c>
      <c r="E77" s="4" t="s">
        <v>22</v>
      </c>
      <c r="F77" t="b">
        <v>0</v>
      </c>
      <c r="G77">
        <v>86</v>
      </c>
    </row>
    <row r="78" spans="1:7" ht="15" x14ac:dyDescent="0.2">
      <c r="A78">
        <v>76</v>
      </c>
      <c r="B78" s="1" t="s">
        <v>1647</v>
      </c>
      <c r="C78" t="s">
        <v>1792</v>
      </c>
      <c r="D78" s="4" t="s">
        <v>22</v>
      </c>
      <c r="E78" s="4" t="s">
        <v>22</v>
      </c>
      <c r="F78" t="b">
        <v>0</v>
      </c>
      <c r="G78">
        <v>87</v>
      </c>
    </row>
    <row r="79" spans="1:7" ht="15" x14ac:dyDescent="0.2">
      <c r="A79">
        <v>77</v>
      </c>
      <c r="B79" s="1" t="s">
        <v>1648</v>
      </c>
      <c r="C79" t="s">
        <v>1794</v>
      </c>
      <c r="D79" s="4" t="s">
        <v>22</v>
      </c>
      <c r="E79" s="4" t="s">
        <v>22</v>
      </c>
      <c r="F79" t="b">
        <v>0</v>
      </c>
      <c r="G79">
        <v>108</v>
      </c>
    </row>
    <row r="80" spans="1:7" ht="15" x14ac:dyDescent="0.2">
      <c r="A80">
        <v>78</v>
      </c>
      <c r="B80" s="1" t="s">
        <v>1649</v>
      </c>
      <c r="C80" t="s">
        <v>1795</v>
      </c>
      <c r="D80" s="4" t="s">
        <v>22</v>
      </c>
      <c r="E80" s="4" t="s">
        <v>22</v>
      </c>
      <c r="F80" t="b">
        <v>0</v>
      </c>
      <c r="G80">
        <v>102</v>
      </c>
    </row>
    <row r="81" spans="1:7" ht="15" x14ac:dyDescent="0.2">
      <c r="A81">
        <v>79</v>
      </c>
      <c r="B81" s="1" t="s">
        <v>1650</v>
      </c>
      <c r="C81" t="s">
        <v>1796</v>
      </c>
      <c r="D81" s="4" t="s">
        <v>22</v>
      </c>
      <c r="E81" s="4" t="s">
        <v>22</v>
      </c>
      <c r="F81" t="b">
        <v>0</v>
      </c>
      <c r="G81">
        <v>109</v>
      </c>
    </row>
    <row r="82" spans="1:7" ht="15" x14ac:dyDescent="0.2">
      <c r="A82">
        <v>80</v>
      </c>
      <c r="B82" s="1" t="s">
        <v>1651</v>
      </c>
      <c r="C82" t="s">
        <v>1797</v>
      </c>
      <c r="D82" s="4" t="s">
        <v>22</v>
      </c>
      <c r="E82" s="4" t="s">
        <v>22</v>
      </c>
      <c r="F82" t="b">
        <v>0</v>
      </c>
      <c r="G82">
        <v>110</v>
      </c>
    </row>
    <row r="83" spans="1:7" ht="15" x14ac:dyDescent="0.2">
      <c r="A83">
        <v>81</v>
      </c>
      <c r="B83" s="1" t="s">
        <v>1652</v>
      </c>
      <c r="C83" t="s">
        <v>1798</v>
      </c>
      <c r="D83" s="4" t="s">
        <v>22</v>
      </c>
      <c r="E83" s="4" t="s">
        <v>22</v>
      </c>
      <c r="F83" t="b">
        <v>1</v>
      </c>
      <c r="G83">
        <v>106</v>
      </c>
    </row>
    <row r="84" spans="1:7" ht="15" x14ac:dyDescent="0.2">
      <c r="A84">
        <v>82</v>
      </c>
      <c r="B84" s="1" t="s">
        <v>1653</v>
      </c>
      <c r="C84" t="s">
        <v>1799</v>
      </c>
      <c r="D84" s="4" t="s">
        <v>22</v>
      </c>
      <c r="E84" s="4" t="s">
        <v>22</v>
      </c>
      <c r="F84" t="b">
        <v>0</v>
      </c>
      <c r="G84">
        <v>107</v>
      </c>
    </row>
    <row r="85" spans="1:7" ht="15" x14ac:dyDescent="0.2">
      <c r="A85">
        <v>83</v>
      </c>
      <c r="B85" s="1" t="s">
        <v>1654</v>
      </c>
      <c r="C85" t="s">
        <v>1800</v>
      </c>
      <c r="D85" s="4" t="s">
        <v>22</v>
      </c>
      <c r="E85" s="4" t="s">
        <v>22</v>
      </c>
      <c r="F85" t="b">
        <v>0</v>
      </c>
      <c r="G85">
        <v>85</v>
      </c>
    </row>
    <row r="86" spans="1:7" ht="15" x14ac:dyDescent="0.2">
      <c r="A86">
        <v>84</v>
      </c>
      <c r="B86" s="1" t="s">
        <v>1655</v>
      </c>
      <c r="C86" t="s">
        <v>1801</v>
      </c>
      <c r="D86" s="4" t="s">
        <v>22</v>
      </c>
      <c r="E86" s="4" t="s">
        <v>22</v>
      </c>
      <c r="F86" t="b">
        <v>0</v>
      </c>
      <c r="G86">
        <v>111</v>
      </c>
    </row>
    <row r="87" spans="1:7" ht="15" x14ac:dyDescent="0.2">
      <c r="A87">
        <v>85</v>
      </c>
      <c r="B87" s="1" t="s">
        <v>1656</v>
      </c>
      <c r="C87" t="s">
        <v>1802</v>
      </c>
      <c r="D87" s="4" t="s">
        <v>22</v>
      </c>
      <c r="E87" s="4" t="s">
        <v>22</v>
      </c>
      <c r="F87" t="b">
        <v>1</v>
      </c>
      <c r="G87">
        <v>114</v>
      </c>
    </row>
    <row r="88" spans="1:7" ht="15" x14ac:dyDescent="0.2">
      <c r="A88">
        <v>86</v>
      </c>
      <c r="B88" s="1" t="s">
        <v>1657</v>
      </c>
      <c r="C88" t="s">
        <v>1803</v>
      </c>
      <c r="D88" s="4" t="s">
        <v>22</v>
      </c>
      <c r="E88" s="4" t="s">
        <v>22</v>
      </c>
      <c r="F88" t="b">
        <v>0</v>
      </c>
      <c r="G88">
        <v>88</v>
      </c>
    </row>
    <row r="89" spans="1:7" ht="15" x14ac:dyDescent="0.2">
      <c r="A89">
        <v>87</v>
      </c>
      <c r="B89" s="1" t="s">
        <v>1658</v>
      </c>
      <c r="C89" t="s">
        <v>1804</v>
      </c>
      <c r="D89" s="4" t="s">
        <v>22</v>
      </c>
      <c r="E89" s="4" t="s">
        <v>22</v>
      </c>
      <c r="F89" t="b">
        <v>0</v>
      </c>
      <c r="G89">
        <v>89</v>
      </c>
    </row>
    <row r="90" spans="1:7" ht="15" x14ac:dyDescent="0.2">
      <c r="A90">
        <v>88</v>
      </c>
      <c r="B90" s="1" t="s">
        <v>1659</v>
      </c>
      <c r="C90" t="s">
        <v>1805</v>
      </c>
      <c r="D90" s="4" t="s">
        <v>22</v>
      </c>
      <c r="E90" s="4" t="s">
        <v>22</v>
      </c>
      <c r="F90" t="b">
        <v>0</v>
      </c>
      <c r="G90">
        <v>97</v>
      </c>
    </row>
    <row r="91" spans="1:7" ht="15" x14ac:dyDescent="0.2">
      <c r="A91">
        <v>89</v>
      </c>
      <c r="B91" s="1" t="s">
        <v>1660</v>
      </c>
      <c r="C91" t="s">
        <v>1806</v>
      </c>
      <c r="D91" s="4" t="s">
        <v>22</v>
      </c>
      <c r="E91" s="4" t="s">
        <v>22</v>
      </c>
      <c r="G91">
        <v>105</v>
      </c>
    </row>
    <row r="92" spans="1:7" ht="15" x14ac:dyDescent="0.2">
      <c r="A92">
        <v>90</v>
      </c>
      <c r="B92" s="1" t="s">
        <v>1661</v>
      </c>
      <c r="C92" t="s">
        <v>1807</v>
      </c>
      <c r="D92" s="4" t="s">
        <v>22</v>
      </c>
      <c r="E92" s="4" t="s">
        <v>22</v>
      </c>
      <c r="F92" t="b">
        <v>0</v>
      </c>
      <c r="G92">
        <v>49</v>
      </c>
    </row>
    <row r="93" spans="1:7" ht="15" x14ac:dyDescent="0.2">
      <c r="A93">
        <v>91</v>
      </c>
      <c r="B93" s="1" t="s">
        <v>1662</v>
      </c>
      <c r="C93" t="s">
        <v>1808</v>
      </c>
      <c r="D93" s="4" t="s">
        <v>22</v>
      </c>
      <c r="E93" s="4" t="s">
        <v>22</v>
      </c>
      <c r="F93" t="b">
        <v>0</v>
      </c>
      <c r="G93">
        <v>98</v>
      </c>
    </row>
    <row r="94" spans="1:7" ht="15" x14ac:dyDescent="0.2">
      <c r="A94">
        <v>92</v>
      </c>
      <c r="B94" s="1" t="s">
        <v>1663</v>
      </c>
      <c r="C94" t="s">
        <v>1809</v>
      </c>
      <c r="D94" s="4" t="s">
        <v>22</v>
      </c>
      <c r="E94" s="4" t="s">
        <v>22</v>
      </c>
      <c r="F94" t="b">
        <v>0</v>
      </c>
      <c r="G94">
        <v>58</v>
      </c>
    </row>
    <row r="95" spans="1:7" ht="15" x14ac:dyDescent="0.2">
      <c r="A95">
        <v>93</v>
      </c>
      <c r="B95" s="1" t="s">
        <v>1664</v>
      </c>
      <c r="C95" t="s">
        <v>1810</v>
      </c>
      <c r="D95" s="4" t="s">
        <v>22</v>
      </c>
      <c r="E95" s="4" t="s">
        <v>22</v>
      </c>
      <c r="F95" t="b">
        <v>1</v>
      </c>
      <c r="G95">
        <v>59</v>
      </c>
    </row>
    <row r="96" spans="1:7" ht="15" x14ac:dyDescent="0.2">
      <c r="A96">
        <v>94</v>
      </c>
      <c r="B96" s="1" t="s">
        <v>1665</v>
      </c>
      <c r="C96" t="s">
        <v>1811</v>
      </c>
      <c r="D96" s="4" t="s">
        <v>22</v>
      </c>
      <c r="E96" s="4" t="s">
        <v>22</v>
      </c>
      <c r="F96" t="b">
        <v>0</v>
      </c>
      <c r="G96">
        <v>69</v>
      </c>
    </row>
    <row r="97" spans="1:7" ht="15" x14ac:dyDescent="0.2">
      <c r="A97">
        <v>95</v>
      </c>
      <c r="B97" s="1" t="s">
        <v>1666</v>
      </c>
      <c r="C97" t="s">
        <v>1812</v>
      </c>
      <c r="D97" s="4" t="s">
        <v>22</v>
      </c>
      <c r="E97" s="4" t="s">
        <v>22</v>
      </c>
      <c r="F97" t="b">
        <v>0</v>
      </c>
      <c r="G97">
        <v>135</v>
      </c>
    </row>
    <row r="98" spans="1:7" ht="15" x14ac:dyDescent="0.2">
      <c r="A98">
        <v>96</v>
      </c>
      <c r="B98" s="1" t="s">
        <v>1667</v>
      </c>
      <c r="C98" t="s">
        <v>1813</v>
      </c>
      <c r="D98" s="4" t="s">
        <v>22</v>
      </c>
      <c r="E98" s="4" t="s">
        <v>22</v>
      </c>
      <c r="F98" t="b">
        <v>0</v>
      </c>
      <c r="G98">
        <v>152</v>
      </c>
    </row>
    <row r="99" spans="1:7" ht="15" x14ac:dyDescent="0.2">
      <c r="A99">
        <v>97</v>
      </c>
      <c r="B99" s="1" t="s">
        <v>1668</v>
      </c>
      <c r="C99" t="s">
        <v>1814</v>
      </c>
      <c r="D99" s="4" t="s">
        <v>22</v>
      </c>
      <c r="E99" s="4" t="s">
        <v>22</v>
      </c>
      <c r="F99" t="b">
        <v>0</v>
      </c>
      <c r="G99">
        <v>137</v>
      </c>
    </row>
    <row r="100" spans="1:7" ht="15" x14ac:dyDescent="0.2">
      <c r="A100">
        <v>98</v>
      </c>
      <c r="B100" s="1" t="s">
        <v>1669</v>
      </c>
      <c r="C100" t="s">
        <v>1815</v>
      </c>
      <c r="D100" s="4" t="s">
        <v>22</v>
      </c>
      <c r="E100" s="4" t="s">
        <v>22</v>
      </c>
      <c r="F100" t="b">
        <v>0</v>
      </c>
      <c r="G100">
        <v>13</v>
      </c>
    </row>
    <row r="101" spans="1:7" ht="15" x14ac:dyDescent="0.2">
      <c r="A101">
        <v>99</v>
      </c>
      <c r="B101" s="1" t="s">
        <v>1670</v>
      </c>
      <c r="C101" t="s">
        <v>1816</v>
      </c>
      <c r="D101" s="4" t="s">
        <v>22</v>
      </c>
      <c r="E101" s="4" t="s">
        <v>22</v>
      </c>
      <c r="F101" t="b">
        <v>0</v>
      </c>
      <c r="G101">
        <v>70</v>
      </c>
    </row>
    <row r="102" spans="1:7" ht="15" x14ac:dyDescent="0.2">
      <c r="A102">
        <v>100</v>
      </c>
      <c r="B102" s="1" t="s">
        <v>1671</v>
      </c>
      <c r="C102" t="s">
        <v>2057</v>
      </c>
      <c r="D102" s="4" t="s">
        <v>22</v>
      </c>
      <c r="E102" s="4" t="s">
        <v>22</v>
      </c>
      <c r="F102" t="b">
        <v>0</v>
      </c>
      <c r="G102">
        <v>118</v>
      </c>
    </row>
    <row r="103" spans="1:7" ht="15" x14ac:dyDescent="0.2">
      <c r="A103">
        <v>101</v>
      </c>
      <c r="B103" s="1" t="s">
        <v>1672</v>
      </c>
      <c r="C103" t="s">
        <v>1817</v>
      </c>
      <c r="D103" s="4" t="s">
        <v>22</v>
      </c>
      <c r="E103" s="4" t="s">
        <v>22</v>
      </c>
      <c r="G103">
        <v>139</v>
      </c>
    </row>
    <row r="104" spans="1:7" ht="15" x14ac:dyDescent="0.2">
      <c r="A104">
        <v>102</v>
      </c>
      <c r="B104" s="1" t="s">
        <v>1673</v>
      </c>
      <c r="C104" t="s">
        <v>1818</v>
      </c>
      <c r="D104" s="4" t="s">
        <v>22</v>
      </c>
      <c r="E104" s="4" t="s">
        <v>22</v>
      </c>
      <c r="F104" t="b">
        <v>0</v>
      </c>
      <c r="G104">
        <v>112</v>
      </c>
    </row>
    <row r="105" spans="1:7" ht="15" x14ac:dyDescent="0.2">
      <c r="A105">
        <v>103</v>
      </c>
      <c r="B105" s="1" t="s">
        <v>1674</v>
      </c>
      <c r="C105" t="s">
        <v>1819</v>
      </c>
      <c r="D105" s="4" t="s">
        <v>22</v>
      </c>
      <c r="E105" s="4" t="s">
        <v>22</v>
      </c>
      <c r="F105" t="b">
        <v>0</v>
      </c>
      <c r="G105">
        <v>142</v>
      </c>
    </row>
    <row r="106" spans="1:7" ht="15" x14ac:dyDescent="0.2">
      <c r="A106">
        <v>104</v>
      </c>
      <c r="B106" s="1" t="s">
        <v>1675</v>
      </c>
      <c r="C106" t="s">
        <v>1820</v>
      </c>
      <c r="D106" s="4" t="s">
        <v>22</v>
      </c>
      <c r="E106" s="4" t="s">
        <v>22</v>
      </c>
      <c r="F106" t="b">
        <v>0</v>
      </c>
      <c r="G106">
        <v>93</v>
      </c>
    </row>
    <row r="107" spans="1:7" ht="15" x14ac:dyDescent="0.2">
      <c r="A107">
        <v>105</v>
      </c>
      <c r="B107" s="1" t="s">
        <v>1821</v>
      </c>
      <c r="C107" t="s">
        <v>1824</v>
      </c>
      <c r="D107" s="4" t="s">
        <v>22</v>
      </c>
      <c r="E107" s="4" t="s">
        <v>22</v>
      </c>
      <c r="G107">
        <v>144</v>
      </c>
    </row>
    <row r="108" spans="1:7" ht="15" x14ac:dyDescent="0.2">
      <c r="A108">
        <v>106</v>
      </c>
      <c r="B108" s="1" t="s">
        <v>1822</v>
      </c>
      <c r="C108" t="s">
        <v>1825</v>
      </c>
      <c r="D108" s="4" t="s">
        <v>22</v>
      </c>
      <c r="E108" s="4" t="s">
        <v>22</v>
      </c>
      <c r="F108" t="b">
        <v>1</v>
      </c>
      <c r="G108">
        <v>143</v>
      </c>
    </row>
    <row r="109" spans="1:7" ht="15" x14ac:dyDescent="0.2">
      <c r="A109">
        <v>107</v>
      </c>
      <c r="B109" s="1" t="s">
        <v>1823</v>
      </c>
      <c r="C109" t="s">
        <v>1826</v>
      </c>
      <c r="D109" s="4" t="s">
        <v>22</v>
      </c>
      <c r="E109" s="4" t="s">
        <v>22</v>
      </c>
      <c r="G109">
        <v>145</v>
      </c>
    </row>
    <row r="110" spans="1:7" ht="15" x14ac:dyDescent="0.2">
      <c r="A110">
        <v>108</v>
      </c>
      <c r="B110" s="1" t="s">
        <v>1827</v>
      </c>
      <c r="C110" t="s">
        <v>1829</v>
      </c>
      <c r="D110" s="4" t="s">
        <v>22</v>
      </c>
      <c r="E110" s="4" t="s">
        <v>22</v>
      </c>
      <c r="G110">
        <v>147</v>
      </c>
    </row>
    <row r="111" spans="1:7" ht="15" x14ac:dyDescent="0.2">
      <c r="A111">
        <v>109</v>
      </c>
      <c r="B111" s="1" t="s">
        <v>1828</v>
      </c>
      <c r="C111" t="s">
        <v>1830</v>
      </c>
      <c r="D111" s="4" t="s">
        <v>22</v>
      </c>
      <c r="E111" s="4" t="s">
        <v>22</v>
      </c>
      <c r="F111" t="b">
        <v>1</v>
      </c>
      <c r="G111">
        <v>148</v>
      </c>
    </row>
    <row r="112" spans="1:7" ht="15" x14ac:dyDescent="0.2">
      <c r="A112">
        <v>110</v>
      </c>
      <c r="B112" s="1" t="s">
        <v>1676</v>
      </c>
      <c r="C112" t="s">
        <v>1831</v>
      </c>
      <c r="D112" s="4" t="s">
        <v>22</v>
      </c>
      <c r="E112" s="4" t="s">
        <v>22</v>
      </c>
      <c r="F112" t="b">
        <v>0</v>
      </c>
      <c r="G112">
        <v>146</v>
      </c>
    </row>
    <row r="113" spans="1:7" ht="15" x14ac:dyDescent="0.2">
      <c r="A113">
        <v>111</v>
      </c>
      <c r="B113" s="1" t="s">
        <v>1677</v>
      </c>
      <c r="C113" t="s">
        <v>1832</v>
      </c>
      <c r="D113" s="4" t="s">
        <v>22</v>
      </c>
      <c r="E113" s="4" t="s">
        <v>22</v>
      </c>
      <c r="F113" t="b">
        <v>0</v>
      </c>
      <c r="G113">
        <v>138</v>
      </c>
    </row>
    <row r="114" spans="1:7" ht="15" x14ac:dyDescent="0.2">
      <c r="A114">
        <v>112</v>
      </c>
      <c r="B114" s="1" t="s">
        <v>1678</v>
      </c>
      <c r="C114" t="s">
        <v>1833</v>
      </c>
      <c r="D114" s="4" t="s">
        <v>22</v>
      </c>
      <c r="E114" s="4" t="s">
        <v>22</v>
      </c>
      <c r="F114" t="b">
        <v>0</v>
      </c>
      <c r="G114">
        <v>113</v>
      </c>
    </row>
    <row r="115" spans="1:7" ht="15" x14ac:dyDescent="0.2">
      <c r="A115">
        <v>113</v>
      </c>
      <c r="B115" s="1" t="s">
        <v>1679</v>
      </c>
      <c r="C115" t="s">
        <v>1834</v>
      </c>
      <c r="D115" s="4" t="s">
        <v>22</v>
      </c>
      <c r="E115" s="4" t="s">
        <v>22</v>
      </c>
      <c r="F115" t="b">
        <v>0</v>
      </c>
      <c r="G115">
        <v>14</v>
      </c>
    </row>
    <row r="116" spans="1:7" ht="15" x14ac:dyDescent="0.2">
      <c r="A116">
        <v>114</v>
      </c>
      <c r="B116" s="1" t="s">
        <v>1680</v>
      </c>
      <c r="C116" t="s">
        <v>2050</v>
      </c>
      <c r="D116" s="4" t="s">
        <v>22</v>
      </c>
      <c r="E116" s="4" t="s">
        <v>22</v>
      </c>
      <c r="F116" t="b">
        <v>0</v>
      </c>
      <c r="G116">
        <v>120</v>
      </c>
    </row>
    <row r="117" spans="1:7" ht="15" x14ac:dyDescent="0.2">
      <c r="A117">
        <v>115</v>
      </c>
      <c r="B117" s="1" t="s">
        <v>1681</v>
      </c>
      <c r="C117" t="s">
        <v>1835</v>
      </c>
      <c r="D117" s="4" t="s">
        <v>22</v>
      </c>
      <c r="E117" s="4" t="s">
        <v>22</v>
      </c>
      <c r="F117" t="b">
        <v>0</v>
      </c>
      <c r="G117">
        <v>119</v>
      </c>
    </row>
    <row r="118" spans="1:7" ht="15" x14ac:dyDescent="0.2">
      <c r="A118">
        <v>116</v>
      </c>
      <c r="B118" s="1" t="s">
        <v>1682</v>
      </c>
      <c r="C118" t="s">
        <v>1836</v>
      </c>
      <c r="D118" s="4" t="s">
        <v>22</v>
      </c>
      <c r="E118" s="4" t="s">
        <v>22</v>
      </c>
      <c r="F118" t="b">
        <v>0</v>
      </c>
      <c r="G118">
        <v>121</v>
      </c>
    </row>
    <row r="119" spans="1:7" ht="15" x14ac:dyDescent="0.2">
      <c r="A119">
        <v>117</v>
      </c>
      <c r="B119" s="1" t="s">
        <v>1683</v>
      </c>
      <c r="C119" t="s">
        <v>1837</v>
      </c>
      <c r="D119" s="4" t="s">
        <v>22</v>
      </c>
      <c r="E119" s="4" t="s">
        <v>22</v>
      </c>
      <c r="G119">
        <v>149</v>
      </c>
    </row>
    <row r="120" spans="1:7" ht="15" x14ac:dyDescent="0.2">
      <c r="A120">
        <v>118</v>
      </c>
      <c r="B120" s="1" t="s">
        <v>1684</v>
      </c>
      <c r="C120" t="s">
        <v>1838</v>
      </c>
      <c r="D120" s="4" t="s">
        <v>22</v>
      </c>
      <c r="E120" s="4" t="s">
        <v>22</v>
      </c>
      <c r="F120" t="b">
        <v>0</v>
      </c>
      <c r="G120">
        <v>122</v>
      </c>
    </row>
    <row r="121" spans="1:7" ht="15" x14ac:dyDescent="0.2">
      <c r="A121">
        <v>119</v>
      </c>
      <c r="B121" s="1" t="s">
        <v>1685</v>
      </c>
      <c r="C121" t="s">
        <v>1839</v>
      </c>
      <c r="D121" s="4" t="s">
        <v>22</v>
      </c>
      <c r="E121" s="4" t="s">
        <v>22</v>
      </c>
      <c r="G121">
        <v>42</v>
      </c>
    </row>
    <row r="122" spans="1:7" ht="15" x14ac:dyDescent="0.2">
      <c r="A122">
        <v>120</v>
      </c>
      <c r="B122" s="1" t="s">
        <v>1686</v>
      </c>
      <c r="C122" t="s">
        <v>1840</v>
      </c>
      <c r="D122" s="4" t="s">
        <v>22</v>
      </c>
      <c r="E122" s="4" t="s">
        <v>22</v>
      </c>
      <c r="G122">
        <v>45</v>
      </c>
    </row>
    <row r="123" spans="1:7" ht="15" x14ac:dyDescent="0.2">
      <c r="A123">
        <v>121</v>
      </c>
      <c r="B123" s="1" t="s">
        <v>1687</v>
      </c>
      <c r="C123" t="s">
        <v>1841</v>
      </c>
      <c r="D123" s="4" t="s">
        <v>22</v>
      </c>
      <c r="E123" s="4" t="s">
        <v>22</v>
      </c>
      <c r="G123">
        <v>50</v>
      </c>
    </row>
    <row r="124" spans="1:7" ht="15" x14ac:dyDescent="0.2">
      <c r="A124">
        <v>122</v>
      </c>
      <c r="B124" s="1" t="s">
        <v>1688</v>
      </c>
      <c r="C124" t="s">
        <v>1842</v>
      </c>
      <c r="D124" s="4" t="s">
        <v>22</v>
      </c>
      <c r="E124" s="4" t="s">
        <v>22</v>
      </c>
      <c r="G124">
        <v>51</v>
      </c>
    </row>
    <row r="125" spans="1:7" ht="15" x14ac:dyDescent="0.2">
      <c r="A125">
        <v>123</v>
      </c>
      <c r="B125" s="1" t="s">
        <v>1689</v>
      </c>
      <c r="C125" t="s">
        <v>1843</v>
      </c>
      <c r="D125" s="4" t="s">
        <v>22</v>
      </c>
      <c r="E125" s="4" t="s">
        <v>22</v>
      </c>
      <c r="G125">
        <v>55</v>
      </c>
    </row>
    <row r="126" spans="1:7" ht="15" x14ac:dyDescent="0.2">
      <c r="A126">
        <v>124</v>
      </c>
      <c r="B126" s="1" t="s">
        <v>1690</v>
      </c>
      <c r="C126" t="s">
        <v>1844</v>
      </c>
      <c r="D126" s="4" t="s">
        <v>22</v>
      </c>
      <c r="E126" s="4" t="s">
        <v>22</v>
      </c>
      <c r="G126">
        <v>56</v>
      </c>
    </row>
    <row r="127" spans="1:7" ht="15" x14ac:dyDescent="0.2">
      <c r="A127">
        <v>125</v>
      </c>
      <c r="B127" s="1" t="s">
        <v>1691</v>
      </c>
      <c r="C127" t="s">
        <v>1845</v>
      </c>
      <c r="D127" s="4" t="s">
        <v>22</v>
      </c>
      <c r="E127" s="4" t="s">
        <v>22</v>
      </c>
      <c r="G127">
        <v>57</v>
      </c>
    </row>
    <row r="128" spans="1:7" ht="15" x14ac:dyDescent="0.2">
      <c r="A128">
        <v>126</v>
      </c>
      <c r="B128" s="1" t="s">
        <v>3760</v>
      </c>
      <c r="C128" t="s">
        <v>3761</v>
      </c>
      <c r="D128" s="4" t="s">
        <v>22</v>
      </c>
      <c r="G128">
        <v>43</v>
      </c>
    </row>
    <row r="129" spans="1:7" ht="15" x14ac:dyDescent="0.2">
      <c r="A129">
        <v>127</v>
      </c>
      <c r="B129" s="1" t="s">
        <v>3762</v>
      </c>
      <c r="C129" t="s">
        <v>3763</v>
      </c>
      <c r="D129" s="4" t="s">
        <v>22</v>
      </c>
      <c r="E129" s="4" t="s">
        <v>22</v>
      </c>
      <c r="G129">
        <v>44</v>
      </c>
    </row>
    <row r="130" spans="1:7" ht="15" x14ac:dyDescent="0.2">
      <c r="A130">
        <v>128</v>
      </c>
      <c r="B130" s="1" t="s">
        <v>1692</v>
      </c>
      <c r="C130" t="s">
        <v>1846</v>
      </c>
      <c r="D130" s="4" t="s">
        <v>22</v>
      </c>
      <c r="E130" s="4" t="s">
        <v>22</v>
      </c>
      <c r="G130">
        <v>150</v>
      </c>
    </row>
    <row r="131" spans="1:7" ht="15" x14ac:dyDescent="0.2">
      <c r="A131">
        <v>129</v>
      </c>
      <c r="B131" s="1" t="s">
        <v>1847</v>
      </c>
      <c r="C131" t="s">
        <v>1907</v>
      </c>
      <c r="D131" s="4" t="s">
        <v>22</v>
      </c>
      <c r="E131" s="4" t="s">
        <v>22</v>
      </c>
      <c r="G131">
        <v>288</v>
      </c>
    </row>
    <row r="132" spans="1:7" ht="15" x14ac:dyDescent="0.2">
      <c r="A132">
        <v>130</v>
      </c>
      <c r="B132" s="1" t="s">
        <v>1851</v>
      </c>
      <c r="C132" t="s">
        <v>1908</v>
      </c>
      <c r="D132" s="4" t="s">
        <v>22</v>
      </c>
      <c r="E132" s="4" t="s">
        <v>22</v>
      </c>
      <c r="F132" t="b">
        <v>0</v>
      </c>
      <c r="G132">
        <v>294</v>
      </c>
    </row>
    <row r="133" spans="1:7" ht="15" x14ac:dyDescent="0.2">
      <c r="A133">
        <v>131</v>
      </c>
      <c r="B133" s="1" t="s">
        <v>1852</v>
      </c>
      <c r="C133" t="s">
        <v>1909</v>
      </c>
      <c r="D133" s="4" t="s">
        <v>22</v>
      </c>
      <c r="E133" s="4" t="s">
        <v>22</v>
      </c>
      <c r="F133" t="b">
        <v>0</v>
      </c>
      <c r="G133">
        <v>291</v>
      </c>
    </row>
    <row r="134" spans="1:7" ht="15" x14ac:dyDescent="0.2">
      <c r="A134">
        <v>132</v>
      </c>
      <c r="B134" s="1" t="s">
        <v>1853</v>
      </c>
      <c r="D134" s="4" t="s">
        <v>22</v>
      </c>
      <c r="E134" s="4" t="s">
        <v>22</v>
      </c>
      <c r="F134" t="b">
        <v>0</v>
      </c>
      <c r="G134">
        <v>295</v>
      </c>
    </row>
    <row r="135" spans="1:7" ht="15" x14ac:dyDescent="0.2">
      <c r="A135">
        <v>133</v>
      </c>
      <c r="B135" s="1" t="s">
        <v>1854</v>
      </c>
      <c r="C135" t="s">
        <v>1910</v>
      </c>
      <c r="D135" s="4" t="s">
        <v>22</v>
      </c>
      <c r="E135" s="4" t="s">
        <v>22</v>
      </c>
      <c r="F135" t="b">
        <v>1</v>
      </c>
      <c r="G135">
        <v>290</v>
      </c>
    </row>
    <row r="136" spans="1:7" ht="15" x14ac:dyDescent="0.2">
      <c r="A136">
        <v>134</v>
      </c>
      <c r="B136" s="1" t="s">
        <v>1855</v>
      </c>
      <c r="C136" t="s">
        <v>1911</v>
      </c>
      <c r="D136" s="4" t="s">
        <v>22</v>
      </c>
      <c r="E136" s="4" t="s">
        <v>22</v>
      </c>
      <c r="G136">
        <v>292</v>
      </c>
    </row>
    <row r="137" spans="1:7" ht="15" x14ac:dyDescent="0.2">
      <c r="A137">
        <v>135</v>
      </c>
      <c r="B137" s="1" t="s">
        <v>1856</v>
      </c>
      <c r="C137" t="s">
        <v>1912</v>
      </c>
      <c r="D137" s="4" t="s">
        <v>22</v>
      </c>
      <c r="E137" s="4" t="s">
        <v>22</v>
      </c>
      <c r="G137">
        <v>293</v>
      </c>
    </row>
    <row r="138" spans="1:7" ht="15" x14ac:dyDescent="0.2">
      <c r="A138">
        <v>136</v>
      </c>
      <c r="B138" s="1" t="s">
        <v>1857</v>
      </c>
      <c r="C138" t="s">
        <v>1913</v>
      </c>
      <c r="D138" s="4" t="s">
        <v>22</v>
      </c>
      <c r="E138" s="4" t="s">
        <v>22</v>
      </c>
      <c r="G138">
        <v>298</v>
      </c>
    </row>
    <row r="139" spans="1:7" ht="15" x14ac:dyDescent="0.2">
      <c r="A139">
        <v>137</v>
      </c>
      <c r="B139" s="1" t="s">
        <v>1858</v>
      </c>
      <c r="C139" t="s">
        <v>1914</v>
      </c>
      <c r="D139" s="4" t="s">
        <v>22</v>
      </c>
      <c r="E139" s="4" t="s">
        <v>22</v>
      </c>
      <c r="G139">
        <v>299</v>
      </c>
    </row>
    <row r="140" spans="1:7" ht="15" x14ac:dyDescent="0.2">
      <c r="A140">
        <v>138</v>
      </c>
      <c r="B140" s="1" t="s">
        <v>3731</v>
      </c>
      <c r="C140" t="s">
        <v>3764</v>
      </c>
      <c r="D140" s="4" t="s">
        <v>22</v>
      </c>
      <c r="E140" s="4" t="s">
        <v>22</v>
      </c>
      <c r="G140">
        <v>306</v>
      </c>
    </row>
    <row r="141" spans="1:7" ht="15" x14ac:dyDescent="0.2">
      <c r="A141">
        <v>139</v>
      </c>
      <c r="B141" s="1" t="s">
        <v>1859</v>
      </c>
      <c r="C141" t="s">
        <v>1915</v>
      </c>
      <c r="D141" s="4" t="s">
        <v>22</v>
      </c>
      <c r="E141" s="4" t="s">
        <v>22</v>
      </c>
      <c r="G141">
        <v>300</v>
      </c>
    </row>
    <row r="142" spans="1:7" ht="15" x14ac:dyDescent="0.2">
      <c r="A142">
        <v>140</v>
      </c>
      <c r="B142" s="1" t="s">
        <v>1860</v>
      </c>
      <c r="C142" t="s">
        <v>1916</v>
      </c>
      <c r="D142" s="4" t="s">
        <v>22</v>
      </c>
      <c r="E142" s="4" t="s">
        <v>22</v>
      </c>
      <c r="F142" t="b">
        <v>1</v>
      </c>
      <c r="G142">
        <v>301</v>
      </c>
    </row>
    <row r="143" spans="1:7" ht="15" x14ac:dyDescent="0.2">
      <c r="A143">
        <v>141</v>
      </c>
      <c r="B143" s="1" t="s">
        <v>1861</v>
      </c>
      <c r="C143" t="s">
        <v>1917</v>
      </c>
      <c r="D143" s="4" t="s">
        <v>22</v>
      </c>
      <c r="E143" s="4" t="s">
        <v>22</v>
      </c>
      <c r="F143" t="b">
        <v>0</v>
      </c>
      <c r="G143">
        <v>302</v>
      </c>
    </row>
    <row r="144" spans="1:7" ht="15" x14ac:dyDescent="0.2">
      <c r="A144">
        <v>142</v>
      </c>
      <c r="B144" s="1" t="s">
        <v>1862</v>
      </c>
      <c r="C144" t="s">
        <v>1918</v>
      </c>
      <c r="D144" s="4" t="s">
        <v>22</v>
      </c>
      <c r="E144" s="4" t="s">
        <v>22</v>
      </c>
      <c r="F144" t="b">
        <v>0</v>
      </c>
      <c r="G144">
        <v>303</v>
      </c>
    </row>
    <row r="145" spans="1:7" ht="15" x14ac:dyDescent="0.2">
      <c r="A145">
        <v>143</v>
      </c>
      <c r="B145" s="1" t="s">
        <v>1887</v>
      </c>
      <c r="C145" t="s">
        <v>1919</v>
      </c>
      <c r="D145" s="4" t="s">
        <v>22</v>
      </c>
      <c r="E145" s="4" t="s">
        <v>22</v>
      </c>
      <c r="G145">
        <v>304</v>
      </c>
    </row>
    <row r="146" spans="1:7" ht="15" x14ac:dyDescent="0.2">
      <c r="A146">
        <v>144</v>
      </c>
      <c r="B146" s="1" t="s">
        <v>1863</v>
      </c>
      <c r="C146" t="s">
        <v>1920</v>
      </c>
      <c r="D146" s="4" t="s">
        <v>22</v>
      </c>
      <c r="E146" s="4" t="s">
        <v>22</v>
      </c>
      <c r="F146" t="b">
        <v>1</v>
      </c>
      <c r="G146">
        <v>305</v>
      </c>
    </row>
    <row r="147" spans="1:7" ht="15" x14ac:dyDescent="0.2">
      <c r="A147">
        <v>145</v>
      </c>
      <c r="B147" s="1" t="s">
        <v>1921</v>
      </c>
      <c r="C147" t="s">
        <v>1926</v>
      </c>
      <c r="D147" s="4" t="s">
        <v>22</v>
      </c>
      <c r="E147" s="4" t="s">
        <v>22</v>
      </c>
      <c r="G147">
        <v>307</v>
      </c>
    </row>
    <row r="148" spans="1:7" ht="15" x14ac:dyDescent="0.2">
      <c r="A148">
        <v>146</v>
      </c>
      <c r="B148" s="1" t="s">
        <v>1922</v>
      </c>
      <c r="C148" t="s">
        <v>1927</v>
      </c>
      <c r="D148" s="4" t="s">
        <v>22</v>
      </c>
      <c r="E148" s="4" t="s">
        <v>22</v>
      </c>
      <c r="F148" t="b">
        <v>0</v>
      </c>
      <c r="G148">
        <v>308</v>
      </c>
    </row>
    <row r="149" spans="1:7" ht="15" x14ac:dyDescent="0.2">
      <c r="A149">
        <v>147</v>
      </c>
      <c r="B149" s="1" t="s">
        <v>1923</v>
      </c>
      <c r="C149" t="s">
        <v>1928</v>
      </c>
      <c r="D149" s="4" t="s">
        <v>22</v>
      </c>
      <c r="G149">
        <v>309</v>
      </c>
    </row>
    <row r="150" spans="1:7" ht="15" x14ac:dyDescent="0.2">
      <c r="A150">
        <v>148</v>
      </c>
      <c r="B150" s="1" t="s">
        <v>1924</v>
      </c>
      <c r="C150" t="s">
        <v>1929</v>
      </c>
      <c r="D150" s="4" t="s">
        <v>22</v>
      </c>
      <c r="G150">
        <v>310</v>
      </c>
    </row>
    <row r="151" spans="1:7" ht="15" x14ac:dyDescent="0.2">
      <c r="A151">
        <v>149</v>
      </c>
      <c r="B151" s="1" t="s">
        <v>1925</v>
      </c>
      <c r="C151" t="s">
        <v>1930</v>
      </c>
      <c r="D151" s="4" t="s">
        <v>22</v>
      </c>
      <c r="G151">
        <v>311</v>
      </c>
    </row>
    <row r="152" spans="1:7" ht="15" x14ac:dyDescent="0.2">
      <c r="A152">
        <v>150</v>
      </c>
      <c r="B152" s="1" t="s">
        <v>3730</v>
      </c>
      <c r="D152" s="4" t="s">
        <v>22</v>
      </c>
      <c r="E152" s="4" t="s">
        <v>22</v>
      </c>
      <c r="G152">
        <v>328</v>
      </c>
    </row>
    <row r="153" spans="1:7" ht="15" x14ac:dyDescent="0.2">
      <c r="A153">
        <v>151</v>
      </c>
      <c r="B153" s="1" t="s">
        <v>1866</v>
      </c>
      <c r="C153" t="s">
        <v>1931</v>
      </c>
      <c r="D153" s="4" t="s">
        <v>22</v>
      </c>
      <c r="E153" s="4" t="s">
        <v>22</v>
      </c>
      <c r="F153" t="b">
        <v>1</v>
      </c>
      <c r="G153">
        <v>312</v>
      </c>
    </row>
    <row r="154" spans="1:7" ht="15" x14ac:dyDescent="0.2">
      <c r="A154">
        <v>152</v>
      </c>
      <c r="B154" s="1" t="s">
        <v>1864</v>
      </c>
      <c r="C154" t="s">
        <v>1932</v>
      </c>
      <c r="D154" s="4" t="s">
        <v>22</v>
      </c>
      <c r="E154" s="4" t="s">
        <v>22</v>
      </c>
      <c r="G154">
        <v>313</v>
      </c>
    </row>
    <row r="155" spans="1:7" ht="15" x14ac:dyDescent="0.2">
      <c r="A155">
        <v>153</v>
      </c>
      <c r="B155" s="1" t="s">
        <v>1867</v>
      </c>
      <c r="C155" t="s">
        <v>1933</v>
      </c>
      <c r="D155" s="4" t="s">
        <v>22</v>
      </c>
      <c r="E155" s="4" t="s">
        <v>22</v>
      </c>
      <c r="G155">
        <v>314</v>
      </c>
    </row>
    <row r="156" spans="1:7" ht="15" x14ac:dyDescent="0.2">
      <c r="A156">
        <v>154</v>
      </c>
      <c r="B156" s="1" t="s">
        <v>1868</v>
      </c>
      <c r="C156" t="s">
        <v>1934</v>
      </c>
      <c r="D156" s="4" t="s">
        <v>22</v>
      </c>
      <c r="E156" s="4" t="s">
        <v>22</v>
      </c>
      <c r="G156">
        <v>315</v>
      </c>
    </row>
    <row r="157" spans="1:7" ht="15" x14ac:dyDescent="0.2">
      <c r="A157">
        <v>155</v>
      </c>
      <c r="B157" s="1" t="s">
        <v>1869</v>
      </c>
      <c r="C157" t="s">
        <v>1935</v>
      </c>
      <c r="D157" s="4" t="s">
        <v>22</v>
      </c>
      <c r="E157" s="4" t="s">
        <v>22</v>
      </c>
      <c r="G157">
        <v>316</v>
      </c>
    </row>
    <row r="158" spans="1:7" ht="15" x14ac:dyDescent="0.2">
      <c r="A158">
        <v>156</v>
      </c>
      <c r="B158" s="1" t="s">
        <v>1870</v>
      </c>
      <c r="C158" t="s">
        <v>1936</v>
      </c>
      <c r="D158" s="4" t="s">
        <v>22</v>
      </c>
      <c r="E158" s="4" t="s">
        <v>22</v>
      </c>
      <c r="G158">
        <v>317</v>
      </c>
    </row>
    <row r="159" spans="1:7" ht="15" x14ac:dyDescent="0.2">
      <c r="A159">
        <v>157</v>
      </c>
      <c r="B159" s="1" t="s">
        <v>1871</v>
      </c>
      <c r="C159" t="s">
        <v>1937</v>
      </c>
      <c r="D159" s="4" t="s">
        <v>22</v>
      </c>
      <c r="E159" s="4" t="s">
        <v>22</v>
      </c>
      <c r="G159">
        <v>318</v>
      </c>
    </row>
    <row r="160" spans="1:7" ht="15" x14ac:dyDescent="0.2">
      <c r="A160">
        <v>158</v>
      </c>
      <c r="B160" s="1" t="s">
        <v>1872</v>
      </c>
      <c r="C160" t="s">
        <v>1938</v>
      </c>
      <c r="D160" s="4" t="s">
        <v>22</v>
      </c>
      <c r="E160" s="4" t="s">
        <v>22</v>
      </c>
      <c r="G160">
        <v>319</v>
      </c>
    </row>
    <row r="161" spans="1:7" ht="15" x14ac:dyDescent="0.2">
      <c r="A161">
        <v>159</v>
      </c>
      <c r="B161" s="1" t="s">
        <v>1876</v>
      </c>
      <c r="C161" t="s">
        <v>1939</v>
      </c>
      <c r="D161" s="4" t="s">
        <v>22</v>
      </c>
      <c r="E161" s="4" t="s">
        <v>22</v>
      </c>
      <c r="G161">
        <v>320</v>
      </c>
    </row>
    <row r="162" spans="1:7" ht="15" x14ac:dyDescent="0.2">
      <c r="A162">
        <v>160</v>
      </c>
      <c r="B162" s="1" t="s">
        <v>1873</v>
      </c>
      <c r="C162" t="s">
        <v>1940</v>
      </c>
      <c r="D162" s="4" t="s">
        <v>22</v>
      </c>
      <c r="E162" s="4" t="s">
        <v>22</v>
      </c>
      <c r="G162">
        <v>321</v>
      </c>
    </row>
    <row r="163" spans="1:7" ht="15" x14ac:dyDescent="0.2">
      <c r="A163">
        <v>161</v>
      </c>
      <c r="B163" s="1" t="s">
        <v>1874</v>
      </c>
      <c r="C163" t="s">
        <v>1941</v>
      </c>
      <c r="D163" s="4" t="s">
        <v>22</v>
      </c>
      <c r="E163" s="4" t="s">
        <v>22</v>
      </c>
      <c r="G163">
        <v>322</v>
      </c>
    </row>
    <row r="164" spans="1:7" ht="15" x14ac:dyDescent="0.2">
      <c r="A164">
        <v>162</v>
      </c>
      <c r="B164" s="1" t="s">
        <v>1875</v>
      </c>
      <c r="C164" t="s">
        <v>1942</v>
      </c>
      <c r="D164" s="4" t="s">
        <v>22</v>
      </c>
      <c r="E164" s="4" t="s">
        <v>22</v>
      </c>
      <c r="F164" t="b">
        <v>0</v>
      </c>
      <c r="G164">
        <v>323</v>
      </c>
    </row>
    <row r="165" spans="1:7" ht="15" x14ac:dyDescent="0.2">
      <c r="A165">
        <v>163</v>
      </c>
      <c r="B165" s="1" t="s">
        <v>1877</v>
      </c>
      <c r="C165" t="s">
        <v>1943</v>
      </c>
      <c r="D165" s="4" t="s">
        <v>22</v>
      </c>
      <c r="E165" s="4" t="s">
        <v>22</v>
      </c>
      <c r="G165">
        <v>324</v>
      </c>
    </row>
    <row r="166" spans="1:7" ht="15" x14ac:dyDescent="0.2">
      <c r="A166">
        <v>164</v>
      </c>
      <c r="B166" s="1" t="s">
        <v>1878</v>
      </c>
      <c r="C166" t="s">
        <v>1944</v>
      </c>
      <c r="D166" s="4" t="s">
        <v>22</v>
      </c>
      <c r="E166" s="4" t="s">
        <v>22</v>
      </c>
      <c r="F166" t="b">
        <v>0</v>
      </c>
      <c r="G166">
        <v>325</v>
      </c>
    </row>
    <row r="167" spans="1:7" ht="15" x14ac:dyDescent="0.2">
      <c r="A167">
        <v>165</v>
      </c>
      <c r="B167" s="1" t="s">
        <v>1879</v>
      </c>
      <c r="C167" t="s">
        <v>1945</v>
      </c>
      <c r="D167" s="4" t="s">
        <v>22</v>
      </c>
      <c r="E167" s="4" t="s">
        <v>22</v>
      </c>
      <c r="G167">
        <v>326</v>
      </c>
    </row>
    <row r="168" spans="1:7" ht="15" x14ac:dyDescent="0.2">
      <c r="A168">
        <v>166</v>
      </c>
      <c r="B168" s="1" t="s">
        <v>1946</v>
      </c>
      <c r="C168" t="s">
        <v>1947</v>
      </c>
      <c r="D168" s="4" t="s">
        <v>22</v>
      </c>
      <c r="G168">
        <v>330</v>
      </c>
    </row>
    <row r="169" spans="1:7" ht="15" x14ac:dyDescent="0.2">
      <c r="A169">
        <v>167</v>
      </c>
      <c r="B169" s="1" t="s">
        <v>1880</v>
      </c>
      <c r="C169" t="s">
        <v>1948</v>
      </c>
      <c r="D169" s="4" t="s">
        <v>22</v>
      </c>
      <c r="E169" s="4" t="s">
        <v>22</v>
      </c>
      <c r="G169">
        <v>331</v>
      </c>
    </row>
    <row r="170" spans="1:7" ht="15" x14ac:dyDescent="0.2">
      <c r="A170">
        <v>168</v>
      </c>
      <c r="B170" s="1" t="s">
        <v>1881</v>
      </c>
      <c r="C170" t="s">
        <v>1949</v>
      </c>
      <c r="D170" s="4" t="s">
        <v>22</v>
      </c>
      <c r="E170" s="4" t="s">
        <v>22</v>
      </c>
      <c r="F170" t="b">
        <v>0</v>
      </c>
      <c r="G170">
        <v>332</v>
      </c>
    </row>
    <row r="171" spans="1:7" ht="15" x14ac:dyDescent="0.2">
      <c r="A171">
        <v>169</v>
      </c>
      <c r="B171" s="1" t="s">
        <v>1882</v>
      </c>
      <c r="C171" t="s">
        <v>1951</v>
      </c>
      <c r="D171" s="4" t="s">
        <v>22</v>
      </c>
      <c r="E171" s="4" t="s">
        <v>22</v>
      </c>
      <c r="G171">
        <v>333</v>
      </c>
    </row>
    <row r="172" spans="1:7" ht="15" x14ac:dyDescent="0.2">
      <c r="A172">
        <v>170</v>
      </c>
      <c r="B172" s="1" t="s">
        <v>1883</v>
      </c>
      <c r="C172" t="s">
        <v>1950</v>
      </c>
      <c r="D172" s="4" t="s">
        <v>22</v>
      </c>
      <c r="E172" s="4" t="s">
        <v>22</v>
      </c>
      <c r="G172">
        <v>334</v>
      </c>
    </row>
    <row r="173" spans="1:7" ht="15" x14ac:dyDescent="0.2">
      <c r="A173">
        <v>171</v>
      </c>
      <c r="B173" s="1" t="s">
        <v>1884</v>
      </c>
      <c r="C173" t="s">
        <v>1952</v>
      </c>
      <c r="D173" s="4" t="s">
        <v>22</v>
      </c>
      <c r="E173" s="4" t="s">
        <v>22</v>
      </c>
      <c r="G173">
        <v>335</v>
      </c>
    </row>
    <row r="174" spans="1:7" ht="15" x14ac:dyDescent="0.2">
      <c r="A174">
        <v>172</v>
      </c>
      <c r="B174" s="1" t="s">
        <v>1885</v>
      </c>
      <c r="C174" t="s">
        <v>1953</v>
      </c>
      <c r="D174" s="4" t="s">
        <v>22</v>
      </c>
      <c r="E174" s="4" t="s">
        <v>22</v>
      </c>
      <c r="F174" t="b">
        <v>0</v>
      </c>
      <c r="G174">
        <v>336</v>
      </c>
    </row>
    <row r="175" spans="1:7" ht="15" x14ac:dyDescent="0.2">
      <c r="A175">
        <v>173</v>
      </c>
      <c r="B175" s="1" t="s">
        <v>1886</v>
      </c>
      <c r="C175" t="s">
        <v>1954</v>
      </c>
      <c r="D175" s="4" t="s">
        <v>22</v>
      </c>
      <c r="E175" s="4" t="s">
        <v>22</v>
      </c>
      <c r="F175" t="b">
        <v>0</v>
      </c>
      <c r="G175">
        <v>337</v>
      </c>
    </row>
    <row r="176" spans="1:7" ht="15" x14ac:dyDescent="0.2">
      <c r="A176">
        <v>174</v>
      </c>
      <c r="B176" s="1" t="s">
        <v>1888</v>
      </c>
      <c r="C176" t="s">
        <v>1955</v>
      </c>
      <c r="D176" s="4" t="s">
        <v>22</v>
      </c>
      <c r="E176" s="4" t="s">
        <v>22</v>
      </c>
      <c r="G176">
        <v>338</v>
      </c>
    </row>
    <row r="177" spans="1:7" ht="15" x14ac:dyDescent="0.2">
      <c r="A177">
        <v>175</v>
      </c>
      <c r="B177" s="1" t="s">
        <v>3732</v>
      </c>
      <c r="C177" t="s">
        <v>3765</v>
      </c>
      <c r="D177" s="4" t="s">
        <v>22</v>
      </c>
      <c r="E177" s="4" t="s">
        <v>22</v>
      </c>
      <c r="G177">
        <v>327</v>
      </c>
    </row>
    <row r="178" spans="1:7" ht="15" x14ac:dyDescent="0.2">
      <c r="A178">
        <v>176</v>
      </c>
      <c r="B178" s="1" t="s">
        <v>3733</v>
      </c>
      <c r="D178" s="4" t="s">
        <v>22</v>
      </c>
      <c r="E178" s="4" t="s">
        <v>22</v>
      </c>
      <c r="G178">
        <v>329</v>
      </c>
    </row>
    <row r="179" spans="1:7" ht="15" x14ac:dyDescent="0.2">
      <c r="A179">
        <v>177</v>
      </c>
      <c r="B179" s="1" t="s">
        <v>1865</v>
      </c>
      <c r="C179" t="s">
        <v>1956</v>
      </c>
      <c r="D179" s="4" t="s">
        <v>22</v>
      </c>
      <c r="G179">
        <v>289</v>
      </c>
    </row>
    <row r="180" spans="1:7" ht="15" x14ac:dyDescent="0.2">
      <c r="A180">
        <v>178</v>
      </c>
      <c r="B180" s="1" t="s">
        <v>1848</v>
      </c>
      <c r="C180" t="s">
        <v>1957</v>
      </c>
      <c r="D180" s="4" t="s">
        <v>22</v>
      </c>
      <c r="E180" s="4" t="s">
        <v>22</v>
      </c>
      <c r="G180">
        <v>339</v>
      </c>
    </row>
    <row r="181" spans="1:7" ht="15" x14ac:dyDescent="0.2">
      <c r="A181">
        <v>179</v>
      </c>
      <c r="B181" s="1" t="s">
        <v>1900</v>
      </c>
      <c r="C181" t="s">
        <v>1958</v>
      </c>
      <c r="D181" s="4" t="s">
        <v>22</v>
      </c>
      <c r="E181" s="4" t="s">
        <v>22</v>
      </c>
      <c r="F181" t="b">
        <v>0</v>
      </c>
      <c r="G181">
        <v>341</v>
      </c>
    </row>
    <row r="182" spans="1:7" ht="15" x14ac:dyDescent="0.2">
      <c r="A182">
        <v>180</v>
      </c>
      <c r="B182" s="1" t="s">
        <v>1901</v>
      </c>
      <c r="C182" t="s">
        <v>1959</v>
      </c>
      <c r="D182" s="4" t="s">
        <v>22</v>
      </c>
      <c r="E182" s="4" t="s">
        <v>22</v>
      </c>
      <c r="F182" t="b">
        <v>0</v>
      </c>
      <c r="G182">
        <v>342</v>
      </c>
    </row>
    <row r="183" spans="1:7" ht="15" x14ac:dyDescent="0.2">
      <c r="A183">
        <v>181</v>
      </c>
      <c r="B183" s="1" t="s">
        <v>1902</v>
      </c>
      <c r="C183" t="s">
        <v>1960</v>
      </c>
      <c r="D183" s="4" t="s">
        <v>22</v>
      </c>
      <c r="E183" s="4" t="s">
        <v>22</v>
      </c>
      <c r="G183">
        <v>343</v>
      </c>
    </row>
    <row r="184" spans="1:7" ht="15" x14ac:dyDescent="0.2">
      <c r="A184">
        <v>182</v>
      </c>
      <c r="B184" s="1" t="s">
        <v>1903</v>
      </c>
      <c r="C184" t="s">
        <v>1961</v>
      </c>
      <c r="D184" s="4" t="s">
        <v>22</v>
      </c>
      <c r="E184" s="4" t="s">
        <v>22</v>
      </c>
      <c r="F184" t="b">
        <v>0</v>
      </c>
      <c r="G184">
        <v>344</v>
      </c>
    </row>
    <row r="185" spans="1:7" ht="15" x14ac:dyDescent="0.2">
      <c r="A185">
        <v>183</v>
      </c>
      <c r="B185" s="1" t="s">
        <v>1904</v>
      </c>
      <c r="C185" t="s">
        <v>1962</v>
      </c>
      <c r="D185" s="4" t="s">
        <v>22</v>
      </c>
      <c r="E185" s="4" t="s">
        <v>22</v>
      </c>
      <c r="G185">
        <v>345</v>
      </c>
    </row>
    <row r="186" spans="1:7" ht="15" x14ac:dyDescent="0.2">
      <c r="A186">
        <v>184</v>
      </c>
      <c r="B186" s="1" t="s">
        <v>1905</v>
      </c>
      <c r="C186" t="s">
        <v>1963</v>
      </c>
      <c r="D186" s="4" t="s">
        <v>22</v>
      </c>
      <c r="E186" s="4" t="s">
        <v>22</v>
      </c>
      <c r="F186" t="b">
        <v>0</v>
      </c>
      <c r="G186">
        <v>346</v>
      </c>
    </row>
    <row r="187" spans="1:7" ht="15" x14ac:dyDescent="0.2">
      <c r="A187">
        <v>185</v>
      </c>
      <c r="B187" s="1" t="s">
        <v>1906</v>
      </c>
      <c r="C187" t="s">
        <v>1964</v>
      </c>
      <c r="D187" s="4" t="s">
        <v>22</v>
      </c>
      <c r="G187">
        <v>340</v>
      </c>
    </row>
    <row r="188" spans="1:7" ht="15" x14ac:dyDescent="0.2">
      <c r="A188">
        <v>186</v>
      </c>
      <c r="B188" s="1" t="s">
        <v>1889</v>
      </c>
      <c r="C188" t="s">
        <v>1965</v>
      </c>
      <c r="D188" s="4" t="s">
        <v>22</v>
      </c>
      <c r="E188" s="4" t="s">
        <v>22</v>
      </c>
      <c r="G188">
        <v>348</v>
      </c>
    </row>
    <row r="189" spans="1:7" ht="15" x14ac:dyDescent="0.2">
      <c r="A189">
        <v>187</v>
      </c>
      <c r="B189" s="1" t="s">
        <v>1890</v>
      </c>
      <c r="C189" t="s">
        <v>1966</v>
      </c>
      <c r="D189" s="4" t="s">
        <v>22</v>
      </c>
      <c r="E189" s="4" t="s">
        <v>22</v>
      </c>
      <c r="G189">
        <v>349</v>
      </c>
    </row>
    <row r="190" spans="1:7" ht="15" x14ac:dyDescent="0.2">
      <c r="A190">
        <v>188</v>
      </c>
      <c r="B190" s="1" t="s">
        <v>1891</v>
      </c>
      <c r="C190" t="s">
        <v>1967</v>
      </c>
      <c r="D190" s="4" t="s">
        <v>22</v>
      </c>
      <c r="E190" s="4" t="s">
        <v>22</v>
      </c>
      <c r="G190">
        <v>350</v>
      </c>
    </row>
    <row r="191" spans="1:7" ht="15" x14ac:dyDescent="0.2">
      <c r="A191">
        <v>189</v>
      </c>
      <c r="B191" s="1" t="s">
        <v>1892</v>
      </c>
      <c r="D191" s="4" t="s">
        <v>22</v>
      </c>
      <c r="E191" s="4" t="s">
        <v>22</v>
      </c>
      <c r="G191">
        <v>351</v>
      </c>
    </row>
    <row r="192" spans="1:7" ht="15" x14ac:dyDescent="0.2">
      <c r="A192">
        <v>190</v>
      </c>
      <c r="B192" s="1" t="s">
        <v>1893</v>
      </c>
      <c r="C192" t="s">
        <v>1968</v>
      </c>
      <c r="D192" s="4" t="s">
        <v>22</v>
      </c>
      <c r="E192" s="4" t="s">
        <v>22</v>
      </c>
      <c r="G192">
        <v>352</v>
      </c>
    </row>
    <row r="193" spans="1:7" ht="15" x14ac:dyDescent="0.2">
      <c r="A193">
        <v>191</v>
      </c>
      <c r="B193" s="1" t="s">
        <v>1894</v>
      </c>
      <c r="C193" t="s">
        <v>1969</v>
      </c>
      <c r="D193" s="4" t="s">
        <v>22</v>
      </c>
      <c r="E193" s="4" t="s">
        <v>22</v>
      </c>
      <c r="G193">
        <v>353</v>
      </c>
    </row>
    <row r="194" spans="1:7" ht="15" x14ac:dyDescent="0.2">
      <c r="A194">
        <v>192</v>
      </c>
      <c r="B194" s="1" t="s">
        <v>1895</v>
      </c>
      <c r="C194" t="s">
        <v>1970</v>
      </c>
      <c r="D194" s="4" t="s">
        <v>22</v>
      </c>
      <c r="E194" s="4" t="s">
        <v>22</v>
      </c>
      <c r="G194">
        <v>354</v>
      </c>
    </row>
    <row r="195" spans="1:7" ht="15" x14ac:dyDescent="0.2">
      <c r="A195">
        <v>193</v>
      </c>
      <c r="B195" s="1" t="s">
        <v>1896</v>
      </c>
      <c r="D195" s="4" t="s">
        <v>22</v>
      </c>
      <c r="E195" s="4" t="s">
        <v>22</v>
      </c>
      <c r="G195">
        <v>355</v>
      </c>
    </row>
    <row r="196" spans="1:7" ht="15" x14ac:dyDescent="0.2">
      <c r="A196">
        <v>194</v>
      </c>
      <c r="B196" s="1" t="s">
        <v>1897</v>
      </c>
      <c r="C196" t="s">
        <v>2051</v>
      </c>
      <c r="D196" s="4" t="s">
        <v>22</v>
      </c>
      <c r="E196" s="4" t="s">
        <v>22</v>
      </c>
      <c r="G196">
        <v>356</v>
      </c>
    </row>
    <row r="197" spans="1:7" ht="15" x14ac:dyDescent="0.2">
      <c r="A197">
        <v>195</v>
      </c>
      <c r="B197" s="1" t="s">
        <v>1898</v>
      </c>
      <c r="C197" t="s">
        <v>1971</v>
      </c>
      <c r="D197" s="4" t="s">
        <v>22</v>
      </c>
      <c r="G197">
        <v>347</v>
      </c>
    </row>
    <row r="198" spans="1:7" ht="15" x14ac:dyDescent="0.2">
      <c r="A198">
        <v>196</v>
      </c>
      <c r="B198" s="1" t="s">
        <v>1899</v>
      </c>
      <c r="C198" t="s">
        <v>1972</v>
      </c>
      <c r="D198" s="4" t="s">
        <v>22</v>
      </c>
      <c r="G198">
        <v>357</v>
      </c>
    </row>
    <row r="199" spans="1:7" ht="15" x14ac:dyDescent="0.2">
      <c r="A199">
        <v>197</v>
      </c>
      <c r="B199" s="1" t="s">
        <v>1849</v>
      </c>
      <c r="C199" t="s">
        <v>1973</v>
      </c>
      <c r="D199" s="4" t="s">
        <v>22</v>
      </c>
      <c r="E199" s="4" t="s">
        <v>22</v>
      </c>
      <c r="G199">
        <v>358</v>
      </c>
    </row>
    <row r="200" spans="1:7" ht="15" x14ac:dyDescent="0.2">
      <c r="A200">
        <v>198</v>
      </c>
      <c r="B200" s="1" t="s">
        <v>1850</v>
      </c>
      <c r="D200" s="4" t="s">
        <v>22</v>
      </c>
      <c r="E200" s="4" t="s">
        <v>22</v>
      </c>
      <c r="F200" t="b">
        <v>0</v>
      </c>
      <c r="G200">
        <v>359</v>
      </c>
    </row>
    <row r="201" spans="1:7" ht="15" x14ac:dyDescent="0.2">
      <c r="A201">
        <v>199</v>
      </c>
      <c r="B201" s="1" t="s">
        <v>1693</v>
      </c>
      <c r="C201" t="s">
        <v>1974</v>
      </c>
      <c r="D201" s="4" t="s">
        <v>22</v>
      </c>
      <c r="E201" s="4" t="s">
        <v>22</v>
      </c>
      <c r="G201">
        <v>41</v>
      </c>
    </row>
    <row r="202" spans="1:7" ht="15" x14ac:dyDescent="0.2">
      <c r="A202">
        <v>200</v>
      </c>
      <c r="B202" s="1" t="s">
        <v>1694</v>
      </c>
      <c r="C202" t="s">
        <v>1975</v>
      </c>
      <c r="D202" s="4" t="s">
        <v>22</v>
      </c>
      <c r="E202" s="4" t="s">
        <v>22</v>
      </c>
      <c r="G202">
        <v>54</v>
      </c>
    </row>
    <row r="203" spans="1:7" ht="15" x14ac:dyDescent="0.2">
      <c r="A203">
        <v>201</v>
      </c>
      <c r="B203" s="1" t="s">
        <v>1695</v>
      </c>
      <c r="C203" t="s">
        <v>1976</v>
      </c>
      <c r="D203" s="4" t="s">
        <v>22</v>
      </c>
      <c r="E203" s="4" t="s">
        <v>22</v>
      </c>
      <c r="G203">
        <v>279</v>
      </c>
    </row>
    <row r="204" spans="1:7" ht="15" x14ac:dyDescent="0.2">
      <c r="A204">
        <v>202</v>
      </c>
      <c r="B204" s="1" t="s">
        <v>1696</v>
      </c>
      <c r="C204" t="s">
        <v>1977</v>
      </c>
      <c r="D204" s="4" t="s">
        <v>22</v>
      </c>
      <c r="E204" s="4" t="s">
        <v>22</v>
      </c>
      <c r="G204">
        <v>280</v>
      </c>
    </row>
    <row r="205" spans="1:7" ht="15" x14ac:dyDescent="0.2">
      <c r="A205">
        <v>203</v>
      </c>
      <c r="B205" s="1" t="s">
        <v>1697</v>
      </c>
      <c r="C205" t="s">
        <v>1978</v>
      </c>
      <c r="D205" s="4" t="s">
        <v>22</v>
      </c>
      <c r="E205" s="4" t="s">
        <v>22</v>
      </c>
      <c r="G205">
        <v>281</v>
      </c>
    </row>
    <row r="206" spans="1:7" ht="15" x14ac:dyDescent="0.2">
      <c r="A206">
        <v>204</v>
      </c>
      <c r="B206" s="1" t="s">
        <v>1698</v>
      </c>
      <c r="C206" t="s">
        <v>1979</v>
      </c>
      <c r="D206" s="4" t="s">
        <v>22</v>
      </c>
      <c r="E206" s="4" t="s">
        <v>22</v>
      </c>
      <c r="G206">
        <v>282</v>
      </c>
    </row>
    <row r="207" spans="1:7" ht="15" x14ac:dyDescent="0.2">
      <c r="A207">
        <v>205</v>
      </c>
      <c r="B207" s="1" t="s">
        <v>1699</v>
      </c>
      <c r="C207" t="s">
        <v>1980</v>
      </c>
      <c r="D207" s="4" t="s">
        <v>22</v>
      </c>
      <c r="E207" s="4" t="s">
        <v>22</v>
      </c>
      <c r="G207">
        <v>283</v>
      </c>
    </row>
    <row r="208" spans="1:7" ht="15" x14ac:dyDescent="0.2">
      <c r="A208">
        <v>206</v>
      </c>
      <c r="B208" s="1" t="s">
        <v>1700</v>
      </c>
      <c r="C208" t="s">
        <v>1981</v>
      </c>
      <c r="D208" s="4" t="s">
        <v>22</v>
      </c>
      <c r="E208" s="4" t="s">
        <v>22</v>
      </c>
      <c r="G208">
        <v>284</v>
      </c>
    </row>
    <row r="209" spans="1:7" ht="15" x14ac:dyDescent="0.2">
      <c r="A209">
        <v>207</v>
      </c>
      <c r="B209" s="1" t="s">
        <v>3728</v>
      </c>
      <c r="C209" t="s">
        <v>3766</v>
      </c>
      <c r="D209" s="4" t="s">
        <v>22</v>
      </c>
      <c r="E209" s="4" t="s">
        <v>22</v>
      </c>
      <c r="G209">
        <v>285</v>
      </c>
    </row>
    <row r="210" spans="1:7" ht="15" x14ac:dyDescent="0.2">
      <c r="A210">
        <v>208</v>
      </c>
      <c r="B210" s="1" t="s">
        <v>1701</v>
      </c>
      <c r="C210" t="s">
        <v>1982</v>
      </c>
      <c r="D210" s="4" t="s">
        <v>22</v>
      </c>
      <c r="E210" s="4" t="s">
        <v>22</v>
      </c>
      <c r="G210">
        <v>286</v>
      </c>
    </row>
    <row r="211" spans="1:7" ht="15" x14ac:dyDescent="0.2">
      <c r="A211">
        <v>209</v>
      </c>
      <c r="B211" s="1" t="s">
        <v>3727</v>
      </c>
      <c r="C211" t="s">
        <v>3767</v>
      </c>
      <c r="D211" s="4" t="s">
        <v>22</v>
      </c>
      <c r="E211" s="4" t="s">
        <v>22</v>
      </c>
      <c r="G211">
        <v>287</v>
      </c>
    </row>
    <row r="212" spans="1:7" ht="15" x14ac:dyDescent="0.2">
      <c r="A212">
        <v>210</v>
      </c>
      <c r="B212" s="1" t="s">
        <v>1702</v>
      </c>
      <c r="C212" t="s">
        <v>1983</v>
      </c>
      <c r="D212" s="4" t="s">
        <v>22</v>
      </c>
      <c r="E212" s="4" t="s">
        <v>22</v>
      </c>
      <c r="G212">
        <v>140</v>
      </c>
    </row>
    <row r="213" spans="1:7" ht="15" x14ac:dyDescent="0.2">
      <c r="A213">
        <v>211</v>
      </c>
      <c r="B213" s="1" t="s">
        <v>1703</v>
      </c>
      <c r="C213" t="s">
        <v>1984</v>
      </c>
      <c r="D213" s="4" t="s">
        <v>22</v>
      </c>
      <c r="E213" s="4" t="s">
        <v>22</v>
      </c>
      <c r="G213">
        <v>141</v>
      </c>
    </row>
    <row r="214" spans="1:7" ht="15" x14ac:dyDescent="0.2">
      <c r="A214">
        <v>212</v>
      </c>
      <c r="B214" s="1" t="s">
        <v>3734</v>
      </c>
      <c r="C214" t="s">
        <v>3770</v>
      </c>
      <c r="D214" s="4" t="s">
        <v>22</v>
      </c>
      <c r="E214" s="4" t="s">
        <v>22</v>
      </c>
      <c r="G214">
        <v>362</v>
      </c>
    </row>
    <row r="215" spans="1:7" ht="15" x14ac:dyDescent="0.2">
      <c r="A215">
        <v>213</v>
      </c>
      <c r="B215" s="1" t="s">
        <v>1704</v>
      </c>
      <c r="C215" t="s">
        <v>1985</v>
      </c>
      <c r="D215" s="4" t="s">
        <v>22</v>
      </c>
      <c r="E215" s="4" t="s">
        <v>22</v>
      </c>
      <c r="G215">
        <v>241</v>
      </c>
    </row>
    <row r="216" spans="1:7" ht="15" x14ac:dyDescent="0.2">
      <c r="A216">
        <v>214</v>
      </c>
      <c r="B216" s="1" t="s">
        <v>3735</v>
      </c>
      <c r="C216" t="s">
        <v>3768</v>
      </c>
      <c r="D216" s="4" t="s">
        <v>22</v>
      </c>
      <c r="E216" s="4" t="s">
        <v>22</v>
      </c>
      <c r="G216">
        <v>363</v>
      </c>
    </row>
    <row r="217" spans="1:7" ht="15" x14ac:dyDescent="0.2">
      <c r="A217">
        <v>215</v>
      </c>
      <c r="B217" s="1" t="s">
        <v>1705</v>
      </c>
      <c r="C217" t="s">
        <v>1986</v>
      </c>
      <c r="D217" s="4" t="s">
        <v>22</v>
      </c>
      <c r="E217" s="4" t="s">
        <v>22</v>
      </c>
      <c r="G217">
        <v>151</v>
      </c>
    </row>
    <row r="218" spans="1:7" ht="15" x14ac:dyDescent="0.2">
      <c r="A218">
        <v>216</v>
      </c>
      <c r="B218" s="1" t="s">
        <v>1706</v>
      </c>
      <c r="C218" t="s">
        <v>1987</v>
      </c>
      <c r="D218" s="4" t="s">
        <v>22</v>
      </c>
      <c r="E218" s="4" t="s">
        <v>22</v>
      </c>
      <c r="G218">
        <v>153</v>
      </c>
    </row>
    <row r="219" spans="1:7" ht="15" x14ac:dyDescent="0.2">
      <c r="A219">
        <v>217</v>
      </c>
      <c r="B219" s="1" t="s">
        <v>1708</v>
      </c>
      <c r="C219" t="s">
        <v>1989</v>
      </c>
      <c r="D219" s="4" t="s">
        <v>22</v>
      </c>
      <c r="E219" s="4" t="s">
        <v>22</v>
      </c>
      <c r="G219">
        <v>155</v>
      </c>
    </row>
    <row r="220" spans="1:7" ht="15" x14ac:dyDescent="0.2">
      <c r="A220">
        <v>218</v>
      </c>
      <c r="B220" s="1" t="s">
        <v>1707</v>
      </c>
      <c r="C220" t="s">
        <v>1988</v>
      </c>
      <c r="D220" s="4" t="s">
        <v>22</v>
      </c>
      <c r="E220" s="4" t="s">
        <v>22</v>
      </c>
      <c r="G220">
        <v>154</v>
      </c>
    </row>
    <row r="221" spans="1:7" ht="15" x14ac:dyDescent="0.2">
      <c r="A221">
        <v>219</v>
      </c>
      <c r="B221" s="1" t="s">
        <v>3736</v>
      </c>
      <c r="C221" t="s">
        <v>3769</v>
      </c>
      <c r="D221" s="4" t="s">
        <v>22</v>
      </c>
      <c r="E221" s="4" t="s">
        <v>22</v>
      </c>
      <c r="G221">
        <v>360</v>
      </c>
    </row>
    <row r="222" spans="1:7" ht="15" x14ac:dyDescent="0.2">
      <c r="A222">
        <v>220</v>
      </c>
      <c r="B222" s="1" t="s">
        <v>3729</v>
      </c>
      <c r="C222" t="s">
        <v>3771</v>
      </c>
      <c r="D222" s="4" t="s">
        <v>22</v>
      </c>
      <c r="E222" s="4" t="s">
        <v>22</v>
      </c>
      <c r="G222">
        <v>361</v>
      </c>
    </row>
    <row r="223" spans="1:7" ht="15" x14ac:dyDescent="0.2">
      <c r="A223">
        <v>221</v>
      </c>
      <c r="B223" s="1" t="s">
        <v>1709</v>
      </c>
      <c r="C223" t="s">
        <v>1990</v>
      </c>
      <c r="D223" s="4" t="s">
        <v>22</v>
      </c>
      <c r="E223" s="4" t="s">
        <v>22</v>
      </c>
      <c r="G223">
        <v>156</v>
      </c>
    </row>
    <row r="224" spans="1:7" ht="15" x14ac:dyDescent="0.2">
      <c r="A224">
        <v>222</v>
      </c>
      <c r="B224" s="1" t="s">
        <v>1710</v>
      </c>
      <c r="C224" t="s">
        <v>1991</v>
      </c>
      <c r="D224" s="4" t="s">
        <v>22</v>
      </c>
      <c r="E224" s="4" t="s">
        <v>22</v>
      </c>
      <c r="G224">
        <v>157</v>
      </c>
    </row>
    <row r="225" spans="1:7" ht="15" x14ac:dyDescent="0.2">
      <c r="A225">
        <v>223</v>
      </c>
      <c r="B225" s="1" t="s">
        <v>1711</v>
      </c>
      <c r="C225" t="s">
        <v>1992</v>
      </c>
      <c r="D225" s="4" t="s">
        <v>22</v>
      </c>
      <c r="E225" s="4" t="s">
        <v>22</v>
      </c>
      <c r="F225" t="b">
        <v>0</v>
      </c>
      <c r="G225">
        <v>296</v>
      </c>
    </row>
    <row r="226" spans="1:7" ht="15" x14ac:dyDescent="0.2">
      <c r="A226">
        <v>224</v>
      </c>
      <c r="B226" s="1" t="s">
        <v>1712</v>
      </c>
      <c r="C226" t="s">
        <v>1993</v>
      </c>
      <c r="D226" s="4" t="s">
        <v>22</v>
      </c>
      <c r="E226" s="4" t="s">
        <v>22</v>
      </c>
      <c r="G226">
        <v>297</v>
      </c>
    </row>
    <row r="227" spans="1:7" ht="15" x14ac:dyDescent="0.2">
      <c r="A227">
        <v>225</v>
      </c>
      <c r="B227" s="1" t="s">
        <v>1713</v>
      </c>
      <c r="C227" t="s">
        <v>2014</v>
      </c>
      <c r="D227" s="4" t="s">
        <v>22</v>
      </c>
      <c r="E227" s="4" t="s">
        <v>22</v>
      </c>
      <c r="G227">
        <v>158</v>
      </c>
    </row>
    <row r="228" spans="1:7" ht="15" x14ac:dyDescent="0.2">
      <c r="A228">
        <v>226</v>
      </c>
      <c r="B228" s="1" t="s">
        <v>1714</v>
      </c>
      <c r="C228" t="s">
        <v>1994</v>
      </c>
      <c r="D228" s="4" t="s">
        <v>22</v>
      </c>
      <c r="E228" s="4" t="s">
        <v>22</v>
      </c>
      <c r="G228">
        <v>37</v>
      </c>
    </row>
    <row r="229" spans="1:7" ht="15" x14ac:dyDescent="0.2">
      <c r="A229">
        <v>227</v>
      </c>
      <c r="B229" s="1" t="s">
        <v>1715</v>
      </c>
      <c r="C229" t="s">
        <v>1995</v>
      </c>
      <c r="D229" s="4" t="s">
        <v>22</v>
      </c>
      <c r="E229" s="4" t="s">
        <v>22</v>
      </c>
      <c r="G229">
        <v>15</v>
      </c>
    </row>
    <row r="230" spans="1:7" ht="15" x14ac:dyDescent="0.2">
      <c r="A230">
        <v>228</v>
      </c>
      <c r="B230" s="1" t="s">
        <v>1716</v>
      </c>
      <c r="C230" t="s">
        <v>1996</v>
      </c>
      <c r="D230" s="4" t="s">
        <v>22</v>
      </c>
      <c r="E230" s="4" t="s">
        <v>22</v>
      </c>
      <c r="G230">
        <v>19</v>
      </c>
    </row>
    <row r="231" spans="1:7" ht="15" x14ac:dyDescent="0.2">
      <c r="A231">
        <v>229</v>
      </c>
      <c r="B231" s="1" t="s">
        <v>3772</v>
      </c>
      <c r="C231" t="s">
        <v>3774</v>
      </c>
      <c r="D231" s="4" t="s">
        <v>22</v>
      </c>
      <c r="G231">
        <v>16</v>
      </c>
    </row>
    <row r="232" spans="1:7" ht="15" x14ac:dyDescent="0.2">
      <c r="A232">
        <v>230</v>
      </c>
      <c r="B232" s="1" t="s">
        <v>3773</v>
      </c>
      <c r="C232" t="s">
        <v>3775</v>
      </c>
      <c r="D232" s="4" t="s">
        <v>22</v>
      </c>
      <c r="E232" s="4" t="s">
        <v>22</v>
      </c>
      <c r="G232">
        <v>17</v>
      </c>
    </row>
    <row r="233" spans="1:7" ht="15" x14ac:dyDescent="0.2">
      <c r="A233">
        <v>231</v>
      </c>
      <c r="B233" s="1" t="s">
        <v>1717</v>
      </c>
      <c r="C233" t="s">
        <v>1997</v>
      </c>
      <c r="D233" s="4" t="s">
        <v>22</v>
      </c>
      <c r="E233" s="4" t="s">
        <v>22</v>
      </c>
      <c r="G233">
        <v>40</v>
      </c>
    </row>
    <row r="234" spans="1:7" ht="15" x14ac:dyDescent="0.2">
      <c r="A234">
        <v>232</v>
      </c>
      <c r="B234" s="1" t="s">
        <v>1998</v>
      </c>
      <c r="D234" s="4" t="s">
        <v>22</v>
      </c>
      <c r="E234" s="4" t="s">
        <v>22</v>
      </c>
      <c r="F234" t="b">
        <v>0</v>
      </c>
      <c r="G234">
        <v>124</v>
      </c>
    </row>
    <row r="235" spans="1:7" ht="15" x14ac:dyDescent="0.2">
      <c r="A235">
        <v>233</v>
      </c>
      <c r="B235" s="1" t="s">
        <v>1999</v>
      </c>
      <c r="C235" t="s">
        <v>2005</v>
      </c>
      <c r="D235" s="4" t="s">
        <v>22</v>
      </c>
      <c r="E235" s="4" t="s">
        <v>22</v>
      </c>
      <c r="F235" t="b">
        <v>0</v>
      </c>
      <c r="G235">
        <v>125</v>
      </c>
    </row>
    <row r="236" spans="1:7" ht="15" x14ac:dyDescent="0.2">
      <c r="A236">
        <v>234</v>
      </c>
      <c r="B236" s="1" t="s">
        <v>2000</v>
      </c>
      <c r="C236" t="s">
        <v>2006</v>
      </c>
      <c r="D236" s="4" t="s">
        <v>22</v>
      </c>
      <c r="E236" s="4" t="s">
        <v>22</v>
      </c>
      <c r="G236">
        <v>126</v>
      </c>
    </row>
    <row r="237" spans="1:7" ht="15" x14ac:dyDescent="0.2">
      <c r="A237">
        <v>235</v>
      </c>
      <c r="B237" s="1" t="s">
        <v>2001</v>
      </c>
      <c r="C237" t="s">
        <v>2007</v>
      </c>
      <c r="D237" s="4" t="s">
        <v>22</v>
      </c>
      <c r="E237" s="4" t="s">
        <v>22</v>
      </c>
      <c r="G237">
        <v>127</v>
      </c>
    </row>
    <row r="238" spans="1:7" ht="15" x14ac:dyDescent="0.2">
      <c r="A238">
        <v>236</v>
      </c>
      <c r="B238" s="1" t="s">
        <v>2002</v>
      </c>
      <c r="C238" t="s">
        <v>2008</v>
      </c>
      <c r="D238" s="4" t="s">
        <v>22</v>
      </c>
      <c r="E238" s="4" t="s">
        <v>22</v>
      </c>
      <c r="G238">
        <v>128</v>
      </c>
    </row>
    <row r="239" spans="1:7" ht="15" x14ac:dyDescent="0.2">
      <c r="A239">
        <v>237</v>
      </c>
      <c r="B239" s="1" t="s">
        <v>2003</v>
      </c>
      <c r="C239" t="s">
        <v>2009</v>
      </c>
      <c r="D239" s="4" t="s">
        <v>22</v>
      </c>
      <c r="E239" s="4" t="s">
        <v>22</v>
      </c>
      <c r="G239">
        <v>129</v>
      </c>
    </row>
    <row r="240" spans="1:7" ht="15" x14ac:dyDescent="0.2">
      <c r="A240">
        <v>238</v>
      </c>
      <c r="B240" s="1" t="s">
        <v>2004</v>
      </c>
      <c r="C240" t="s">
        <v>2010</v>
      </c>
      <c r="D240" s="4" t="s">
        <v>22</v>
      </c>
      <c r="G240">
        <v>130</v>
      </c>
    </row>
    <row r="241" spans="1:7" ht="15" x14ac:dyDescent="0.2">
      <c r="A241">
        <v>239</v>
      </c>
      <c r="B241" s="1" t="s">
        <v>3737</v>
      </c>
      <c r="C241" t="s">
        <v>3776</v>
      </c>
      <c r="D241" s="4" t="s">
        <v>22</v>
      </c>
      <c r="E241" s="4" t="s">
        <v>22</v>
      </c>
      <c r="G241">
        <v>159</v>
      </c>
    </row>
    <row r="242" spans="1:7" ht="15" x14ac:dyDescent="0.2">
      <c r="A242">
        <v>240</v>
      </c>
      <c r="B242" s="1" t="s">
        <v>3738</v>
      </c>
      <c r="C242" t="s">
        <v>3777</v>
      </c>
      <c r="D242" s="4" t="s">
        <v>22</v>
      </c>
      <c r="E242" s="4" t="s">
        <v>22</v>
      </c>
      <c r="G242">
        <v>364</v>
      </c>
    </row>
    <row r="243" spans="1:7" ht="15" x14ac:dyDescent="0.2">
      <c r="A243">
        <v>241</v>
      </c>
      <c r="B243" s="1" t="s">
        <v>3739</v>
      </c>
      <c r="C243" t="s">
        <v>3778</v>
      </c>
      <c r="D243" s="4" t="s">
        <v>22</v>
      </c>
      <c r="E243" s="4" t="s">
        <v>22</v>
      </c>
      <c r="G243">
        <v>365</v>
      </c>
    </row>
    <row r="244" spans="1:7" ht="15" x14ac:dyDescent="0.2">
      <c r="A244">
        <v>242</v>
      </c>
      <c r="B244" s="1" t="s">
        <v>3740</v>
      </c>
      <c r="C244" t="s">
        <v>3779</v>
      </c>
      <c r="D244" s="4" t="s">
        <v>22</v>
      </c>
      <c r="E244" s="4" t="s">
        <v>22</v>
      </c>
      <c r="G244">
        <v>366</v>
      </c>
    </row>
    <row r="245" spans="1:7" ht="15" x14ac:dyDescent="0.2">
      <c r="A245">
        <v>243</v>
      </c>
      <c r="B245" s="1" t="s">
        <v>2011</v>
      </c>
      <c r="D245" s="4" t="s">
        <v>22</v>
      </c>
      <c r="E245" s="4" t="s">
        <v>22</v>
      </c>
      <c r="G245">
        <v>160</v>
      </c>
    </row>
    <row r="246" spans="1:7" ht="15" x14ac:dyDescent="0.2">
      <c r="A246">
        <v>244</v>
      </c>
      <c r="B246" s="1" t="s">
        <v>2012</v>
      </c>
      <c r="D246" s="4" t="s">
        <v>22</v>
      </c>
      <c r="E246" s="4" t="s">
        <v>22</v>
      </c>
      <c r="G246">
        <v>161</v>
      </c>
    </row>
    <row r="247" spans="1:7" ht="15" x14ac:dyDescent="0.2">
      <c r="A247">
        <v>245</v>
      </c>
      <c r="B247" s="1" t="s">
        <v>1718</v>
      </c>
      <c r="C247" t="s">
        <v>2013</v>
      </c>
      <c r="D247" s="4" t="s">
        <v>22</v>
      </c>
      <c r="E247" s="4" t="s">
        <v>22</v>
      </c>
      <c r="G247">
        <v>136</v>
      </c>
    </row>
    <row r="248" spans="1:7" ht="15" x14ac:dyDescent="0.2">
      <c r="A248">
        <v>246</v>
      </c>
      <c r="B248" s="1" t="s">
        <v>1719</v>
      </c>
      <c r="C248" t="s">
        <v>2015</v>
      </c>
      <c r="D248" s="4" t="s">
        <v>22</v>
      </c>
      <c r="E248" s="4" t="s">
        <v>22</v>
      </c>
      <c r="G248">
        <v>123</v>
      </c>
    </row>
    <row r="249" spans="1:7" ht="15" x14ac:dyDescent="0.2">
      <c r="A249">
        <v>247</v>
      </c>
      <c r="B249" s="1" t="s">
        <v>1720</v>
      </c>
      <c r="C249" t="s">
        <v>2016</v>
      </c>
      <c r="D249" s="4" t="s">
        <v>22</v>
      </c>
      <c r="E249" s="4" t="s">
        <v>22</v>
      </c>
      <c r="G249">
        <v>101</v>
      </c>
    </row>
    <row r="250" spans="1:7" ht="15" x14ac:dyDescent="0.2">
      <c r="A250">
        <v>248</v>
      </c>
      <c r="B250" s="1" t="s">
        <v>1721</v>
      </c>
      <c r="C250" t="s">
        <v>2017</v>
      </c>
      <c r="D250" s="4" t="s">
        <v>22</v>
      </c>
      <c r="E250" s="4" t="s">
        <v>22</v>
      </c>
      <c r="G250">
        <v>162</v>
      </c>
    </row>
    <row r="251" spans="1:7" ht="15" x14ac:dyDescent="0.2">
      <c r="A251">
        <v>249</v>
      </c>
      <c r="B251" s="1" t="s">
        <v>1722</v>
      </c>
      <c r="C251" t="s">
        <v>2018</v>
      </c>
      <c r="D251" s="4" t="s">
        <v>22</v>
      </c>
      <c r="E251" s="4" t="s">
        <v>22</v>
      </c>
      <c r="F251" t="b">
        <v>0</v>
      </c>
      <c r="G251">
        <v>115</v>
      </c>
    </row>
    <row r="252" spans="1:7" ht="15" x14ac:dyDescent="0.2">
      <c r="A252">
        <v>250</v>
      </c>
      <c r="B252" s="1" t="s">
        <v>1723</v>
      </c>
      <c r="C252" t="s">
        <v>2019</v>
      </c>
      <c r="D252" s="4" t="s">
        <v>22</v>
      </c>
      <c r="E252" s="4" t="s">
        <v>22</v>
      </c>
      <c r="F252" t="b">
        <v>0</v>
      </c>
      <c r="G252">
        <v>116</v>
      </c>
    </row>
    <row r="253" spans="1:7" ht="15" x14ac:dyDescent="0.2">
      <c r="A253">
        <v>251</v>
      </c>
      <c r="B253" s="1" t="s">
        <v>1724</v>
      </c>
      <c r="C253" t="s">
        <v>2020</v>
      </c>
      <c r="D253" s="4" t="s">
        <v>22</v>
      </c>
      <c r="E253" s="4" t="s">
        <v>22</v>
      </c>
      <c r="F253" t="b">
        <v>0</v>
      </c>
      <c r="G253">
        <v>117</v>
      </c>
    </row>
    <row r="254" spans="1:7" ht="15" x14ac:dyDescent="0.2">
      <c r="A254">
        <v>252</v>
      </c>
      <c r="B254" s="1" t="s">
        <v>2021</v>
      </c>
      <c r="C254" t="s">
        <v>2029</v>
      </c>
      <c r="D254" s="4" t="s">
        <v>22</v>
      </c>
      <c r="E254" s="4" t="s">
        <v>22</v>
      </c>
      <c r="G254">
        <v>163</v>
      </c>
    </row>
    <row r="255" spans="1:7" ht="15" x14ac:dyDescent="0.2">
      <c r="A255">
        <v>253</v>
      </c>
      <c r="B255" s="1" t="s">
        <v>2022</v>
      </c>
      <c r="C255" t="s">
        <v>2030</v>
      </c>
      <c r="D255" s="4" t="s">
        <v>22</v>
      </c>
      <c r="E255" s="4" t="s">
        <v>22</v>
      </c>
      <c r="G255">
        <v>165</v>
      </c>
    </row>
    <row r="256" spans="1:7" ht="15" x14ac:dyDescent="0.2">
      <c r="A256">
        <v>254</v>
      </c>
      <c r="B256" s="1" t="s">
        <v>2023</v>
      </c>
      <c r="C256" t="s">
        <v>2031</v>
      </c>
      <c r="D256" s="4" t="s">
        <v>22</v>
      </c>
      <c r="E256" s="4" t="s">
        <v>22</v>
      </c>
      <c r="G256">
        <v>164</v>
      </c>
    </row>
    <row r="257" spans="1:7" ht="15" x14ac:dyDescent="0.2">
      <c r="A257">
        <v>255</v>
      </c>
      <c r="B257" s="1" t="s">
        <v>2032</v>
      </c>
      <c r="C257" t="s">
        <v>2035</v>
      </c>
      <c r="D257" s="4" t="s">
        <v>22</v>
      </c>
      <c r="G257">
        <v>168</v>
      </c>
    </row>
    <row r="258" spans="1:7" ht="15" x14ac:dyDescent="0.2">
      <c r="A258">
        <v>256</v>
      </c>
      <c r="B258" s="1" t="s">
        <v>2033</v>
      </c>
      <c r="C258" t="s">
        <v>2036</v>
      </c>
      <c r="D258" s="4" t="s">
        <v>22</v>
      </c>
      <c r="G258">
        <v>169</v>
      </c>
    </row>
    <row r="259" spans="1:7" ht="15" x14ac:dyDescent="0.2">
      <c r="A259">
        <v>257</v>
      </c>
      <c r="B259" s="1" t="s">
        <v>2034</v>
      </c>
      <c r="C259" t="s">
        <v>2037</v>
      </c>
      <c r="D259" s="4" t="s">
        <v>22</v>
      </c>
      <c r="E259" s="4" t="s">
        <v>22</v>
      </c>
      <c r="F259" t="b">
        <v>1</v>
      </c>
      <c r="G259">
        <v>170</v>
      </c>
    </row>
    <row r="260" spans="1:7" ht="15" x14ac:dyDescent="0.2">
      <c r="A260">
        <v>258</v>
      </c>
      <c r="B260" s="1" t="s">
        <v>1424</v>
      </c>
      <c r="C260" t="s">
        <v>1508</v>
      </c>
      <c r="D260" s="4" t="s">
        <v>22</v>
      </c>
      <c r="E260" s="4" t="s">
        <v>22</v>
      </c>
      <c r="G260">
        <v>171</v>
      </c>
    </row>
    <row r="261" spans="1:7" ht="15" x14ac:dyDescent="0.2">
      <c r="A261">
        <v>259</v>
      </c>
      <c r="B261" s="1" t="s">
        <v>1425</v>
      </c>
      <c r="C261" t="s">
        <v>1509</v>
      </c>
      <c r="D261" s="4" t="s">
        <v>22</v>
      </c>
      <c r="E261" s="4" t="s">
        <v>22</v>
      </c>
      <c r="G261">
        <v>211</v>
      </c>
    </row>
    <row r="262" spans="1:7" ht="15" x14ac:dyDescent="0.2">
      <c r="A262">
        <v>260</v>
      </c>
      <c r="B262" s="1" t="s">
        <v>1426</v>
      </c>
      <c r="C262" t="s">
        <v>1510</v>
      </c>
      <c r="D262" s="4" t="s">
        <v>22</v>
      </c>
      <c r="E262" s="4" t="s">
        <v>22</v>
      </c>
      <c r="G262">
        <v>216</v>
      </c>
    </row>
    <row r="263" spans="1:7" ht="15" x14ac:dyDescent="0.2">
      <c r="A263">
        <v>261</v>
      </c>
      <c r="B263" s="1" t="s">
        <v>1427</v>
      </c>
      <c r="C263" t="s">
        <v>1511</v>
      </c>
      <c r="D263" s="4" t="s">
        <v>22</v>
      </c>
      <c r="E263" s="4" t="s">
        <v>22</v>
      </c>
      <c r="G263">
        <v>3</v>
      </c>
    </row>
    <row r="264" spans="1:7" ht="15" x14ac:dyDescent="0.2">
      <c r="A264">
        <v>262</v>
      </c>
      <c r="B264" s="1" t="s">
        <v>1428</v>
      </c>
      <c r="C264" t="s">
        <v>1512</v>
      </c>
      <c r="D264" s="4" t="s">
        <v>22</v>
      </c>
      <c r="E264" s="4" t="s">
        <v>22</v>
      </c>
      <c r="G264">
        <v>174</v>
      </c>
    </row>
    <row r="265" spans="1:7" ht="15" x14ac:dyDescent="0.2">
      <c r="A265">
        <v>263</v>
      </c>
      <c r="B265" s="1" t="s">
        <v>1429</v>
      </c>
      <c r="C265" t="s">
        <v>1513</v>
      </c>
      <c r="D265" s="4" t="s">
        <v>22</v>
      </c>
      <c r="E265" s="4" t="s">
        <v>22</v>
      </c>
      <c r="G265">
        <v>221</v>
      </c>
    </row>
    <row r="266" spans="1:7" ht="15" x14ac:dyDescent="0.2">
      <c r="A266">
        <v>264</v>
      </c>
      <c r="B266" s="1" t="s">
        <v>1430</v>
      </c>
      <c r="C266" t="s">
        <v>1514</v>
      </c>
      <c r="D266" s="4" t="s">
        <v>22</v>
      </c>
      <c r="E266" s="4" t="s">
        <v>22</v>
      </c>
      <c r="G266">
        <v>226</v>
      </c>
    </row>
    <row r="267" spans="1:7" ht="15" x14ac:dyDescent="0.2">
      <c r="A267">
        <v>265</v>
      </c>
      <c r="B267" s="1" t="s">
        <v>1431</v>
      </c>
      <c r="C267" t="s">
        <v>1515</v>
      </c>
      <c r="D267" s="4" t="s">
        <v>22</v>
      </c>
      <c r="E267" s="4" t="s">
        <v>22</v>
      </c>
      <c r="G267">
        <v>185</v>
      </c>
    </row>
    <row r="268" spans="1:7" ht="15" x14ac:dyDescent="0.2">
      <c r="A268">
        <v>266</v>
      </c>
      <c r="B268" s="1" t="s">
        <v>1432</v>
      </c>
      <c r="C268" t="s">
        <v>1516</v>
      </c>
      <c r="D268" s="4" t="s">
        <v>22</v>
      </c>
      <c r="E268" s="4" t="s">
        <v>22</v>
      </c>
      <c r="G268">
        <v>188</v>
      </c>
    </row>
    <row r="269" spans="1:7" ht="15" x14ac:dyDescent="0.2">
      <c r="A269">
        <v>267</v>
      </c>
      <c r="B269" s="1" t="s">
        <v>1433</v>
      </c>
      <c r="C269" t="s">
        <v>1517</v>
      </c>
      <c r="D269" s="4" t="s">
        <v>22</v>
      </c>
      <c r="E269" s="4" t="s">
        <v>22</v>
      </c>
      <c r="G269">
        <v>175</v>
      </c>
    </row>
    <row r="270" spans="1:7" ht="15" x14ac:dyDescent="0.2">
      <c r="A270">
        <v>268</v>
      </c>
      <c r="B270" s="1" t="s">
        <v>1434</v>
      </c>
      <c r="C270" t="s">
        <v>1518</v>
      </c>
      <c r="D270" s="4" t="s">
        <v>22</v>
      </c>
      <c r="E270" s="4" t="s">
        <v>22</v>
      </c>
      <c r="G270">
        <v>193</v>
      </c>
    </row>
    <row r="271" spans="1:7" ht="15" x14ac:dyDescent="0.2">
      <c r="A271">
        <v>269</v>
      </c>
      <c r="B271" s="1" t="s">
        <v>1435</v>
      </c>
      <c r="C271" t="s">
        <v>1519</v>
      </c>
      <c r="D271" s="4" t="s">
        <v>22</v>
      </c>
      <c r="E271" s="4" t="s">
        <v>22</v>
      </c>
      <c r="G271">
        <v>198</v>
      </c>
    </row>
    <row r="272" spans="1:7" ht="15" x14ac:dyDescent="0.2">
      <c r="A272">
        <v>270</v>
      </c>
      <c r="B272" s="1" t="s">
        <v>1436</v>
      </c>
      <c r="C272" t="s">
        <v>1520</v>
      </c>
      <c r="D272" s="4" t="s">
        <v>22</v>
      </c>
      <c r="E272" s="4" t="s">
        <v>22</v>
      </c>
      <c r="G272">
        <v>180</v>
      </c>
    </row>
    <row r="273" spans="1:7" ht="15" x14ac:dyDescent="0.2">
      <c r="A273">
        <v>271</v>
      </c>
      <c r="B273" s="1" t="s">
        <v>1437</v>
      </c>
      <c r="C273" t="s">
        <v>1521</v>
      </c>
      <c r="D273" s="4" t="s">
        <v>22</v>
      </c>
      <c r="E273" s="4" t="s">
        <v>22</v>
      </c>
      <c r="G273">
        <v>203</v>
      </c>
    </row>
    <row r="274" spans="1:7" ht="15" x14ac:dyDescent="0.2">
      <c r="A274">
        <v>272</v>
      </c>
      <c r="B274" s="1" t="s">
        <v>3741</v>
      </c>
      <c r="C274" t="s">
        <v>3780</v>
      </c>
      <c r="D274" s="4" t="s">
        <v>22</v>
      </c>
      <c r="E274" s="4" t="s">
        <v>22</v>
      </c>
      <c r="G274">
        <v>208</v>
      </c>
    </row>
    <row r="275" spans="1:7" ht="15" x14ac:dyDescent="0.2">
      <c r="A275">
        <v>273</v>
      </c>
      <c r="B275" s="6" t="s">
        <v>1438</v>
      </c>
      <c r="C275" t="s">
        <v>1522</v>
      </c>
      <c r="E275" s="4" t="s">
        <v>22</v>
      </c>
      <c r="G275">
        <v>172</v>
      </c>
    </row>
    <row r="276" spans="1:7" ht="15" x14ac:dyDescent="0.2">
      <c r="A276">
        <v>274</v>
      </c>
      <c r="B276" s="6" t="s">
        <v>1439</v>
      </c>
      <c r="C276" t="s">
        <v>1523</v>
      </c>
      <c r="E276" s="4" t="s">
        <v>22</v>
      </c>
      <c r="G276">
        <v>173</v>
      </c>
    </row>
    <row r="277" spans="1:7" ht="15" x14ac:dyDescent="0.2">
      <c r="A277">
        <v>275</v>
      </c>
      <c r="B277" s="6" t="s">
        <v>1440</v>
      </c>
      <c r="C277" t="s">
        <v>1524</v>
      </c>
      <c r="E277" s="4" t="s">
        <v>22</v>
      </c>
      <c r="G277">
        <v>212</v>
      </c>
    </row>
    <row r="278" spans="1:7" ht="15" x14ac:dyDescent="0.2">
      <c r="A278">
        <v>276</v>
      </c>
      <c r="B278" s="6" t="s">
        <v>1441</v>
      </c>
      <c r="C278" t="s">
        <v>1525</v>
      </c>
      <c r="E278" s="4" t="s">
        <v>22</v>
      </c>
      <c r="G278">
        <v>214</v>
      </c>
    </row>
    <row r="279" spans="1:7" ht="15" x14ac:dyDescent="0.2">
      <c r="A279">
        <v>277</v>
      </c>
      <c r="B279" s="6" t="s">
        <v>3650</v>
      </c>
      <c r="C279" t="s">
        <v>3652</v>
      </c>
      <c r="E279" s="4" t="s">
        <v>22</v>
      </c>
      <c r="G279">
        <v>213</v>
      </c>
    </row>
    <row r="280" spans="1:7" ht="15" x14ac:dyDescent="0.2">
      <c r="A280">
        <v>278</v>
      </c>
      <c r="B280" s="6" t="s">
        <v>3651</v>
      </c>
      <c r="C280" t="s">
        <v>3653</v>
      </c>
      <c r="E280" s="4" t="s">
        <v>22</v>
      </c>
      <c r="G280">
        <v>215</v>
      </c>
    </row>
    <row r="281" spans="1:7" ht="15" x14ac:dyDescent="0.2">
      <c r="A281">
        <v>279</v>
      </c>
      <c r="B281" s="6" t="s">
        <v>1442</v>
      </c>
      <c r="C281" t="s">
        <v>1526</v>
      </c>
      <c r="E281" s="4" t="s">
        <v>22</v>
      </c>
      <c r="G281">
        <v>217</v>
      </c>
    </row>
    <row r="282" spans="1:7" ht="15" x14ac:dyDescent="0.2">
      <c r="A282">
        <v>280</v>
      </c>
      <c r="B282" s="6" t="s">
        <v>1443</v>
      </c>
      <c r="C282" t="s">
        <v>1527</v>
      </c>
      <c r="E282" s="4" t="s">
        <v>22</v>
      </c>
      <c r="G282">
        <v>219</v>
      </c>
    </row>
    <row r="283" spans="1:7" ht="15" x14ac:dyDescent="0.2">
      <c r="A283">
        <v>281</v>
      </c>
      <c r="B283" s="6" t="s">
        <v>3646</v>
      </c>
      <c r="C283" t="s">
        <v>3648</v>
      </c>
      <c r="E283" s="4" t="s">
        <v>22</v>
      </c>
      <c r="G283">
        <v>218</v>
      </c>
    </row>
    <row r="284" spans="1:7" ht="15" x14ac:dyDescent="0.2">
      <c r="A284">
        <v>282</v>
      </c>
      <c r="B284" s="6" t="s">
        <v>3647</v>
      </c>
      <c r="C284" t="s">
        <v>3649</v>
      </c>
      <c r="E284" s="4" t="s">
        <v>22</v>
      </c>
      <c r="G284">
        <v>220</v>
      </c>
    </row>
    <row r="285" spans="1:7" ht="15" x14ac:dyDescent="0.2">
      <c r="A285">
        <v>283</v>
      </c>
      <c r="B285" s="6" t="s">
        <v>2073</v>
      </c>
      <c r="C285" t="s">
        <v>1528</v>
      </c>
      <c r="E285" s="4" t="s">
        <v>22</v>
      </c>
      <c r="G285">
        <v>4</v>
      </c>
    </row>
    <row r="286" spans="1:7" ht="15" x14ac:dyDescent="0.2">
      <c r="A286">
        <v>284</v>
      </c>
      <c r="B286" s="6" t="s">
        <v>2074</v>
      </c>
      <c r="C286" t="s">
        <v>1529</v>
      </c>
      <c r="E286" s="4" t="s">
        <v>22</v>
      </c>
      <c r="G286">
        <v>5</v>
      </c>
    </row>
    <row r="287" spans="1:7" ht="15" x14ac:dyDescent="0.2">
      <c r="A287">
        <v>285</v>
      </c>
      <c r="B287" s="6" t="s">
        <v>1444</v>
      </c>
      <c r="C287" t="s">
        <v>1530</v>
      </c>
      <c r="E287" s="4" t="s">
        <v>22</v>
      </c>
      <c r="G287">
        <v>222</v>
      </c>
    </row>
    <row r="288" spans="1:7" ht="15" x14ac:dyDescent="0.2">
      <c r="A288">
        <v>286</v>
      </c>
      <c r="B288" s="6" t="s">
        <v>1445</v>
      </c>
      <c r="C288" t="s">
        <v>1531</v>
      </c>
      <c r="E288" s="4" t="s">
        <v>22</v>
      </c>
      <c r="G288">
        <v>224</v>
      </c>
    </row>
    <row r="289" spans="1:7" ht="15" x14ac:dyDescent="0.2">
      <c r="A289">
        <v>287</v>
      </c>
      <c r="B289" s="6" t="s">
        <v>1446</v>
      </c>
      <c r="C289" t="s">
        <v>1532</v>
      </c>
      <c r="E289" s="4" t="s">
        <v>22</v>
      </c>
      <c r="G289">
        <v>223</v>
      </c>
    </row>
    <row r="290" spans="1:7" ht="15" x14ac:dyDescent="0.2">
      <c r="A290">
        <v>288</v>
      </c>
      <c r="B290" s="6" t="s">
        <v>1447</v>
      </c>
      <c r="C290" t="s">
        <v>1533</v>
      </c>
      <c r="E290" s="4" t="s">
        <v>22</v>
      </c>
      <c r="G290">
        <v>225</v>
      </c>
    </row>
    <row r="291" spans="1:7" ht="15" x14ac:dyDescent="0.2">
      <c r="A291">
        <v>289</v>
      </c>
      <c r="B291" s="6" t="s">
        <v>1448</v>
      </c>
      <c r="C291" t="s">
        <v>1534</v>
      </c>
      <c r="E291" s="4" t="s">
        <v>22</v>
      </c>
      <c r="G291">
        <v>227</v>
      </c>
    </row>
    <row r="292" spans="1:7" ht="15" x14ac:dyDescent="0.2">
      <c r="A292">
        <v>290</v>
      </c>
      <c r="B292" s="6" t="s">
        <v>1449</v>
      </c>
      <c r="C292" t="s">
        <v>1535</v>
      </c>
      <c r="E292" s="4" t="s">
        <v>22</v>
      </c>
      <c r="G292">
        <v>229</v>
      </c>
    </row>
    <row r="293" spans="1:7" ht="15" x14ac:dyDescent="0.2">
      <c r="A293">
        <v>291</v>
      </c>
      <c r="B293" s="6" t="s">
        <v>1450</v>
      </c>
      <c r="C293" t="s">
        <v>1536</v>
      </c>
      <c r="E293" s="4" t="s">
        <v>22</v>
      </c>
      <c r="G293">
        <v>228</v>
      </c>
    </row>
    <row r="294" spans="1:7" ht="15" x14ac:dyDescent="0.2">
      <c r="A294">
        <v>292</v>
      </c>
      <c r="B294" s="6" t="s">
        <v>1451</v>
      </c>
      <c r="C294" t="s">
        <v>1537</v>
      </c>
      <c r="E294" s="4" t="s">
        <v>22</v>
      </c>
      <c r="G294">
        <v>230</v>
      </c>
    </row>
    <row r="295" spans="1:7" ht="15" x14ac:dyDescent="0.2">
      <c r="A295">
        <v>293</v>
      </c>
      <c r="B295" s="6" t="s">
        <v>1452</v>
      </c>
      <c r="C295" t="s">
        <v>1168</v>
      </c>
      <c r="E295" s="4" t="s">
        <v>22</v>
      </c>
      <c r="G295">
        <v>186</v>
      </c>
    </row>
    <row r="296" spans="1:7" ht="15" x14ac:dyDescent="0.2">
      <c r="A296">
        <v>294</v>
      </c>
      <c r="B296" s="6" t="s">
        <v>1453</v>
      </c>
      <c r="C296" t="s">
        <v>1172</v>
      </c>
      <c r="E296" s="4" t="s">
        <v>22</v>
      </c>
      <c r="G296">
        <v>187</v>
      </c>
    </row>
    <row r="297" spans="1:7" ht="15" x14ac:dyDescent="0.2">
      <c r="A297">
        <v>295</v>
      </c>
      <c r="B297" s="6" t="s">
        <v>1454</v>
      </c>
      <c r="C297" t="s">
        <v>1538</v>
      </c>
      <c r="E297" s="4" t="s">
        <v>22</v>
      </c>
      <c r="G297">
        <v>189</v>
      </c>
    </row>
    <row r="298" spans="1:7" ht="15" x14ac:dyDescent="0.2">
      <c r="A298">
        <v>296</v>
      </c>
      <c r="B298" s="6" t="s">
        <v>1455</v>
      </c>
      <c r="C298" t="s">
        <v>1539</v>
      </c>
      <c r="E298" s="4" t="s">
        <v>22</v>
      </c>
      <c r="G298">
        <v>191</v>
      </c>
    </row>
    <row r="299" spans="1:7" ht="15" x14ac:dyDescent="0.2">
      <c r="A299">
        <v>297</v>
      </c>
      <c r="B299" s="6" t="s">
        <v>1456</v>
      </c>
      <c r="C299" t="s">
        <v>1540</v>
      </c>
      <c r="E299" s="4" t="s">
        <v>22</v>
      </c>
      <c r="G299">
        <v>190</v>
      </c>
    </row>
    <row r="300" spans="1:7" ht="15" x14ac:dyDescent="0.2">
      <c r="A300">
        <v>298</v>
      </c>
      <c r="B300" s="6" t="s">
        <v>1457</v>
      </c>
      <c r="C300" t="s">
        <v>1541</v>
      </c>
      <c r="E300" s="4" t="s">
        <v>22</v>
      </c>
      <c r="G300">
        <v>192</v>
      </c>
    </row>
    <row r="301" spans="1:7" ht="15" x14ac:dyDescent="0.2">
      <c r="A301">
        <v>299</v>
      </c>
      <c r="B301" s="6" t="s">
        <v>1458</v>
      </c>
      <c r="C301" t="s">
        <v>1542</v>
      </c>
      <c r="E301" s="4" t="s">
        <v>22</v>
      </c>
      <c r="G301">
        <v>176</v>
      </c>
    </row>
    <row r="302" spans="1:7" ht="15" x14ac:dyDescent="0.2">
      <c r="A302">
        <v>300</v>
      </c>
      <c r="B302" s="6" t="s">
        <v>1459</v>
      </c>
      <c r="C302" t="s">
        <v>1543</v>
      </c>
      <c r="E302" s="4" t="s">
        <v>22</v>
      </c>
      <c r="G302">
        <v>178</v>
      </c>
    </row>
    <row r="303" spans="1:7" ht="15" x14ac:dyDescent="0.2">
      <c r="A303">
        <v>301</v>
      </c>
      <c r="B303" s="6" t="s">
        <v>1460</v>
      </c>
      <c r="C303" t="s">
        <v>1544</v>
      </c>
      <c r="E303" s="4" t="s">
        <v>22</v>
      </c>
      <c r="G303">
        <v>177</v>
      </c>
    </row>
    <row r="304" spans="1:7" ht="15" x14ac:dyDescent="0.2">
      <c r="A304">
        <v>302</v>
      </c>
      <c r="B304" s="6" t="s">
        <v>1461</v>
      </c>
      <c r="C304" t="s">
        <v>1545</v>
      </c>
      <c r="E304" s="4" t="s">
        <v>22</v>
      </c>
      <c r="G304">
        <v>179</v>
      </c>
    </row>
    <row r="305" spans="1:7" ht="15" x14ac:dyDescent="0.2">
      <c r="A305">
        <v>303</v>
      </c>
      <c r="B305" s="6" t="s">
        <v>1462</v>
      </c>
      <c r="C305" t="s">
        <v>1546</v>
      </c>
      <c r="E305" s="4" t="s">
        <v>22</v>
      </c>
      <c r="G305">
        <v>194</v>
      </c>
    </row>
    <row r="306" spans="1:7" ht="15" x14ac:dyDescent="0.2">
      <c r="A306">
        <v>304</v>
      </c>
      <c r="B306" s="6" t="s">
        <v>1463</v>
      </c>
      <c r="C306" t="s">
        <v>1547</v>
      </c>
      <c r="E306" s="4" t="s">
        <v>22</v>
      </c>
      <c r="G306">
        <v>196</v>
      </c>
    </row>
    <row r="307" spans="1:7" ht="15" x14ac:dyDescent="0.2">
      <c r="A307">
        <v>305</v>
      </c>
      <c r="B307" s="6" t="s">
        <v>1464</v>
      </c>
      <c r="C307" t="s">
        <v>1548</v>
      </c>
      <c r="E307" s="4" t="s">
        <v>22</v>
      </c>
      <c r="G307">
        <v>195</v>
      </c>
    </row>
    <row r="308" spans="1:7" ht="15" x14ac:dyDescent="0.2">
      <c r="A308">
        <v>306</v>
      </c>
      <c r="B308" s="6" t="s">
        <v>1465</v>
      </c>
      <c r="C308" t="s">
        <v>1549</v>
      </c>
      <c r="E308" s="4" t="s">
        <v>22</v>
      </c>
      <c r="G308">
        <v>197</v>
      </c>
    </row>
    <row r="309" spans="1:7" ht="15" x14ac:dyDescent="0.2">
      <c r="A309">
        <v>307</v>
      </c>
      <c r="B309" s="6" t="s">
        <v>1466</v>
      </c>
      <c r="C309" t="s">
        <v>1550</v>
      </c>
      <c r="E309" s="4" t="s">
        <v>22</v>
      </c>
      <c r="G309">
        <v>199</v>
      </c>
    </row>
    <row r="310" spans="1:7" ht="15" x14ac:dyDescent="0.2">
      <c r="A310">
        <v>308</v>
      </c>
      <c r="B310" s="6" t="s">
        <v>1467</v>
      </c>
      <c r="C310" t="s">
        <v>1551</v>
      </c>
      <c r="E310" s="4" t="s">
        <v>22</v>
      </c>
      <c r="G310">
        <v>201</v>
      </c>
    </row>
    <row r="311" spans="1:7" ht="15" x14ac:dyDescent="0.2">
      <c r="A311">
        <v>309</v>
      </c>
      <c r="B311" s="6" t="s">
        <v>1468</v>
      </c>
      <c r="C311" t="s">
        <v>1552</v>
      </c>
      <c r="E311" s="4" t="s">
        <v>22</v>
      </c>
      <c r="G311">
        <v>200</v>
      </c>
    </row>
    <row r="312" spans="1:7" ht="15" x14ac:dyDescent="0.2">
      <c r="A312">
        <v>310</v>
      </c>
      <c r="B312" s="6" t="s">
        <v>1469</v>
      </c>
      <c r="C312" t="s">
        <v>1553</v>
      </c>
      <c r="E312" s="4" t="s">
        <v>22</v>
      </c>
      <c r="G312">
        <v>202</v>
      </c>
    </row>
    <row r="313" spans="1:7" ht="15" x14ac:dyDescent="0.2">
      <c r="A313">
        <v>311</v>
      </c>
      <c r="B313" s="6" t="s">
        <v>1470</v>
      </c>
      <c r="C313" t="s">
        <v>1554</v>
      </c>
      <c r="E313" s="4" t="s">
        <v>22</v>
      </c>
      <c r="G313">
        <v>181</v>
      </c>
    </row>
    <row r="314" spans="1:7" ht="15" x14ac:dyDescent="0.2">
      <c r="A314">
        <v>312</v>
      </c>
      <c r="B314" s="6" t="s">
        <v>1471</v>
      </c>
      <c r="C314" t="s">
        <v>1555</v>
      </c>
      <c r="E314" s="4" t="s">
        <v>22</v>
      </c>
      <c r="G314">
        <v>183</v>
      </c>
    </row>
    <row r="315" spans="1:7" ht="15" x14ac:dyDescent="0.2">
      <c r="A315">
        <v>313</v>
      </c>
      <c r="B315" s="6" t="s">
        <v>1472</v>
      </c>
      <c r="C315" t="s">
        <v>1556</v>
      </c>
      <c r="E315" s="4" t="s">
        <v>22</v>
      </c>
      <c r="G315">
        <v>182</v>
      </c>
    </row>
    <row r="316" spans="1:7" ht="15" x14ac:dyDescent="0.2">
      <c r="A316">
        <v>314</v>
      </c>
      <c r="B316" s="6" t="s">
        <v>1473</v>
      </c>
      <c r="C316" t="s">
        <v>1557</v>
      </c>
      <c r="E316" s="4" t="s">
        <v>22</v>
      </c>
      <c r="G316">
        <v>184</v>
      </c>
    </row>
    <row r="317" spans="1:7" ht="15" x14ac:dyDescent="0.2">
      <c r="A317">
        <v>315</v>
      </c>
      <c r="B317" s="6" t="s">
        <v>1474</v>
      </c>
      <c r="C317" t="s">
        <v>1558</v>
      </c>
      <c r="E317" s="4" t="s">
        <v>22</v>
      </c>
      <c r="G317">
        <v>204</v>
      </c>
    </row>
    <row r="318" spans="1:7" ht="15" x14ac:dyDescent="0.2">
      <c r="A318">
        <v>316</v>
      </c>
      <c r="B318" s="6" t="s">
        <v>1475</v>
      </c>
      <c r="C318" t="s">
        <v>1559</v>
      </c>
      <c r="E318" s="4" t="s">
        <v>22</v>
      </c>
      <c r="G318">
        <v>206</v>
      </c>
    </row>
    <row r="319" spans="1:7" ht="15" x14ac:dyDescent="0.2">
      <c r="A319">
        <v>317</v>
      </c>
      <c r="B319" s="6" t="s">
        <v>1476</v>
      </c>
      <c r="C319" t="s">
        <v>1560</v>
      </c>
      <c r="E319" s="4" t="s">
        <v>22</v>
      </c>
      <c r="G319">
        <v>205</v>
      </c>
    </row>
    <row r="320" spans="1:7" ht="15" x14ac:dyDescent="0.2">
      <c r="A320">
        <v>318</v>
      </c>
      <c r="B320" s="6" t="s">
        <v>1477</v>
      </c>
      <c r="C320" t="s">
        <v>1561</v>
      </c>
      <c r="E320" s="4" t="s">
        <v>22</v>
      </c>
      <c r="G320">
        <v>207</v>
      </c>
    </row>
    <row r="321" spans="1:7" ht="15" x14ac:dyDescent="0.2">
      <c r="A321">
        <v>319</v>
      </c>
      <c r="B321" s="6" t="s">
        <v>3742</v>
      </c>
      <c r="C321" t="s">
        <v>3781</v>
      </c>
      <c r="E321" s="4" t="s">
        <v>22</v>
      </c>
      <c r="G321">
        <v>209</v>
      </c>
    </row>
    <row r="322" spans="1:7" ht="15" x14ac:dyDescent="0.2">
      <c r="A322">
        <v>320</v>
      </c>
      <c r="B322" s="6" t="s">
        <v>3743</v>
      </c>
      <c r="C322" t="s">
        <v>3782</v>
      </c>
      <c r="E322" s="4" t="s">
        <v>22</v>
      </c>
      <c r="G322">
        <v>210</v>
      </c>
    </row>
    <row r="323" spans="1:7" ht="15" x14ac:dyDescent="0.2">
      <c r="A323">
        <v>321</v>
      </c>
      <c r="B323" s="1" t="s">
        <v>2038</v>
      </c>
      <c r="C323" t="s">
        <v>2040</v>
      </c>
      <c r="D323" s="4" t="s">
        <v>22</v>
      </c>
      <c r="E323" s="4" t="s">
        <v>22</v>
      </c>
      <c r="G323">
        <v>166</v>
      </c>
    </row>
    <row r="324" spans="1:7" ht="15" x14ac:dyDescent="0.2">
      <c r="A324">
        <v>322</v>
      </c>
      <c r="B324" s="1" t="s">
        <v>2039</v>
      </c>
      <c r="C324" t="s">
        <v>2041</v>
      </c>
      <c r="D324" s="4" t="s">
        <v>22</v>
      </c>
      <c r="E324" s="4" t="s">
        <v>22</v>
      </c>
      <c r="G324">
        <v>167</v>
      </c>
    </row>
    <row r="325" spans="1:7" ht="15" x14ac:dyDescent="0.2">
      <c r="A325">
        <v>323</v>
      </c>
      <c r="B325" s="1" t="s">
        <v>2024</v>
      </c>
      <c r="D325" s="4" t="s">
        <v>22</v>
      </c>
      <c r="E325" s="4" t="s">
        <v>22</v>
      </c>
      <c r="G325">
        <v>231</v>
      </c>
    </row>
    <row r="326" spans="1:7" ht="15" x14ac:dyDescent="0.2">
      <c r="A326">
        <v>324</v>
      </c>
      <c r="B326" s="1" t="s">
        <v>2043</v>
      </c>
      <c r="C326" t="s">
        <v>2044</v>
      </c>
      <c r="D326" s="4" t="s">
        <v>22</v>
      </c>
      <c r="G326">
        <v>232</v>
      </c>
    </row>
    <row r="327" spans="1:7" ht="15" x14ac:dyDescent="0.2">
      <c r="A327">
        <v>325</v>
      </c>
      <c r="B327" s="1" t="s">
        <v>2042</v>
      </c>
      <c r="C327" t="s">
        <v>2045</v>
      </c>
      <c r="D327" s="4" t="s">
        <v>22</v>
      </c>
      <c r="G327">
        <v>233</v>
      </c>
    </row>
    <row r="328" spans="1:7" ht="15" x14ac:dyDescent="0.2">
      <c r="A328">
        <v>326</v>
      </c>
      <c r="B328" s="1" t="s">
        <v>2025</v>
      </c>
      <c r="C328" t="s">
        <v>2046</v>
      </c>
      <c r="D328" s="4" t="s">
        <v>22</v>
      </c>
      <c r="E328" s="4" t="s">
        <v>22</v>
      </c>
      <c r="G328">
        <v>234</v>
      </c>
    </row>
    <row r="329" spans="1:7" ht="15" x14ac:dyDescent="0.2">
      <c r="A329">
        <v>327</v>
      </c>
      <c r="B329" s="1" t="s">
        <v>2026</v>
      </c>
      <c r="C329" t="s">
        <v>2047</v>
      </c>
      <c r="D329" s="4" t="s">
        <v>22</v>
      </c>
      <c r="E329" s="4" t="s">
        <v>22</v>
      </c>
      <c r="G329">
        <v>235</v>
      </c>
    </row>
    <row r="330" spans="1:7" ht="15" x14ac:dyDescent="0.2">
      <c r="A330">
        <v>328</v>
      </c>
      <c r="B330" s="1" t="s">
        <v>2027</v>
      </c>
      <c r="C330" t="s">
        <v>2048</v>
      </c>
      <c r="D330" s="4" t="s">
        <v>22</v>
      </c>
      <c r="E330" s="4" t="s">
        <v>22</v>
      </c>
      <c r="G330">
        <v>236</v>
      </c>
    </row>
    <row r="331" spans="1:7" ht="15" x14ac:dyDescent="0.2">
      <c r="A331">
        <v>329</v>
      </c>
      <c r="B331" s="1" t="s">
        <v>2028</v>
      </c>
      <c r="C331" t="s">
        <v>2049</v>
      </c>
      <c r="D331" s="4" t="s">
        <v>22</v>
      </c>
      <c r="E331" s="4" t="s">
        <v>22</v>
      </c>
      <c r="G331">
        <v>237</v>
      </c>
    </row>
    <row r="332" spans="1:7" ht="15" x14ac:dyDescent="0.2">
      <c r="A332">
        <v>330</v>
      </c>
      <c r="B332" s="1" t="s">
        <v>3744</v>
      </c>
      <c r="C332" t="s">
        <v>3783</v>
      </c>
      <c r="D332" s="4" t="s">
        <v>22</v>
      </c>
      <c r="E332" s="4" t="s">
        <v>22</v>
      </c>
      <c r="F332" t="b">
        <v>0</v>
      </c>
      <c r="G332">
        <v>238</v>
      </c>
    </row>
    <row r="333" spans="1:7" ht="15" x14ac:dyDescent="0.2">
      <c r="A333">
        <v>331</v>
      </c>
      <c r="B333" s="1" t="s">
        <v>1725</v>
      </c>
      <c r="D333" s="4" t="s">
        <v>22</v>
      </c>
      <c r="E333" s="4" t="s">
        <v>22</v>
      </c>
      <c r="G333">
        <v>239</v>
      </c>
    </row>
    <row r="334" spans="1:7" ht="15" x14ac:dyDescent="0.2">
      <c r="A334">
        <v>332</v>
      </c>
      <c r="B334" s="1" t="s">
        <v>1726</v>
      </c>
      <c r="D334" s="4" t="s">
        <v>22</v>
      </c>
      <c r="E334" s="4" t="s">
        <v>22</v>
      </c>
      <c r="F334" t="b">
        <v>0</v>
      </c>
      <c r="G334">
        <v>240</v>
      </c>
    </row>
    <row r="335" spans="1:7" ht="15" x14ac:dyDescent="0.2">
      <c r="A335">
        <v>333</v>
      </c>
      <c r="B335" s="1" t="s">
        <v>1478</v>
      </c>
      <c r="C335" t="s">
        <v>1420</v>
      </c>
      <c r="D335" s="4" t="s">
        <v>22</v>
      </c>
      <c r="G335">
        <v>245</v>
      </c>
    </row>
    <row r="336" spans="1:7" ht="15" x14ac:dyDescent="0.2">
      <c r="A336">
        <v>334</v>
      </c>
      <c r="B336" s="1" t="s">
        <v>1479</v>
      </c>
      <c r="C336" t="s">
        <v>1421</v>
      </c>
      <c r="D336" s="4" t="s">
        <v>22</v>
      </c>
      <c r="G336">
        <v>246</v>
      </c>
    </row>
    <row r="337" spans="1:7" ht="15" x14ac:dyDescent="0.2">
      <c r="A337">
        <v>335</v>
      </c>
      <c r="B337" s="1" t="s">
        <v>1480</v>
      </c>
      <c r="C337" t="s">
        <v>1562</v>
      </c>
      <c r="D337" s="4" t="s">
        <v>22</v>
      </c>
      <c r="E337" s="4" t="s">
        <v>22</v>
      </c>
      <c r="G337">
        <v>254</v>
      </c>
    </row>
    <row r="338" spans="1:7" ht="15" x14ac:dyDescent="0.2">
      <c r="A338">
        <v>336</v>
      </c>
      <c r="B338" s="1" t="s">
        <v>1481</v>
      </c>
      <c r="C338" t="s">
        <v>1563</v>
      </c>
      <c r="D338" s="4" t="s">
        <v>22</v>
      </c>
      <c r="G338">
        <v>247</v>
      </c>
    </row>
    <row r="339" spans="1:7" ht="15" x14ac:dyDescent="0.2">
      <c r="A339">
        <v>337</v>
      </c>
      <c r="B339" s="1" t="s">
        <v>1482</v>
      </c>
      <c r="C339" t="s">
        <v>1564</v>
      </c>
      <c r="D339" s="4" t="s">
        <v>22</v>
      </c>
      <c r="G339">
        <v>248</v>
      </c>
    </row>
    <row r="340" spans="1:7" ht="15" x14ac:dyDescent="0.2">
      <c r="A340">
        <v>338</v>
      </c>
      <c r="B340" s="1" t="s">
        <v>3745</v>
      </c>
      <c r="C340" t="s">
        <v>3784</v>
      </c>
      <c r="D340" s="4" t="s">
        <v>22</v>
      </c>
      <c r="E340" s="4" t="s">
        <v>22</v>
      </c>
      <c r="F340" t="b">
        <v>1</v>
      </c>
      <c r="G340">
        <v>250</v>
      </c>
    </row>
    <row r="341" spans="1:7" ht="15" x14ac:dyDescent="0.2">
      <c r="A341">
        <v>339</v>
      </c>
      <c r="B341" s="1" t="s">
        <v>1483</v>
      </c>
      <c r="C341" t="s">
        <v>1565</v>
      </c>
      <c r="D341" s="4" t="s">
        <v>22</v>
      </c>
      <c r="G341">
        <v>251</v>
      </c>
    </row>
    <row r="342" spans="1:7" ht="15" x14ac:dyDescent="0.2">
      <c r="A342">
        <v>340</v>
      </c>
      <c r="B342" s="1" t="s">
        <v>3746</v>
      </c>
      <c r="C342" t="s">
        <v>3785</v>
      </c>
      <c r="G342">
        <v>269</v>
      </c>
    </row>
    <row r="343" spans="1:7" ht="15" x14ac:dyDescent="0.2">
      <c r="A343">
        <v>341</v>
      </c>
      <c r="B343" s="1" t="s">
        <v>1484</v>
      </c>
      <c r="C343" t="s">
        <v>1566</v>
      </c>
      <c r="D343" s="4" t="s">
        <v>22</v>
      </c>
      <c r="E343" s="4" t="s">
        <v>22</v>
      </c>
      <c r="G343">
        <v>259</v>
      </c>
    </row>
    <row r="344" spans="1:7" ht="15" x14ac:dyDescent="0.2">
      <c r="A344">
        <v>342</v>
      </c>
      <c r="B344" s="1" t="s">
        <v>1485</v>
      </c>
      <c r="C344" t="s">
        <v>1567</v>
      </c>
      <c r="D344" s="4" t="s">
        <v>22</v>
      </c>
      <c r="E344" s="4" t="s">
        <v>22</v>
      </c>
      <c r="G344">
        <v>264</v>
      </c>
    </row>
    <row r="345" spans="1:7" ht="15" x14ac:dyDescent="0.2">
      <c r="A345">
        <v>343</v>
      </c>
      <c r="B345" s="1" t="s">
        <v>1486</v>
      </c>
      <c r="C345" t="s">
        <v>1568</v>
      </c>
      <c r="D345" s="4" t="s">
        <v>22</v>
      </c>
      <c r="E345" s="4" t="s">
        <v>22</v>
      </c>
      <c r="G345">
        <v>274</v>
      </c>
    </row>
    <row r="346" spans="1:7" ht="15" x14ac:dyDescent="0.2">
      <c r="A346">
        <v>344</v>
      </c>
      <c r="B346" s="1" t="s">
        <v>1487</v>
      </c>
      <c r="C346" t="s">
        <v>2058</v>
      </c>
      <c r="D346" s="4" t="s">
        <v>22</v>
      </c>
      <c r="E346" s="4" t="s">
        <v>22</v>
      </c>
      <c r="F346" t="b">
        <v>1</v>
      </c>
      <c r="G346">
        <v>275</v>
      </c>
    </row>
    <row r="347" spans="1:7" ht="15" x14ac:dyDescent="0.2">
      <c r="A347">
        <v>345</v>
      </c>
      <c r="B347" s="1" t="s">
        <v>1488</v>
      </c>
      <c r="C347" t="s">
        <v>1569</v>
      </c>
      <c r="D347" s="4" t="s">
        <v>22</v>
      </c>
      <c r="E347" s="4" t="s">
        <v>22</v>
      </c>
      <c r="F347" t="b">
        <v>1</v>
      </c>
      <c r="G347">
        <v>276</v>
      </c>
    </row>
    <row r="348" spans="1:7" ht="15" x14ac:dyDescent="0.2">
      <c r="A348">
        <v>346</v>
      </c>
      <c r="B348" s="1" t="s">
        <v>1489</v>
      </c>
      <c r="C348" t="s">
        <v>1570</v>
      </c>
      <c r="D348" s="4" t="s">
        <v>22</v>
      </c>
      <c r="E348" s="4" t="s">
        <v>22</v>
      </c>
      <c r="F348" t="b">
        <v>1</v>
      </c>
      <c r="G348">
        <v>277</v>
      </c>
    </row>
    <row r="349" spans="1:7" ht="15" x14ac:dyDescent="0.2">
      <c r="A349">
        <v>347</v>
      </c>
      <c r="B349" s="1" t="s">
        <v>1490</v>
      </c>
      <c r="C349" t="s">
        <v>1571</v>
      </c>
      <c r="D349" s="4" t="s">
        <v>22</v>
      </c>
      <c r="E349" s="4" t="s">
        <v>22</v>
      </c>
      <c r="G349">
        <v>278</v>
      </c>
    </row>
    <row r="350" spans="1:7" ht="15" x14ac:dyDescent="0.2">
      <c r="A350">
        <v>348</v>
      </c>
      <c r="B350" s="1" t="s">
        <v>1491</v>
      </c>
      <c r="C350" t="s">
        <v>1572</v>
      </c>
      <c r="D350" s="4" t="s">
        <v>22</v>
      </c>
      <c r="E350" s="4" t="s">
        <v>22</v>
      </c>
      <c r="G350">
        <v>249</v>
      </c>
    </row>
    <row r="351" spans="1:7" ht="15" x14ac:dyDescent="0.2">
      <c r="A351">
        <v>349</v>
      </c>
      <c r="B351" s="6" t="s">
        <v>1492</v>
      </c>
      <c r="C351" t="s">
        <v>1573</v>
      </c>
      <c r="E351" s="4" t="s">
        <v>22</v>
      </c>
      <c r="G351">
        <v>255</v>
      </c>
    </row>
    <row r="352" spans="1:7" ht="15" x14ac:dyDescent="0.2">
      <c r="A352">
        <v>350</v>
      </c>
      <c r="B352" s="6" t="s">
        <v>1493</v>
      </c>
      <c r="C352" t="s">
        <v>1574</v>
      </c>
      <c r="E352" s="4" t="s">
        <v>22</v>
      </c>
      <c r="G352">
        <v>257</v>
      </c>
    </row>
    <row r="353" spans="1:7" ht="15" x14ac:dyDescent="0.2">
      <c r="A353">
        <v>351</v>
      </c>
      <c r="B353" s="6" t="s">
        <v>1494</v>
      </c>
      <c r="C353" t="s">
        <v>1575</v>
      </c>
      <c r="E353" s="4" t="s">
        <v>22</v>
      </c>
      <c r="G353">
        <v>256</v>
      </c>
    </row>
    <row r="354" spans="1:7" ht="15" x14ac:dyDescent="0.2">
      <c r="A354">
        <v>352</v>
      </c>
      <c r="B354" s="6" t="s">
        <v>1495</v>
      </c>
      <c r="C354" t="s">
        <v>1576</v>
      </c>
      <c r="E354" s="4" t="s">
        <v>22</v>
      </c>
      <c r="G354">
        <v>258</v>
      </c>
    </row>
    <row r="355" spans="1:7" ht="15" x14ac:dyDescent="0.2">
      <c r="A355">
        <v>353</v>
      </c>
      <c r="B355" s="6" t="s">
        <v>1496</v>
      </c>
      <c r="C355" t="s">
        <v>1577</v>
      </c>
      <c r="G355">
        <v>252</v>
      </c>
    </row>
    <row r="356" spans="1:7" ht="15" x14ac:dyDescent="0.2">
      <c r="A356">
        <v>354</v>
      </c>
      <c r="B356" s="6" t="s">
        <v>1497</v>
      </c>
      <c r="C356" t="s">
        <v>1578</v>
      </c>
      <c r="G356">
        <v>253</v>
      </c>
    </row>
    <row r="357" spans="1:7" ht="15" x14ac:dyDescent="0.2">
      <c r="A357">
        <v>355</v>
      </c>
      <c r="B357" s="6" t="s">
        <v>3748</v>
      </c>
      <c r="C357" t="s">
        <v>3786</v>
      </c>
      <c r="E357" s="4" t="s">
        <v>22</v>
      </c>
      <c r="G357">
        <v>270</v>
      </c>
    </row>
    <row r="358" spans="1:7" ht="15" x14ac:dyDescent="0.2">
      <c r="A358">
        <v>356</v>
      </c>
      <c r="B358" s="6" t="s">
        <v>3747</v>
      </c>
      <c r="C358" t="s">
        <v>3787</v>
      </c>
      <c r="E358" s="4" t="s">
        <v>22</v>
      </c>
      <c r="G358">
        <v>271</v>
      </c>
    </row>
    <row r="359" spans="1:7" ht="15" x14ac:dyDescent="0.2">
      <c r="A359">
        <v>357</v>
      </c>
      <c r="B359" s="6" t="s">
        <v>3788</v>
      </c>
      <c r="C359" t="s">
        <v>3790</v>
      </c>
      <c r="E359" s="4" t="s">
        <v>22</v>
      </c>
      <c r="G359">
        <v>272</v>
      </c>
    </row>
    <row r="360" spans="1:7" ht="15" x14ac:dyDescent="0.2">
      <c r="A360">
        <v>358</v>
      </c>
      <c r="B360" s="6" t="s">
        <v>3789</v>
      </c>
      <c r="C360" t="s">
        <v>3791</v>
      </c>
      <c r="E360" s="4" t="s">
        <v>22</v>
      </c>
      <c r="G360">
        <v>273</v>
      </c>
    </row>
    <row r="361" spans="1:7" ht="15" x14ac:dyDescent="0.2">
      <c r="A361">
        <v>359</v>
      </c>
      <c r="B361" s="6" t="s">
        <v>1498</v>
      </c>
      <c r="C361" t="s">
        <v>1579</v>
      </c>
      <c r="E361" s="4" t="s">
        <v>22</v>
      </c>
      <c r="G361">
        <v>260</v>
      </c>
    </row>
    <row r="362" spans="1:7" ht="15" x14ac:dyDescent="0.2">
      <c r="A362">
        <v>360</v>
      </c>
      <c r="B362" s="6" t="s">
        <v>1499</v>
      </c>
      <c r="C362" t="s">
        <v>1580</v>
      </c>
      <c r="E362" s="4" t="s">
        <v>22</v>
      </c>
      <c r="G362">
        <v>262</v>
      </c>
    </row>
    <row r="363" spans="1:7" ht="15" x14ac:dyDescent="0.2">
      <c r="A363">
        <v>361</v>
      </c>
      <c r="B363" s="6" t="s">
        <v>1500</v>
      </c>
      <c r="C363" t="s">
        <v>1581</v>
      </c>
      <c r="E363" s="4" t="s">
        <v>22</v>
      </c>
      <c r="G363">
        <v>261</v>
      </c>
    </row>
    <row r="364" spans="1:7" ht="15" x14ac:dyDescent="0.2">
      <c r="A364">
        <v>362</v>
      </c>
      <c r="B364" s="6" t="s">
        <v>1501</v>
      </c>
      <c r="C364" t="s">
        <v>1582</v>
      </c>
      <c r="E364" s="4" t="s">
        <v>22</v>
      </c>
      <c r="G364">
        <v>263</v>
      </c>
    </row>
    <row r="365" spans="1:7" ht="15" x14ac:dyDescent="0.2">
      <c r="A365">
        <v>363</v>
      </c>
      <c r="B365" s="6" t="s">
        <v>1502</v>
      </c>
      <c r="C365" t="s">
        <v>1583</v>
      </c>
      <c r="E365" s="4" t="s">
        <v>22</v>
      </c>
      <c r="G365">
        <v>265</v>
      </c>
    </row>
    <row r="366" spans="1:7" ht="15" x14ac:dyDescent="0.2">
      <c r="A366">
        <v>364</v>
      </c>
      <c r="B366" s="6" t="s">
        <v>1503</v>
      </c>
      <c r="C366" t="s">
        <v>1584</v>
      </c>
      <c r="E366" s="4" t="s">
        <v>22</v>
      </c>
      <c r="G366">
        <v>267</v>
      </c>
    </row>
    <row r="367" spans="1:7" ht="15" x14ac:dyDescent="0.2">
      <c r="A367">
        <v>365</v>
      </c>
      <c r="B367" s="6" t="s">
        <v>1504</v>
      </c>
      <c r="C367" t="s">
        <v>1585</v>
      </c>
      <c r="E367" s="4" t="s">
        <v>22</v>
      </c>
      <c r="G367">
        <v>266</v>
      </c>
    </row>
    <row r="368" spans="1:7" ht="15" x14ac:dyDescent="0.2">
      <c r="A368">
        <v>366</v>
      </c>
      <c r="B368" s="6" t="s">
        <v>1505</v>
      </c>
      <c r="C368" t="s">
        <v>1586</v>
      </c>
      <c r="E368" s="4" t="s">
        <v>22</v>
      </c>
      <c r="G368">
        <v>268</v>
      </c>
    </row>
    <row r="369" spans="1:7" ht="15" x14ac:dyDescent="0.2">
      <c r="A369">
        <v>367</v>
      </c>
      <c r="B369" s="1" t="s">
        <v>3749</v>
      </c>
      <c r="C369" t="s">
        <v>3792</v>
      </c>
      <c r="D369" s="4" t="s">
        <v>22</v>
      </c>
      <c r="E369" s="4" t="s">
        <v>22</v>
      </c>
      <c r="G369">
        <v>367</v>
      </c>
    </row>
    <row r="370" spans="1:7" ht="15" x14ac:dyDescent="0.2">
      <c r="A370">
        <v>368</v>
      </c>
      <c r="B370" s="1" t="s">
        <v>3750</v>
      </c>
      <c r="C370" t="s">
        <v>3793</v>
      </c>
      <c r="D370" s="4" t="s">
        <v>22</v>
      </c>
      <c r="E370" s="4" t="s">
        <v>22</v>
      </c>
      <c r="G370">
        <v>368</v>
      </c>
    </row>
    <row r="371" spans="1:7" ht="15" x14ac:dyDescent="0.2">
      <c r="A371">
        <v>369</v>
      </c>
      <c r="B371" s="1" t="s">
        <v>3751</v>
      </c>
      <c r="C371" t="s">
        <v>3794</v>
      </c>
      <c r="D371" s="4" t="s">
        <v>22</v>
      </c>
      <c r="E371" s="4" t="s">
        <v>22</v>
      </c>
      <c r="G371">
        <v>369</v>
      </c>
    </row>
    <row r="372" spans="1:7" ht="15" x14ac:dyDescent="0.2">
      <c r="A372">
        <v>370</v>
      </c>
      <c r="B372" s="1" t="s">
        <v>3752</v>
      </c>
      <c r="D372" s="4" t="s">
        <v>22</v>
      </c>
      <c r="E372" s="4" t="s">
        <v>22</v>
      </c>
      <c r="G372">
        <v>370</v>
      </c>
    </row>
    <row r="373" spans="1:7" ht="15" x14ac:dyDescent="0.2">
      <c r="A373">
        <v>371</v>
      </c>
      <c r="B373" s="1" t="s">
        <v>3753</v>
      </c>
      <c r="D373" s="4" t="s">
        <v>22</v>
      </c>
      <c r="E373" s="4" t="s">
        <v>22</v>
      </c>
      <c r="G373">
        <v>371</v>
      </c>
    </row>
  </sheetData>
  <sortState xmlns:xlrd2="http://schemas.microsoft.com/office/spreadsheetml/2017/richdata2" ref="A2:G373">
    <sortCondition ref="A1:A373"/>
  </sortState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6E1D-A581-434A-AB3C-C56FE7FC755F}">
  <sheetPr codeName="Sheet6"/>
  <dimension ref="A1:G373"/>
  <sheetViews>
    <sheetView zoomScaleNormal="100" workbookViewId="0"/>
  </sheetViews>
  <sheetFormatPr defaultRowHeight="14.25" x14ac:dyDescent="0.2"/>
  <cols>
    <col min="2" max="2" width="104.875" bestFit="1" customWidth="1"/>
    <col min="3" max="3" width="58.75" bestFit="1" customWidth="1"/>
    <col min="4" max="4" width="14.375" style="4" bestFit="1" customWidth="1"/>
    <col min="5" max="5" width="9" style="4"/>
  </cols>
  <sheetData>
    <row r="1" spans="1:7" x14ac:dyDescent="0.2">
      <c r="A1" t="s">
        <v>16</v>
      </c>
      <c r="B1" t="s">
        <v>18</v>
      </c>
      <c r="C1" t="s">
        <v>19</v>
      </c>
      <c r="D1" s="22" t="s">
        <v>20</v>
      </c>
      <c r="E1" s="22" t="s">
        <v>23</v>
      </c>
      <c r="F1" s="22" t="s">
        <v>881</v>
      </c>
      <c r="G1" s="22" t="s">
        <v>21</v>
      </c>
    </row>
    <row r="2" spans="1:7" ht="15" x14ac:dyDescent="0.2">
      <c r="A2">
        <v>0</v>
      </c>
      <c r="B2" s="1" t="s">
        <v>855</v>
      </c>
      <c r="C2" t="str">
        <f>_xlfn.LET(_xlpm.x,VLOOKUP($B2,spell_header!$B$2:$G$373,2,FALSE),IF(_xlpm.x="","",_xlpm.x))</f>
        <v>主键</v>
      </c>
      <c r="D2" s="4" t="str">
        <f>IF(VLOOKUP($B2,spell_header!$B$2:$G$373,3,FALSE)="√","√","")</f>
        <v>√</v>
      </c>
      <c r="E2" s="4" t="str">
        <f>IF(VLOOKUP($B2,spell_header!$B$2:$G$373,4,FALSE)="√","√","")</f>
        <v/>
      </c>
      <c r="F2" t="str">
        <f>_xlfn.LET(_xlpm.x,VLOOKUP($B2,spell_header!$B$2:$G$373,5,FALSE),IF(_xlpm.x="","",_xlpm.x))</f>
        <v/>
      </c>
      <c r="G2">
        <v>0</v>
      </c>
    </row>
    <row r="3" spans="1:7" ht="15" x14ac:dyDescent="0.2">
      <c r="A3">
        <v>1</v>
      </c>
      <c r="B3" s="1" t="s">
        <v>1422</v>
      </c>
      <c r="C3" t="str">
        <f>_xlfn.LET(_xlpm.x,VLOOKUP($B3,spell_header!$B$2:$G$373,2,FALSE),IF(_xlpm.x="","",_xlpm.x))</f>
        <v>指令对象名称</v>
      </c>
      <c r="D3" s="4" t="str">
        <f>IF(VLOOKUP($B3,spell_header!$B$2:$G$373,3,FALSE)="√","√","")</f>
        <v>√</v>
      </c>
      <c r="E3" s="4" t="str">
        <f>IF(VLOOKUP($B3,spell_header!$B$2:$G$373,4,FALSE)="√","√","")</f>
        <v/>
      </c>
      <c r="F3" t="str">
        <f>_xlfn.LET(_xlpm.x,VLOOKUP($B3,spell_header!$B$2:$G$373,5,FALSE),IF(_xlpm.x="","",_xlpm.x))</f>
        <v/>
      </c>
      <c r="G3">
        <v>1</v>
      </c>
    </row>
    <row r="4" spans="1:7" ht="15" x14ac:dyDescent="0.2">
      <c r="A4">
        <v>2</v>
      </c>
      <c r="B4" s="1" t="s">
        <v>1423</v>
      </c>
      <c r="C4" t="str">
        <f>_xlfn.LET(_xlpm.x,VLOOKUP($B4,spell_header!$B$2:$G$373,2,FALSE),IF(_xlpm.x="","",_xlpm.x))</f>
        <v>脚本名称</v>
      </c>
      <c r="D4" s="4" t="str">
        <f>IF(VLOOKUP($B4,spell_header!$B$2:$G$373,3,FALSE)="√","√","")</f>
        <v>√</v>
      </c>
      <c r="E4" s="4" t="str">
        <f>IF(VLOOKUP($B4,spell_header!$B$2:$G$373,4,FALSE)="√","√","")</f>
        <v/>
      </c>
      <c r="F4" t="str">
        <f>_xlfn.LET(_xlpm.x,VLOOKUP($B4,spell_header!$B$2:$G$373,5,FALSE),IF(_xlpm.x="","",_xlpm.x))</f>
        <v/>
      </c>
      <c r="G4">
        <v>11</v>
      </c>
    </row>
    <row r="5" spans="1:7" ht="15" x14ac:dyDescent="0.2">
      <c r="A5">
        <v>3</v>
      </c>
      <c r="B5" s="1" t="s">
        <v>3722</v>
      </c>
      <c r="C5" t="str">
        <f>_xlfn.LET(_xlpm.x,VLOOKUP($B5,spell_header!$B$2:$G$373,2,FALSE),IF(_xlpm.x="","",_xlpm.x))</f>
        <v/>
      </c>
      <c r="D5" s="4" t="str">
        <f>IF(VLOOKUP($B5,spell_header!$B$2:$G$373,3,FALSE)="√","√","")</f>
        <v>√</v>
      </c>
      <c r="E5" s="4" t="str">
        <f>IF(VLOOKUP($B5,spell_header!$B$2:$G$373,4,FALSE)="√","√","")</f>
        <v>√</v>
      </c>
      <c r="F5" t="str">
        <f>_xlfn.LET(_xlpm.x,VLOOKUP($B5,spell_header!$B$2:$G$373,5,FALSE),IF(_xlpm.x="","",_xlpm.x))</f>
        <v/>
      </c>
      <c r="G5">
        <v>9</v>
      </c>
    </row>
    <row r="6" spans="1:7" ht="15" x14ac:dyDescent="0.2">
      <c r="A6">
        <v>4</v>
      </c>
      <c r="B6" s="1" t="s">
        <v>3723</v>
      </c>
      <c r="C6" t="str">
        <f>_xlfn.LET(_xlpm.x,VLOOKUP($B6,spell_header!$B$2:$G$373,2,FALSE),IF(_xlpm.x="","",_xlpm.x))</f>
        <v>脚本主键</v>
      </c>
      <c r="D6" s="4" t="str">
        <f>IF(VLOOKUP($B6,spell_header!$B$2:$G$373,3,FALSE)="√","√","")</f>
        <v>√</v>
      </c>
      <c r="E6" s="4" t="str">
        <f>IF(VLOOKUP($B6,spell_header!$B$2:$G$373,4,FALSE)="√","√","")</f>
        <v>√</v>
      </c>
      <c r="F6" t="str">
        <f>_xlfn.LET(_xlpm.x,VLOOKUP($B6,spell_header!$B$2:$G$373,5,FALSE),IF(_xlpm.x="","",_xlpm.x))</f>
        <v/>
      </c>
      <c r="G6">
        <v>10</v>
      </c>
    </row>
    <row r="7" spans="1:7" ht="15" x14ac:dyDescent="0.2">
      <c r="A7">
        <v>5</v>
      </c>
      <c r="B7" s="1" t="s">
        <v>1587</v>
      </c>
      <c r="C7" t="str">
        <f>_xlfn.LET(_xlpm.x,VLOOKUP($B7,spell_header!$B$2:$G$373,2,FALSE),IF(_xlpm.x="","",_xlpm.x))</f>
        <v>指令旗标</v>
      </c>
      <c r="D7" s="4" t="str">
        <f>IF(VLOOKUP($B7,spell_header!$B$2:$G$373,3,FALSE)="√","√","")</f>
        <v>√</v>
      </c>
      <c r="E7" s="4" t="str">
        <f>IF(VLOOKUP($B7,spell_header!$B$2:$G$373,4,FALSE)="√","√","")</f>
        <v>√</v>
      </c>
      <c r="F7" t="str">
        <f>_xlfn.LET(_xlpm.x,VLOOKUP($B7,spell_header!$B$2:$G$373,5,FALSE),IF(_xlpm.x="","",_xlpm.x))</f>
        <v/>
      </c>
      <c r="G7">
        <v>13</v>
      </c>
    </row>
    <row r="8" spans="1:7" ht="15" x14ac:dyDescent="0.2">
      <c r="A8">
        <v>6</v>
      </c>
      <c r="B8" s="1" t="s">
        <v>1589</v>
      </c>
      <c r="C8" t="str">
        <f>_xlfn.LET(_xlpm.x,VLOOKUP($B8,spell_header!$B$2:$G$373,2,FALSE),IF(_xlpm.x="","",_xlpm.x))</f>
        <v>作用目标类型旗标</v>
      </c>
      <c r="D8" s="4" t="str">
        <f>IF(VLOOKUP($B8,spell_header!$B$2:$G$373,3,FALSE)="√","√","")</f>
        <v>√</v>
      </c>
      <c r="E8" s="4" t="str">
        <f>IF(VLOOKUP($B8,spell_header!$B$2:$G$373,4,FALSE)="√","√","")</f>
        <v>√</v>
      </c>
      <c r="F8" t="str">
        <f>_xlfn.LET(_xlpm.x,VLOOKUP($B8,spell_header!$B$2:$G$373,5,FALSE),IF(_xlpm.x="","",_xlpm.x))</f>
        <v/>
      </c>
      <c r="G8">
        <v>14</v>
      </c>
    </row>
    <row r="9" spans="1:7" ht="15" x14ac:dyDescent="0.2">
      <c r="A9">
        <v>7</v>
      </c>
      <c r="B9" s="1" t="s">
        <v>1590</v>
      </c>
      <c r="C9" t="str">
        <f>_xlfn.LET(_xlpm.x,VLOOKUP($B9,spell_header!$B$2:$G$373,2,FALSE),IF(_xlpm.x="","",_xlpm.x))</f>
        <v>作用状态旗标</v>
      </c>
      <c r="D9" s="4" t="str">
        <f>IF(VLOOKUP($B9,spell_header!$B$2:$G$373,3,FALSE)="√","√","")</f>
        <v>√</v>
      </c>
      <c r="E9" s="4" t="str">
        <f>IF(VLOOKUP($B9,spell_header!$B$2:$G$373,4,FALSE)="√","√","")</f>
        <v>√</v>
      </c>
      <c r="F9" t="str">
        <f>_xlfn.LET(_xlpm.x,VLOOKUP($B9,spell_header!$B$2:$G$373,5,FALSE),IF(_xlpm.x="","",_xlpm.x))</f>
        <v/>
      </c>
      <c r="G9">
        <v>15</v>
      </c>
    </row>
    <row r="10" spans="1:7" ht="15" x14ac:dyDescent="0.2">
      <c r="A10">
        <v>8</v>
      </c>
      <c r="B10" s="1" t="s">
        <v>1729</v>
      </c>
      <c r="C10" t="str">
        <f>_xlfn.LET(_xlpm.x,VLOOKUP($B10,spell_header!$B$2:$G$373,2,FALSE),IF(_xlpm.x="","",_xlpm.x))</f>
        <v>所需目标单位标签列表</v>
      </c>
      <c r="D10" s="4" t="str">
        <f>IF(VLOOKUP($B10,spell_header!$B$2:$G$373,3,FALSE)="√","√","")</f>
        <v>√</v>
      </c>
      <c r="E10" s="4" t="str">
        <f>IF(VLOOKUP($B10,spell_header!$B$2:$G$373,4,FALSE)="√","√","")</f>
        <v/>
      </c>
      <c r="F10" t="str">
        <f>_xlfn.LET(_xlpm.x,VLOOKUP($B10,spell_header!$B$2:$G$373,5,FALSE),IF(_xlpm.x="","",_xlpm.x))</f>
        <v/>
      </c>
      <c r="G10">
        <v>75</v>
      </c>
    </row>
    <row r="11" spans="1:7" ht="15" x14ac:dyDescent="0.2">
      <c r="A11">
        <v>9</v>
      </c>
      <c r="B11" s="1" t="s">
        <v>1735</v>
      </c>
      <c r="C11" t="str">
        <f>_xlfn.LET(_xlpm.x,VLOOKUP($B11,spell_header!$B$2:$G$373,2,FALSE),IF(_xlpm.x="","",_xlpm.x))</f>
        <v>无效目标单位标签列表</v>
      </c>
      <c r="D11" s="4" t="str">
        <f>IF(VLOOKUP($B11,spell_header!$B$2:$G$373,3,FALSE)="√","√","")</f>
        <v>√</v>
      </c>
      <c r="E11" s="4" t="str">
        <f>IF(VLOOKUP($B11,spell_header!$B$2:$G$373,4,FALSE)="√","√","")</f>
        <v/>
      </c>
      <c r="F11" t="str">
        <f>_xlfn.LET(_xlpm.x,VLOOKUP($B11,spell_header!$B$2:$G$373,5,FALSE),IF(_xlpm.x="","",_xlpm.x))</f>
        <v/>
      </c>
      <c r="G11">
        <v>76</v>
      </c>
    </row>
    <row r="12" spans="1:7" ht="15" x14ac:dyDescent="0.2">
      <c r="A12">
        <v>10</v>
      </c>
      <c r="B12" s="1" t="s">
        <v>1731</v>
      </c>
      <c r="C12" t="str">
        <f>_xlfn.LET(_xlpm.x,VLOOKUP($B12,spell_header!$B$2:$G$373,2,FALSE),IF(_xlpm.x="","",_xlpm.x))</f>
        <v>展现化身所需等级</v>
      </c>
      <c r="D12" s="4" t="str">
        <f>IF(VLOOKUP($B12,spell_header!$B$2:$G$373,3,FALSE)="√","√","")</f>
        <v>√</v>
      </c>
      <c r="E12" s="4" t="str">
        <f>IF(VLOOKUP($B12,spell_header!$B$2:$G$373,4,FALSE)="√","√","")</f>
        <v>√</v>
      </c>
      <c r="F12" t="str">
        <f>_xlfn.LET(_xlpm.x,VLOOKUP($B12,spell_header!$B$2:$G$373,5,FALSE),IF(_xlpm.x="","",_xlpm.x))</f>
        <v/>
      </c>
      <c r="G12">
        <v>7</v>
      </c>
    </row>
    <row r="13" spans="1:7" ht="15" x14ac:dyDescent="0.2">
      <c r="A13">
        <v>11</v>
      </c>
      <c r="B13" s="1" t="s">
        <v>1732</v>
      </c>
      <c r="C13" t="str">
        <f>_xlfn.LET(_xlpm.x,VLOOKUP($B13,spell_header!$B$2:$G$373,2,FALSE),IF(_xlpm.x="","",_xlpm.x))</f>
        <v>指令序号</v>
      </c>
      <c r="D13" s="4" t="str">
        <f>IF(VLOOKUP($B13,spell_header!$B$2:$G$373,3,FALSE)="√","√","")</f>
        <v>√</v>
      </c>
      <c r="E13" s="4" t="str">
        <f>IF(VLOOKUP($B13,spell_header!$B$2:$G$373,4,FALSE)="√","√","")</f>
        <v>√</v>
      </c>
      <c r="F13" t="str">
        <f>_xlfn.LET(_xlpm.x,VLOOKUP($B13,spell_header!$B$2:$G$373,5,FALSE),IF(_xlpm.x="","",_xlpm.x))</f>
        <v/>
      </c>
      <c r="G13">
        <v>2</v>
      </c>
    </row>
    <row r="14" spans="1:7" ht="15" x14ac:dyDescent="0.2">
      <c r="A14">
        <v>12</v>
      </c>
      <c r="B14" s="1" t="s">
        <v>1733</v>
      </c>
      <c r="C14" t="str">
        <f>_xlfn.LET(_xlpm.x,VLOOKUP($B14,spell_header!$B$2:$G$373,2,FALSE),IF(_xlpm.x="","",_xlpm.x))</f>
        <v>可用性</v>
      </c>
      <c r="D14" s="4" t="str">
        <f>IF(VLOOKUP($B14,spell_header!$B$2:$G$373,3,FALSE)="√","√","")</f>
        <v>√</v>
      </c>
      <c r="E14" s="4" t="str">
        <f>IF(VLOOKUP($B14,spell_header!$B$2:$G$373,4,FALSE)="√","√","")</f>
        <v>√</v>
      </c>
      <c r="F14" t="b">
        <f>_xlfn.LET(_xlpm.x,VLOOKUP($B14,spell_header!$B$2:$G$373,5,FALSE),IF(_xlpm.x="","",_xlpm.x))</f>
        <v>0</v>
      </c>
      <c r="G14">
        <v>3</v>
      </c>
    </row>
    <row r="15" spans="1:7" ht="15" x14ac:dyDescent="0.2">
      <c r="A15">
        <v>13</v>
      </c>
      <c r="B15" s="1" t="s">
        <v>1734</v>
      </c>
      <c r="C15" t="str">
        <f>_xlfn.LET(_xlpm.x,VLOOKUP($B15,spell_header!$B$2:$G$373,2,FALSE),IF(_xlpm.x="","",_xlpm.x))</f>
        <v>适用游戏模式</v>
      </c>
      <c r="D15" s="4" t="str">
        <f>IF(VLOOKUP($B15,spell_header!$B$2:$G$373,3,FALSE)="√","√","")</f>
        <v>√</v>
      </c>
      <c r="E15" s="4" t="str">
        <f>IF(VLOOKUP($B15,spell_header!$B$2:$G$373,4,FALSE)="√","√","")</f>
        <v>√</v>
      </c>
      <c r="F15" t="str">
        <f>_xlfn.LET(_xlpm.x,VLOOKUP($B15,spell_header!$B$2:$G$373,5,FALSE),IF(_xlpm.x="","",_xlpm.x))</f>
        <v/>
      </c>
      <c r="G15">
        <v>8</v>
      </c>
    </row>
    <row r="16" spans="1:7" ht="15" x14ac:dyDescent="0.2">
      <c r="A16">
        <v>14</v>
      </c>
      <c r="B16" s="1" t="s">
        <v>1591</v>
      </c>
      <c r="C16" t="str">
        <f>_xlfn.LET(_xlpm.x,VLOOKUP($B16,spell_header!$B$2:$G$373,2,FALSE),IF(_xlpm.x="","",_xlpm.x))</f>
        <v>施法条件</v>
      </c>
      <c r="D16" s="4" t="str">
        <f>IF(VLOOKUP($B16,spell_header!$B$2:$G$373,3,FALSE)="√","√","")</f>
        <v>√</v>
      </c>
      <c r="E16" s="4" t="str">
        <f>IF(VLOOKUP($B16,spell_header!$B$2:$G$373,4,FALSE)="√","√","")</f>
        <v>√</v>
      </c>
      <c r="F16" t="str">
        <f>_xlfn.LET(_xlpm.x,VLOOKUP($B16,spell_header!$B$2:$G$373,5,FALSE),IF(_xlpm.x="","",_xlpm.x))</f>
        <v/>
      </c>
      <c r="G16">
        <v>71</v>
      </c>
    </row>
    <row r="17" spans="1:7" ht="15" x14ac:dyDescent="0.2">
      <c r="A17">
        <v>15</v>
      </c>
      <c r="B17" s="1" t="s">
        <v>1592</v>
      </c>
      <c r="C17" t="str">
        <f>_xlfn.LET(_xlpm.x,VLOOKUP($B17,spell_header!$B$2:$G$373,2,FALSE),IF(_xlpm.x="","",_xlpm.x))</f>
        <v>施法目标条件</v>
      </c>
      <c r="D17" s="4" t="str">
        <f>IF(VLOOKUP($B17,spell_header!$B$2:$G$373,3,FALSE)="√","√","")</f>
        <v>√</v>
      </c>
      <c r="E17" s="4" t="str">
        <f>IF(VLOOKUP($B17,spell_header!$B$2:$G$373,4,FALSE)="√","√","")</f>
        <v>√</v>
      </c>
      <c r="F17" t="str">
        <f>_xlfn.LET(_xlpm.x,VLOOKUP($B17,spell_header!$B$2:$G$373,5,FALSE),IF(_xlpm.x="","",_xlpm.x))</f>
        <v/>
      </c>
      <c r="G17">
        <v>72</v>
      </c>
    </row>
    <row r="18" spans="1:7" ht="15" x14ac:dyDescent="0.2">
      <c r="A18">
        <v>16</v>
      </c>
      <c r="B18" s="1" t="s">
        <v>1593</v>
      </c>
      <c r="C18" t="str">
        <f>_xlfn.LET(_xlpm.x,VLOOKUP($B18,spell_header!$B$2:$G$373,2,FALSE),IF(_xlpm.x="","",_xlpm.x))</f>
        <v>指令别名</v>
      </c>
      <c r="D18" s="4" t="str">
        <f>IF(VLOOKUP($B18,spell_header!$B$2:$G$373,3,FALSE)="√","√","")</f>
        <v>√</v>
      </c>
      <c r="E18" s="4" t="str">
        <f>IF(VLOOKUP($B18,spell_header!$B$2:$G$373,4,FALSE)="√","√","")</f>
        <v>√</v>
      </c>
      <c r="F18" t="str">
        <f>_xlfn.LET(_xlpm.x,VLOOKUP($B18,spell_header!$B$2:$G$373,5,FALSE),IF(_xlpm.x="","",_xlpm.x))</f>
        <v/>
      </c>
      <c r="G18">
        <v>12</v>
      </c>
    </row>
    <row r="19" spans="1:7" ht="15" x14ac:dyDescent="0.2">
      <c r="A19">
        <v>17</v>
      </c>
      <c r="B19" s="1" t="s">
        <v>1594</v>
      </c>
      <c r="C19" t="str">
        <f>_xlfn.LET(_xlpm.x,VLOOKUP($B19,spell_header!$B$2:$G$373,2,FALSE),IF(_xlpm.x="","",_xlpm.x))</f>
        <v>指令标签</v>
      </c>
      <c r="D19" s="4" t="str">
        <f>IF(VLOOKUP($B19,spell_header!$B$2:$G$373,3,FALSE)="√","√","")</f>
        <v>√</v>
      </c>
      <c r="E19" s="4" t="str">
        <f>IF(VLOOKUP($B19,spell_header!$B$2:$G$373,4,FALSE)="√","√","")</f>
        <v>√</v>
      </c>
      <c r="F19" t="str">
        <f>_xlfn.LET(_xlpm.x,VLOOKUP($B19,spell_header!$B$2:$G$373,5,FALSE),IF(_xlpm.x="","",_xlpm.x))</f>
        <v/>
      </c>
      <c r="G19">
        <v>16</v>
      </c>
    </row>
    <row r="20" spans="1:7" ht="15" x14ac:dyDescent="0.2">
      <c r="A20">
        <v>18</v>
      </c>
      <c r="B20" s="1" t="s">
        <v>1595</v>
      </c>
      <c r="C20" t="str">
        <f>_xlfn.LET(_xlpm.x,VLOOKUP($B20,spell_header!$B$2:$G$373,2,FALSE),IF(_xlpm.x="","",_xlpm.x))</f>
        <v>效应因子</v>
      </c>
      <c r="D20" s="4" t="str">
        <f>IF(VLOOKUP($B20,spell_header!$B$2:$G$373,3,FALSE)="√","√","")</f>
        <v>√</v>
      </c>
      <c r="E20" s="4" t="str">
        <f>IF(VLOOKUP($B20,spell_header!$B$2:$G$373,4,FALSE)="√","√","")</f>
        <v>√</v>
      </c>
      <c r="F20" t="str">
        <f>_xlfn.LET(_xlpm.x,VLOOKUP($B20,spell_header!$B$2:$G$373,5,FALSE),IF(_xlpm.x="","",_xlpm.x))</f>
        <v/>
      </c>
      <c r="G20">
        <v>37</v>
      </c>
    </row>
    <row r="21" spans="1:7" ht="15" x14ac:dyDescent="0.2">
      <c r="A21">
        <v>19</v>
      </c>
      <c r="B21" s="1" t="s">
        <v>1596</v>
      </c>
      <c r="C21" t="str">
        <f>_xlfn.LET(_xlpm.x,VLOOKUP($B21,spell_header!$B$2:$G$373,2,FALSE),IF(_xlpm.x="","",_xlpm.x))</f>
        <v>数值</v>
      </c>
      <c r="D21" s="4" t="str">
        <f>IF(VLOOKUP($B21,spell_header!$B$2:$G$373,3,FALSE)="√","√","")</f>
        <v>√</v>
      </c>
      <c r="E21" s="4" t="str">
        <f>IF(VLOOKUP($B21,spell_header!$B$2:$G$373,4,FALSE)="√","√","")</f>
        <v>√</v>
      </c>
      <c r="F21" t="str">
        <f>_xlfn.LET(_xlpm.x,VLOOKUP($B21,spell_header!$B$2:$G$373,5,FALSE),IF(_xlpm.x="","",_xlpm.x))</f>
        <v/>
      </c>
      <c r="G21">
        <v>38</v>
      </c>
    </row>
    <row r="22" spans="1:7" ht="15" x14ac:dyDescent="0.2">
      <c r="A22">
        <v>20</v>
      </c>
      <c r="B22" s="1" t="s">
        <v>1597</v>
      </c>
      <c r="C22" t="str">
        <f>_xlfn.LET(_xlpm.x,VLOOKUP($B22,spell_header!$B$2:$G$373,2,FALSE),IF(_xlpm.x="","",_xlpm.x))</f>
        <v>模式覆盖数值</v>
      </c>
      <c r="D22" s="4" t="str">
        <f>IF(VLOOKUP($B22,spell_header!$B$2:$G$373,3,FALSE)="√","√","")</f>
        <v>√</v>
      </c>
      <c r="E22" s="4" t="str">
        <f>IF(VLOOKUP($B22,spell_header!$B$2:$G$373,4,FALSE)="√","√","")</f>
        <v>√</v>
      </c>
      <c r="F22" t="str">
        <f>_xlfn.LET(_xlpm.x,VLOOKUP($B22,spell_header!$B$2:$G$373,5,FALSE),IF(_xlpm.x="","",_xlpm.x))</f>
        <v/>
      </c>
      <c r="G22">
        <v>39</v>
      </c>
    </row>
    <row r="23" spans="1:7" ht="15" x14ac:dyDescent="0.2">
      <c r="A23">
        <v>21</v>
      </c>
      <c r="B23" s="1" t="s">
        <v>1598</v>
      </c>
      <c r="C23" t="str">
        <f>_xlfn.LET(_xlpm.x,VLOOKUP($B23,spell_header!$B$2:$G$373,2,FALSE),IF(_xlpm.x="","",_xlpm.x))</f>
        <v>模式覆盖基础充能时间</v>
      </c>
      <c r="D23" s="4" t="str">
        <f>IF(VLOOKUP($B23,spell_header!$B$2:$G$373,3,FALSE)="√","√","")</f>
        <v>√</v>
      </c>
      <c r="E23" s="4" t="str">
        <f>IF(VLOOKUP($B23,spell_header!$B$2:$G$373,4,FALSE)="√","√","")</f>
        <v>√</v>
      </c>
      <c r="F23" t="str">
        <f>_xlfn.LET(_xlpm.x,VLOOKUP($B23,spell_header!$B$2:$G$373,5,FALSE),IF(_xlpm.x="","",_xlpm.x))</f>
        <v/>
      </c>
      <c r="G23">
        <v>34</v>
      </c>
    </row>
    <row r="24" spans="1:7" ht="15" x14ac:dyDescent="0.2">
      <c r="A24">
        <v>22</v>
      </c>
      <c r="B24" s="1" t="s">
        <v>1599</v>
      </c>
      <c r="C24" t="str">
        <f>_xlfn.LET(_xlpm.x,VLOOKUP($B24,spell_header!$B$2:$G$373,2,FALSE),IF(_xlpm.x="","",_xlpm.x))</f>
        <v>模式覆盖基础冷却时间</v>
      </c>
      <c r="D24" s="4" t="str">
        <f>IF(VLOOKUP($B24,spell_header!$B$2:$G$373,3,FALSE)="√","√","")</f>
        <v>√</v>
      </c>
      <c r="E24" s="4" t="str">
        <f>IF(VLOOKUP($B24,spell_header!$B$2:$G$373,4,FALSE)="√","√","")</f>
        <v>√</v>
      </c>
      <c r="F24" t="str">
        <f>_xlfn.LET(_xlpm.x,VLOOKUP($B24,spell_header!$B$2:$G$373,5,FALSE),IF(_xlpm.x="","",_xlpm.x))</f>
        <v/>
      </c>
      <c r="G24">
        <v>27</v>
      </c>
    </row>
    <row r="25" spans="1:7" ht="15" x14ac:dyDescent="0.2">
      <c r="A25">
        <v>23</v>
      </c>
      <c r="B25" s="1" t="s">
        <v>1600</v>
      </c>
      <c r="C25" t="str">
        <f>_xlfn.LET(_xlpm.x,VLOOKUP($B25,spell_header!$B$2:$G$373,2,FALSE),IF(_xlpm.x="","",_xlpm.x))</f>
        <v>数值计算</v>
      </c>
      <c r="D25" s="4" t="str">
        <f>IF(VLOOKUP($B25,spell_header!$B$2:$G$373,3,FALSE)="√","√","")</f>
        <v>√</v>
      </c>
      <c r="E25" s="4" t="str">
        <f>IF(VLOOKUP($B25,spell_header!$B$2:$G$373,4,FALSE)="√","√","")</f>
        <v>√</v>
      </c>
      <c r="F25" t="str">
        <f>_xlfn.LET(_xlpm.x,VLOOKUP($B25,spell_header!$B$2:$G$373,5,FALSE),IF(_xlpm.x="","",_xlpm.x))</f>
        <v/>
      </c>
      <c r="G25">
        <v>40</v>
      </c>
    </row>
    <row r="26" spans="1:7" ht="15" x14ac:dyDescent="0.2">
      <c r="A26">
        <v>24</v>
      </c>
      <c r="B26" s="1" t="s">
        <v>1601</v>
      </c>
      <c r="C26" t="str">
        <f>_xlfn.LET(_xlpm.x,VLOOKUP($B26,spell_header!$B$2:$G$373,2,FALSE),IF(_xlpm.x="","",_xlpm.x))</f>
        <v>系数1</v>
      </c>
      <c r="D26" s="4" t="str">
        <f>IF(VLOOKUP($B26,spell_header!$B$2:$G$373,3,FALSE)="√","√","")</f>
        <v>√</v>
      </c>
      <c r="E26" s="4" t="str">
        <f>IF(VLOOKUP($B26,spell_header!$B$2:$G$373,4,FALSE)="√","√","")</f>
        <v>√</v>
      </c>
      <c r="F26" t="str">
        <f>_xlfn.LET(_xlpm.x,VLOOKUP($B26,spell_header!$B$2:$G$373,5,FALSE),IF(_xlpm.x="","",_xlpm.x))</f>
        <v/>
      </c>
      <c r="G26">
        <v>42</v>
      </c>
    </row>
    <row r="27" spans="1:7" ht="15" x14ac:dyDescent="0.2">
      <c r="A27">
        <v>25</v>
      </c>
      <c r="B27" s="1" t="s">
        <v>1602</v>
      </c>
      <c r="C27" t="str">
        <f>_xlfn.LET(_xlpm.x,VLOOKUP($B27,spell_header!$B$2:$G$373,2,FALSE),IF(_xlpm.x="","",_xlpm.x))</f>
        <v>系数2</v>
      </c>
      <c r="D27" s="4" t="str">
        <f>IF(VLOOKUP($B27,spell_header!$B$2:$G$373,3,FALSE)="√","√","")</f>
        <v>√</v>
      </c>
      <c r="E27" s="4" t="str">
        <f>IF(VLOOKUP($B27,spell_header!$B$2:$G$373,4,FALSE)="√","√","")</f>
        <v>√</v>
      </c>
      <c r="F27" t="str">
        <f>_xlfn.LET(_xlpm.x,VLOOKUP($B27,spell_header!$B$2:$G$373,5,FALSE),IF(_xlpm.x="","",_xlpm.x))</f>
        <v/>
      </c>
      <c r="G27">
        <v>43</v>
      </c>
    </row>
    <row r="28" spans="1:7" ht="15" x14ac:dyDescent="0.2">
      <c r="A28">
        <v>26</v>
      </c>
      <c r="B28" s="1" t="s">
        <v>1603</v>
      </c>
      <c r="C28" t="str">
        <f>_xlfn.LET(_xlpm.x,VLOOKUP($B28,spell_header!$B$2:$G$373,2,FALSE),IF(_xlpm.x="","",_xlpm.x))</f>
        <v>动画名称</v>
      </c>
      <c r="D28" s="4" t="str">
        <f>IF(VLOOKUP($B28,spell_header!$B$2:$G$373,3,FALSE)="√","√","")</f>
        <v>√</v>
      </c>
      <c r="E28" s="4" t="str">
        <f>IF(VLOOKUP($B28,spell_header!$B$2:$G$373,4,FALSE)="√","√","")</f>
        <v>√</v>
      </c>
      <c r="F28" t="str">
        <f>_xlfn.LET(_xlpm.x,VLOOKUP($B28,spell_header!$B$2:$G$373,5,FALSE),IF(_xlpm.x="","",_xlpm.x))</f>
        <v/>
      </c>
      <c r="G28">
        <v>131</v>
      </c>
    </row>
    <row r="29" spans="1:7" ht="15" x14ac:dyDescent="0.2">
      <c r="A29">
        <v>27</v>
      </c>
      <c r="B29" s="1" t="s">
        <v>1604</v>
      </c>
      <c r="C29" t="str">
        <f>_xlfn.LET(_xlpm.x,VLOOKUP($B29,spell_header!$B$2:$G$373,2,FALSE),IF(_xlpm.x="","",_xlpm.x))</f>
        <v>动画循环名称</v>
      </c>
      <c r="D29" s="4" t="str">
        <f>IF(VLOOKUP($B29,spell_header!$B$2:$G$373,3,FALSE)="√","√","")</f>
        <v>√</v>
      </c>
      <c r="E29" s="4" t="str">
        <f>IF(VLOOKUP($B29,spell_header!$B$2:$G$373,4,FALSE)="√","√","")</f>
        <v>√</v>
      </c>
      <c r="F29" t="str">
        <f>_xlfn.LET(_xlpm.x,VLOOKUP($B29,spell_header!$B$2:$G$373,5,FALSE),IF(_xlpm.x="","",_xlpm.x))</f>
        <v/>
      </c>
      <c r="G29">
        <v>132</v>
      </c>
    </row>
    <row r="30" spans="1:7" ht="15" x14ac:dyDescent="0.2">
      <c r="A30">
        <v>28</v>
      </c>
      <c r="B30" s="1" t="s">
        <v>1605</v>
      </c>
      <c r="C30" t="str">
        <f>_xlfn.LET(_xlpm.x,VLOOKUP($B30,spell_header!$B$2:$G$373,2,FALSE),IF(_xlpm.x="","",_xlpm.x))</f>
        <v>淡出动画名称</v>
      </c>
      <c r="D30" s="4" t="str">
        <f>IF(VLOOKUP($B30,spell_header!$B$2:$G$373,3,FALSE)="√","√","")</f>
        <v>√</v>
      </c>
      <c r="E30" s="4" t="str">
        <f>IF(VLOOKUP($B30,spell_header!$B$2:$G$373,4,FALSE)="√","√","")</f>
        <v>√</v>
      </c>
      <c r="F30" t="str">
        <f>_xlfn.LET(_xlpm.x,VLOOKUP($B30,spell_header!$B$2:$G$373,5,FALSE),IF(_xlpm.x="","",_xlpm.x))</f>
        <v/>
      </c>
      <c r="G30">
        <v>133</v>
      </c>
    </row>
    <row r="31" spans="1:7" ht="15" x14ac:dyDescent="0.2">
      <c r="A31">
        <v>29</v>
      </c>
      <c r="B31" s="1" t="s">
        <v>3754</v>
      </c>
      <c r="C31" t="str">
        <f>_xlfn.LET(_xlpm.x,VLOOKUP($B31,spell_header!$B$2:$G$373,2,FALSE),IF(_xlpm.x="","",_xlpm.x))</f>
        <v>收尾动画名称</v>
      </c>
      <c r="D31" s="4" t="str">
        <f>IF(VLOOKUP($B31,spell_header!$B$2:$G$373,3,FALSE)="√","√","")</f>
        <v>√</v>
      </c>
      <c r="E31" s="4" t="str">
        <f>IF(VLOOKUP($B31,spell_header!$B$2:$G$373,4,FALSE)="√","√","")</f>
        <v>√</v>
      </c>
      <c r="F31" t="str">
        <f>_xlfn.LET(_xlpm.x,VLOOKUP($B31,spell_header!$B$2:$G$373,5,FALSE),IF(_xlpm.x="","",_xlpm.x))</f>
        <v/>
      </c>
      <c r="G31">
        <v>134</v>
      </c>
    </row>
    <row r="32" spans="1:7" ht="15" x14ac:dyDescent="0.2">
      <c r="A32">
        <v>30</v>
      </c>
      <c r="B32" s="1" t="s">
        <v>1606</v>
      </c>
      <c r="C32" t="str">
        <f>_xlfn.LET(_xlpm.x,VLOOKUP($B32,spell_header!$B$2:$G$373,2,FALSE),IF(_xlpm.x="","",_xlpm.x))</f>
        <v>缩略图路径列表</v>
      </c>
      <c r="D32" s="4" t="str">
        <f>IF(VLOOKUP($B32,spell_header!$B$2:$G$373,3,FALSE)="√","√","")</f>
        <v>√</v>
      </c>
      <c r="E32" s="4" t="str">
        <f>IF(VLOOKUP($B32,spell_header!$B$2:$G$373,4,FALSE)="√","√","")</f>
        <v>√</v>
      </c>
      <c r="F32" t="str">
        <f>_xlfn.LET(_xlpm.x,VLOOKUP($B32,spell_header!$B$2:$G$373,5,FALSE),IF(_xlpm.x="","",_xlpm.x))</f>
        <v/>
      </c>
      <c r="G32">
        <v>243</v>
      </c>
    </row>
    <row r="33" spans="1:7" ht="15" x14ac:dyDescent="0.2">
      <c r="A33">
        <v>31</v>
      </c>
      <c r="B33" s="1" t="s">
        <v>1607</v>
      </c>
      <c r="C33" t="str">
        <f>_xlfn.LET(_xlpm.x,VLOOKUP($B33,spell_header!$B$2:$G$373,2,FALSE),IF(_xlpm.x="","",_xlpm.x))</f>
        <v>获得技能时的关键字</v>
      </c>
      <c r="D33" s="4" t="str">
        <f>IF(VLOOKUP($B33,spell_header!$B$2:$G$373,3,FALSE)="√","√","")</f>
        <v>√</v>
      </c>
      <c r="E33" s="4" t="str">
        <f>IF(VLOOKUP($B33,spell_header!$B$2:$G$373,4,FALSE)="√","√","")</f>
        <v>√</v>
      </c>
      <c r="F33" t="str">
        <f>_xlfn.LET(_xlpm.x,VLOOKUP($B33,spell_header!$B$2:$G$373,5,FALSE),IF(_xlpm.x="","",_xlpm.x))</f>
        <v/>
      </c>
      <c r="G33">
        <v>78</v>
      </c>
    </row>
    <row r="34" spans="1:7" ht="15" x14ac:dyDescent="0.2">
      <c r="A34">
        <v>32</v>
      </c>
      <c r="B34" s="1" t="s">
        <v>1608</v>
      </c>
      <c r="C34" t="str">
        <f>_xlfn.LET(_xlpm.x,VLOOKUP($B34,spell_header!$B$2:$G$373,2,FALSE),IF(_xlpm.x="","",_xlpm.x))</f>
        <v>被动技能冷却时间受技能急速影响</v>
      </c>
      <c r="D34" s="4" t="str">
        <f>IF(VLOOKUP($B34,spell_header!$B$2:$G$373,3,FALSE)="√","√","")</f>
        <v>√</v>
      </c>
      <c r="E34" s="4" t="str">
        <f>IF(VLOOKUP($B34,spell_header!$B$2:$G$373,4,FALSE)="√","√","")</f>
        <v>√</v>
      </c>
      <c r="F34" t="b">
        <f>_xlfn.LET(_xlpm.x,VLOOKUP($B34,spell_header!$B$2:$G$373,5,FALSE),IF(_xlpm.x="","",_xlpm.x))</f>
        <v>0</v>
      </c>
      <c r="G34">
        <v>28</v>
      </c>
    </row>
    <row r="35" spans="1:7" ht="15" x14ac:dyDescent="0.2">
      <c r="A35">
        <v>33</v>
      </c>
      <c r="B35" s="1" t="s">
        <v>1609</v>
      </c>
      <c r="C35" t="str">
        <f>_xlfn.LET(_xlpm.x,VLOOKUP($B35,spell_header!$B$2:$G$373,2,FALSE),IF(_xlpm.x="","",_xlpm.x))</f>
        <v>缩略图路径</v>
      </c>
      <c r="D35" s="4" t="str">
        <f>IF(VLOOKUP($B35,spell_header!$B$2:$G$373,3,FALSE)="√","√","")</f>
        <v>√</v>
      </c>
      <c r="E35" s="4" t="str">
        <f>IF(VLOOKUP($B35,spell_header!$B$2:$G$373,4,FALSE)="√","√","")</f>
        <v>√</v>
      </c>
      <c r="F35" t="str">
        <f>_xlfn.LET(_xlpm.x,VLOOKUP($B35,spell_header!$B$2:$G$373,5,FALSE),IF(_xlpm.x="","",_xlpm.x))</f>
        <v/>
      </c>
      <c r="G35">
        <v>242</v>
      </c>
    </row>
    <row r="36" spans="1:7" ht="15" x14ac:dyDescent="0.2">
      <c r="A36">
        <v>34</v>
      </c>
      <c r="B36" s="1" t="s">
        <v>1610</v>
      </c>
      <c r="C36" t="str">
        <f>_xlfn.LET(_xlpm.x,VLOOKUP($B36,spell_header!$B$2:$G$373,2,FALSE),IF(_xlpm.x="","",_xlpm.x))</f>
        <v>小地图缩略图路径</v>
      </c>
      <c r="D36" s="4" t="str">
        <f>IF(VLOOKUP($B36,spell_header!$B$2:$G$373,3,FALSE)="√","√","")</f>
        <v>√</v>
      </c>
      <c r="E36" s="4" t="str">
        <f>IF(VLOOKUP($B36,spell_header!$B$2:$G$373,4,FALSE)="√","√","")</f>
        <v>√</v>
      </c>
      <c r="F36" t="str">
        <f>_xlfn.LET(_xlpm.x,VLOOKUP($B36,spell_header!$B$2:$G$373,5,FALSE),IF(_xlpm.x="","",_xlpm.x))</f>
        <v/>
      </c>
      <c r="G36">
        <v>244</v>
      </c>
    </row>
    <row r="37" spans="1:7" ht="15" x14ac:dyDescent="0.2">
      <c r="A37">
        <v>35</v>
      </c>
      <c r="B37" s="1" t="s">
        <v>1611</v>
      </c>
      <c r="C37" t="str">
        <f>_xlfn.LET(_xlpm.x,VLOOKUP($B37,spell_header!$B$2:$G$373,2,FALSE),IF(_xlpm.x="","",_xlpm.x))</f>
        <v>施法时间</v>
      </c>
      <c r="D37" s="4" t="str">
        <f>IF(VLOOKUP($B37,spell_header!$B$2:$G$373,3,FALSE)="√","√","")</f>
        <v>√</v>
      </c>
      <c r="E37" s="4" t="str">
        <f>IF(VLOOKUP($B37,spell_header!$B$2:$G$373,4,FALSE)="√","√","")</f>
        <v>√</v>
      </c>
      <c r="F37" t="str">
        <f>_xlfn.LET(_xlpm.x,VLOOKUP($B37,spell_header!$B$2:$G$373,5,FALSE),IF(_xlpm.x="","",_xlpm.x))</f>
        <v/>
      </c>
      <c r="G37">
        <v>56</v>
      </c>
    </row>
    <row r="38" spans="1:7" ht="15" x14ac:dyDescent="0.2">
      <c r="A38">
        <v>36</v>
      </c>
      <c r="B38" s="1" t="s">
        <v>3725</v>
      </c>
      <c r="C38" t="str">
        <f>_xlfn.LET(_xlpm.x,VLOOKUP($B38,spell_header!$B$2:$G$373,2,FALSE),IF(_xlpm.x="","",_xlpm.x))</f>
        <v/>
      </c>
      <c r="D38" s="4" t="str">
        <f>IF(VLOOKUP($B38,spell_header!$B$2:$G$373,3,FALSE)="√","√","")</f>
        <v>√</v>
      </c>
      <c r="E38" s="4" t="str">
        <f>IF(VLOOKUP($B38,spell_header!$B$2:$G$373,4,FALSE)="√","√","")</f>
        <v/>
      </c>
      <c r="F38" t="str">
        <f>_xlfn.LET(_xlpm.x,VLOOKUP($B38,spell_header!$B$2:$G$373,5,FALSE),IF(_xlpm.x="","",_xlpm.x))</f>
        <v/>
      </c>
      <c r="G38">
        <v>83</v>
      </c>
    </row>
    <row r="39" spans="1:7" ht="15" x14ac:dyDescent="0.2">
      <c r="A39">
        <v>37</v>
      </c>
      <c r="B39" s="1" t="s">
        <v>3726</v>
      </c>
      <c r="C39" t="str">
        <f>_xlfn.LET(_xlpm.x,VLOOKUP($B39,spell_header!$B$2:$G$373,2,FALSE),IF(_xlpm.x="","",_xlpm.x))</f>
        <v/>
      </c>
      <c r="D39" s="4" t="str">
        <f>IF(VLOOKUP($B39,spell_header!$B$2:$G$373,3,FALSE)="√","√","")</f>
        <v>√</v>
      </c>
      <c r="E39" s="4" t="str">
        <f>IF(VLOOKUP($B39,spell_header!$B$2:$G$373,4,FALSE)="√","√","")</f>
        <v/>
      </c>
      <c r="F39" t="str">
        <f>_xlfn.LET(_xlpm.x,VLOOKUP($B39,spell_header!$B$2:$G$373,5,FALSE),IF(_xlpm.x="","",_xlpm.x))</f>
        <v/>
      </c>
      <c r="G39">
        <v>84</v>
      </c>
    </row>
    <row r="40" spans="1:7" ht="15" x14ac:dyDescent="0.2">
      <c r="A40">
        <v>38</v>
      </c>
      <c r="B40" s="1" t="s">
        <v>1612</v>
      </c>
      <c r="C40" t="str">
        <f>_xlfn.LET(_xlpm.x,VLOOKUP($B40,spell_header!$B$2:$G$373,2,FALSE),IF(_xlpm.x="","",_xlpm.x))</f>
        <v>引导持续时间</v>
      </c>
      <c r="D40" s="4" t="str">
        <f>IF(VLOOKUP($B40,spell_header!$B$2:$G$373,3,FALSE)="√","√","")</f>
        <v>√</v>
      </c>
      <c r="E40" s="4" t="str">
        <f>IF(VLOOKUP($B40,spell_header!$B$2:$G$373,4,FALSE)="√","√","")</f>
        <v>√</v>
      </c>
      <c r="F40" t="str">
        <f>_xlfn.LET(_xlpm.x,VLOOKUP($B40,spell_header!$B$2:$G$373,5,FALSE),IF(_xlpm.x="","",_xlpm.x))</f>
        <v/>
      </c>
      <c r="G40">
        <v>57</v>
      </c>
    </row>
    <row r="41" spans="1:7" ht="15" x14ac:dyDescent="0.2">
      <c r="A41">
        <v>39</v>
      </c>
      <c r="B41" s="1" t="s">
        <v>1613</v>
      </c>
      <c r="C41" t="str">
        <f>_xlfn.LET(_xlpm.x,VLOOKUP($B41,spell_header!$B$2:$G$373,2,FALSE),IF(_xlpm.x="","",_xlpm.x))</f>
        <v>基础冷却时间</v>
      </c>
      <c r="D41" s="4" t="str">
        <f>IF(VLOOKUP($B41,spell_header!$B$2:$G$373,3,FALSE)="√","√","")</f>
        <v>√</v>
      </c>
      <c r="E41" s="4" t="str">
        <f>IF(VLOOKUP($B41,spell_header!$B$2:$G$373,4,FALSE)="√","√","")</f>
        <v>√</v>
      </c>
      <c r="F41" t="str">
        <f>_xlfn.LET(_xlpm.x,VLOOKUP($B41,spell_header!$B$2:$G$373,5,FALSE),IF(_xlpm.x="","",_xlpm.x))</f>
        <v/>
      </c>
      <c r="G41">
        <v>24</v>
      </c>
    </row>
    <row r="42" spans="1:7" ht="15" x14ac:dyDescent="0.2">
      <c r="A42">
        <v>40</v>
      </c>
      <c r="B42" s="1" t="s">
        <v>3756</v>
      </c>
      <c r="C42" t="str">
        <f>_xlfn.LET(_xlpm.x,VLOOKUP($B42,spell_header!$B$2:$G$373,2,FALSE),IF(_xlpm.x="","",_xlpm.x))</f>
        <v>基础冷却时间值</v>
      </c>
      <c r="D42" s="4" t="str">
        <f>IF(VLOOKUP($B42,spell_header!$B$2:$G$373,3,FALSE)="√","√","")</f>
        <v>√</v>
      </c>
      <c r="E42" s="4" t="str">
        <f>IF(VLOOKUP($B42,spell_header!$B$2:$G$373,4,FALSE)="√","√","")</f>
        <v/>
      </c>
      <c r="F42" t="str">
        <f>_xlfn.LET(_xlpm.x,VLOOKUP($B42,spell_header!$B$2:$G$373,5,FALSE),IF(_xlpm.x="","",_xlpm.x))</f>
        <v/>
      </c>
      <c r="G42">
        <v>25</v>
      </c>
    </row>
    <row r="43" spans="1:7" ht="15" x14ac:dyDescent="0.2">
      <c r="A43">
        <v>41</v>
      </c>
      <c r="B43" s="1" t="s">
        <v>3757</v>
      </c>
      <c r="C43" t="str">
        <f>_xlfn.LET(_xlpm.x,VLOOKUP($B43,spell_header!$B$2:$G$373,2,FALSE),IF(_xlpm.x="","",_xlpm.x))</f>
        <v>基础冷却时间值简化表示</v>
      </c>
      <c r="D43" s="4" t="str">
        <f>IF(VLOOKUP($B43,spell_header!$B$2:$G$373,3,FALSE)="√","√","")</f>
        <v>√</v>
      </c>
      <c r="E43" s="4" t="str">
        <f>IF(VLOOKUP($B43,spell_header!$B$2:$G$373,4,FALSE)="√","√","")</f>
        <v>√</v>
      </c>
      <c r="F43" t="str">
        <f>_xlfn.LET(_xlpm.x,VLOOKUP($B43,spell_header!$B$2:$G$373,5,FALSE),IF(_xlpm.x="","",_xlpm.x))</f>
        <v/>
      </c>
      <c r="G43">
        <v>26</v>
      </c>
    </row>
    <row r="44" spans="1:7" ht="15" x14ac:dyDescent="0.2">
      <c r="A44">
        <v>42</v>
      </c>
      <c r="B44" s="1" t="s">
        <v>1614</v>
      </c>
      <c r="C44" t="str">
        <f>_xlfn.LET(_xlpm.x,VLOOKUP($B44,spell_header!$B$2:$G$373,2,FALSE),IF(_xlpm.x="","",_xlpm.x))</f>
        <v>施法偏移百分比</v>
      </c>
      <c r="D44" s="4" t="str">
        <f>IF(VLOOKUP($B44,spell_header!$B$2:$G$373,3,FALSE)="√","√","")</f>
        <v>√</v>
      </c>
      <c r="E44" s="4" t="str">
        <f>IF(VLOOKUP($B44,spell_header!$B$2:$G$373,4,FALSE)="√","√","")</f>
        <v>√</v>
      </c>
      <c r="F44" t="str">
        <f>_xlfn.LET(_xlpm.x,VLOOKUP($B44,spell_header!$B$2:$G$373,5,FALSE),IF(_xlpm.x="","",_xlpm.x))</f>
        <v/>
      </c>
      <c r="G44">
        <v>64</v>
      </c>
    </row>
    <row r="45" spans="1:7" ht="15" x14ac:dyDescent="0.2">
      <c r="A45">
        <v>43</v>
      </c>
      <c r="B45" s="1" t="s">
        <v>1615</v>
      </c>
      <c r="C45" t="str">
        <f>_xlfn.LET(_xlpm.x,VLOOKUP($B45,spell_header!$B$2:$G$373,2,FALSE),IF(_xlpm.x="","",_xlpm.x))</f>
        <v>施法总时间百分比</v>
      </c>
      <c r="D45" s="4" t="str">
        <f>IF(VLOOKUP($B45,spell_header!$B$2:$G$373,3,FALSE)="√","√","")</f>
        <v>√</v>
      </c>
      <c r="E45" s="4" t="str">
        <f>IF(VLOOKUP($B45,spell_header!$B$2:$G$373,4,FALSE)="√","√","")</f>
        <v>√</v>
      </c>
      <c r="F45" t="str">
        <f>_xlfn.LET(_xlpm.x,VLOOKUP($B45,spell_header!$B$2:$G$373,5,FALSE),IF(_xlpm.x="","",_xlpm.x))</f>
        <v/>
      </c>
      <c r="G45">
        <v>65</v>
      </c>
    </row>
    <row r="46" spans="1:7" ht="15" x14ac:dyDescent="0.2">
      <c r="A46">
        <v>44</v>
      </c>
      <c r="B46" s="1" t="s">
        <v>1616</v>
      </c>
      <c r="C46" t="str">
        <f>_xlfn.LET(_xlpm.x,VLOOKUP($B46,spell_header!$B$2:$G$373,2,FALSE),IF(_xlpm.x="","",_xlpm.x))</f>
        <v>冷却计时时间点</v>
      </c>
      <c r="D46" s="4" t="str">
        <f>IF(VLOOKUP($B46,spell_header!$B$2:$G$373,3,FALSE)="√","√","")</f>
        <v>√</v>
      </c>
      <c r="E46" s="4" t="str">
        <f>IF(VLOOKUP($B46,spell_header!$B$2:$G$373,4,FALSE)="√","√","")</f>
        <v>√</v>
      </c>
      <c r="F46" t="str">
        <f>_xlfn.LET(_xlpm.x,VLOOKUP($B46,spell_header!$B$2:$G$373,5,FALSE),IF(_xlpm.x="","",_xlpm.x))</f>
        <v/>
      </c>
      <c r="G46">
        <v>30</v>
      </c>
    </row>
    <row r="47" spans="1:7" ht="15" x14ac:dyDescent="0.2">
      <c r="A47">
        <v>45</v>
      </c>
      <c r="B47" s="1" t="s">
        <v>1617</v>
      </c>
      <c r="C47" t="str">
        <f>_xlfn.LET(_xlpm.x,VLOOKUP($B47,spell_header!$B$2:$G$373,2,FALSE),IF(_xlpm.x="","",_xlpm.x))</f>
        <v>施法锁定延迟</v>
      </c>
      <c r="D47" s="4" t="str">
        <f>IF(VLOOKUP($B47,spell_header!$B$2:$G$373,3,FALSE)="√","√","")</f>
        <v>√</v>
      </c>
      <c r="E47" s="4" t="str">
        <f>IF(VLOOKUP($B47,spell_header!$B$2:$G$373,4,FALSE)="√","√","")</f>
        <v>√</v>
      </c>
      <c r="F47" t="b">
        <f>_xlfn.LET(_xlpm.x,VLOOKUP($B47,spell_header!$B$2:$G$373,5,FALSE),IF(_xlpm.x="","",_xlpm.x))</f>
        <v>0</v>
      </c>
      <c r="G47">
        <v>70</v>
      </c>
    </row>
    <row r="48" spans="1:7" ht="15" x14ac:dyDescent="0.2">
      <c r="A48">
        <v>46</v>
      </c>
      <c r="B48" s="1" t="s">
        <v>1618</v>
      </c>
      <c r="C48" t="str">
        <f>_xlfn.LET(_xlpm.x,VLOOKUP($B48,spell_header!$B$2:$G$373,2,FALSE),IF(_xlpm.x="","",_xlpm.x))</f>
        <v>施法前锁定状态时间</v>
      </c>
      <c r="D48" s="4" t="str">
        <f>IF(VLOOKUP($B48,spell_header!$B$2:$G$373,3,FALSE)="√","√","")</f>
        <v>√</v>
      </c>
      <c r="E48" s="4" t="str">
        <f>IF(VLOOKUP($B48,spell_header!$B$2:$G$373,4,FALSE)="√","√","")</f>
        <v>√</v>
      </c>
      <c r="F48" t="str">
        <f>_xlfn.LET(_xlpm.x,VLOOKUP($B48,spell_header!$B$2:$G$373,5,FALSE),IF(_xlpm.x="","",_xlpm.x))</f>
        <v/>
      </c>
      <c r="G48">
        <v>66</v>
      </c>
    </row>
    <row r="49" spans="1:7" ht="15" x14ac:dyDescent="0.2">
      <c r="A49">
        <v>47</v>
      </c>
      <c r="B49" s="1" t="s">
        <v>1765</v>
      </c>
      <c r="C49" t="str">
        <f>_xlfn.LET(_xlpm.x,VLOOKUP($B49,spell_header!$B$2:$G$373,2,FALSE),IF(_xlpm.x="","",_xlpm.x))</f>
        <v>施法前锁定状态时间计算</v>
      </c>
      <c r="D49" s="4" t="str">
        <f>IF(VLOOKUP($B49,spell_header!$B$2:$G$373,3,FALSE)="√","√","")</f>
        <v>√</v>
      </c>
      <c r="E49" s="4" t="str">
        <f>IF(VLOOKUP($B49,spell_header!$B$2:$G$373,4,FALSE)="√","√","")</f>
        <v/>
      </c>
      <c r="F49" t="str">
        <f>_xlfn.LET(_xlpm.x,VLOOKUP($B49,spell_header!$B$2:$G$373,5,FALSE),IF(_xlpm.x="","",_xlpm.x))</f>
        <v/>
      </c>
      <c r="G49">
        <v>67</v>
      </c>
    </row>
    <row r="50" spans="1:7" ht="15" x14ac:dyDescent="0.2">
      <c r="A50">
        <v>48</v>
      </c>
      <c r="B50" s="1" t="s">
        <v>1619</v>
      </c>
      <c r="C50" t="str">
        <f>_xlfn.LET(_xlpm.x,VLOOKUP($B50,spell_header!$B$2:$G$373,2,FALSE),IF(_xlpm.x="","",_xlpm.x))</f>
        <v>施法后锁定状态时间</v>
      </c>
      <c r="D50" s="4" t="str">
        <f>IF(VLOOKUP($B50,spell_header!$B$2:$G$373,3,FALSE)="√","√","")</f>
        <v>√</v>
      </c>
      <c r="E50" s="4" t="str">
        <f>IF(VLOOKUP($B50,spell_header!$B$2:$G$373,4,FALSE)="√","√","")</f>
        <v>√</v>
      </c>
      <c r="F50" t="str">
        <f>_xlfn.LET(_xlpm.x,VLOOKUP($B50,spell_header!$B$2:$G$373,5,FALSE),IF(_xlpm.x="","",_xlpm.x))</f>
        <v/>
      </c>
      <c r="G50">
        <v>68</v>
      </c>
    </row>
    <row r="51" spans="1:7" ht="15" x14ac:dyDescent="0.2">
      <c r="A51">
        <v>49</v>
      </c>
      <c r="B51" s="1" t="s">
        <v>1620</v>
      </c>
      <c r="C51" t="str">
        <f>_xlfn.LET(_xlpm.x,VLOOKUP($B51,spell_header!$B$2:$G$373,2,FALSE),IF(_xlpm.x="","",_xlpm.x))</f>
        <v>施法后更新施法者位置参数</v>
      </c>
      <c r="D51" s="4" t="str">
        <f>IF(VLOOKUP($B51,spell_header!$B$2:$G$373,3,FALSE)="√","√","")</f>
        <v>√</v>
      </c>
      <c r="E51" s="4" t="str">
        <f>IF(VLOOKUP($B51,spell_header!$B$2:$G$373,4,FALSE)="√","√","")</f>
        <v>√</v>
      </c>
      <c r="F51" t="str">
        <f>_xlfn.LET(_xlpm.x,VLOOKUP($B51,spell_header!$B$2:$G$373,5,FALSE),IF(_xlpm.x="","",_xlpm.x))</f>
        <v/>
      </c>
      <c r="G51">
        <v>69</v>
      </c>
    </row>
    <row r="52" spans="1:7" ht="15" x14ac:dyDescent="0.2">
      <c r="A52">
        <v>50</v>
      </c>
      <c r="B52" s="1" t="s">
        <v>1621</v>
      </c>
      <c r="C52" t="str">
        <f>_xlfn.LET(_xlpm.x,VLOOKUP($B52,spell_header!$B$2:$G$373,2,FALSE),IF(_xlpm.x="","",_xlpm.x))</f>
        <v>被动技能增益</v>
      </c>
      <c r="D52" s="4" t="str">
        <f>IF(VLOOKUP($B52,spell_header!$B$2:$G$373,3,FALSE)="√","√","")</f>
        <v>√</v>
      </c>
      <c r="E52" s="4" t="str">
        <f>IF(VLOOKUP($B52,spell_header!$B$2:$G$373,4,FALSE)="√","√","")</f>
        <v>√</v>
      </c>
      <c r="F52" t="str">
        <f>_xlfn.LET(_xlpm.x,VLOOKUP($B52,spell_header!$B$2:$G$373,5,FALSE),IF(_xlpm.x="","",_xlpm.x))</f>
        <v/>
      </c>
      <c r="G52">
        <v>79</v>
      </c>
    </row>
    <row r="53" spans="1:7" ht="15" x14ac:dyDescent="0.2">
      <c r="A53">
        <v>51</v>
      </c>
      <c r="B53" s="1" t="s">
        <v>1622</v>
      </c>
      <c r="C53" t="str">
        <f>_xlfn.LET(_xlpm.x,VLOOKUP($B53,spell_header!$B$2:$G$373,2,FALSE),IF(_xlpm.x="","",_xlpm.x))</f>
        <v>充能数更新间隔（秒）</v>
      </c>
      <c r="D53" s="4" t="str">
        <f>IF(VLOOKUP($B53,spell_header!$B$2:$G$373,3,FALSE)="√","√","")</f>
        <v>√</v>
      </c>
      <c r="E53" s="4" t="str">
        <f>IF(VLOOKUP($B53,spell_header!$B$2:$G$373,4,FALSE)="√","√","")</f>
        <v>√</v>
      </c>
      <c r="F53" t="str">
        <f>_xlfn.LET(_xlpm.x,VLOOKUP($B53,spell_header!$B$2:$G$373,5,FALSE),IF(_xlpm.x="","",_xlpm.x))</f>
        <v/>
      </c>
      <c r="G53">
        <v>77</v>
      </c>
    </row>
    <row r="54" spans="1:7" ht="15" x14ac:dyDescent="0.2">
      <c r="A54">
        <v>52</v>
      </c>
      <c r="B54" s="1" t="s">
        <v>1623</v>
      </c>
      <c r="C54" t="str">
        <f>_xlfn.LET(_xlpm.x,VLOOKUP($B54,spell_header!$B$2:$G$373,2,FALSE),IF(_xlpm.x="","",_xlpm.x))</f>
        <v>取消冲锋的再次施法冻结时间（秒）</v>
      </c>
      <c r="D54" s="4" t="str">
        <f>IF(VLOOKUP($B54,spell_header!$B$2:$G$373,3,FALSE)="√","√","")</f>
        <v>√</v>
      </c>
      <c r="E54" s="4" t="str">
        <f>IF(VLOOKUP($B54,spell_header!$B$2:$G$373,4,FALSE)="√","√","")</f>
        <v>√</v>
      </c>
      <c r="F54" t="str">
        <f>_xlfn.LET(_xlpm.x,VLOOKUP($B54,spell_header!$B$2:$G$373,5,FALSE),IF(_xlpm.x="","",_xlpm.x))</f>
        <v/>
      </c>
      <c r="G54">
        <v>80</v>
      </c>
    </row>
    <row r="55" spans="1:7" ht="15" x14ac:dyDescent="0.2">
      <c r="A55">
        <v>53</v>
      </c>
      <c r="B55" s="1" t="s">
        <v>1624</v>
      </c>
      <c r="C55" t="str">
        <f>_xlfn.LET(_xlpm.x,VLOOKUP($B55,spell_header!$B$2:$G$373,2,FALSE),IF(_xlpm.x="","",_xlpm.x))</f>
        <v>施法范围成长最大值</v>
      </c>
      <c r="D55" s="4" t="str">
        <f>IF(VLOOKUP($B55,spell_header!$B$2:$G$373,3,FALSE)="√","√","")</f>
        <v>√</v>
      </c>
      <c r="E55" s="4" t="str">
        <f>IF(VLOOKUP($B55,spell_header!$B$2:$G$373,4,FALSE)="√","√","")</f>
        <v>√</v>
      </c>
      <c r="F55" t="str">
        <f>_xlfn.LET(_xlpm.x,VLOOKUP($B55,spell_header!$B$2:$G$373,5,FALSE),IF(_xlpm.x="","",_xlpm.x))</f>
        <v/>
      </c>
      <c r="G55">
        <v>50</v>
      </c>
    </row>
    <row r="56" spans="1:7" ht="15" x14ac:dyDescent="0.2">
      <c r="A56">
        <v>54</v>
      </c>
      <c r="B56" s="1" t="s">
        <v>1625</v>
      </c>
      <c r="C56" t="str">
        <f>_xlfn.LET(_xlpm.x,VLOOKUP($B56,spell_header!$B$2:$G$373,2,FALSE),IF(_xlpm.x="","",_xlpm.x))</f>
        <v>施法范围成长开始时间</v>
      </c>
      <c r="D56" s="4" t="str">
        <f>IF(VLOOKUP($B56,spell_header!$B$2:$G$373,3,FALSE)="√","√","")</f>
        <v>√</v>
      </c>
      <c r="E56" s="4" t="str">
        <f>IF(VLOOKUP($B56,spell_header!$B$2:$G$373,4,FALSE)="√","√","")</f>
        <v>√</v>
      </c>
      <c r="F56" t="str">
        <f>_xlfn.LET(_xlpm.x,VLOOKUP($B56,spell_header!$B$2:$G$373,5,FALSE),IF(_xlpm.x="","",_xlpm.x))</f>
        <v/>
      </c>
      <c r="G56">
        <v>51</v>
      </c>
    </row>
    <row r="57" spans="1:7" ht="15" x14ac:dyDescent="0.2">
      <c r="A57">
        <v>55</v>
      </c>
      <c r="B57" s="1" t="s">
        <v>1626</v>
      </c>
      <c r="C57" t="str">
        <f>_xlfn.LET(_xlpm.x,VLOOKUP($B57,spell_header!$B$2:$G$373,2,FALSE),IF(_xlpm.x="","",_xlpm.x))</f>
        <v>施法范围成长持续时间</v>
      </c>
      <c r="D57" s="4" t="str">
        <f>IF(VLOOKUP($B57,spell_header!$B$2:$G$373,3,FALSE)="√","√","")</f>
        <v>√</v>
      </c>
      <c r="E57" s="4" t="str">
        <f>IF(VLOOKUP($B57,spell_header!$B$2:$G$373,4,FALSE)="√","√","")</f>
        <v>√</v>
      </c>
      <c r="F57" t="str">
        <f>_xlfn.LET(_xlpm.x,VLOOKUP($B57,spell_header!$B$2:$G$373,5,FALSE),IF(_xlpm.x="","",_xlpm.x))</f>
        <v/>
      </c>
      <c r="G57">
        <v>52</v>
      </c>
    </row>
    <row r="58" spans="1:7" ht="15" x14ac:dyDescent="0.2">
      <c r="A58">
        <v>56</v>
      </c>
      <c r="B58" s="1" t="s">
        <v>1627</v>
      </c>
      <c r="C58" t="str">
        <f>_xlfn.LET(_xlpm.x,VLOOKUP($B58,spell_header!$B$2:$G$373,2,FALSE),IF(_xlpm.x="","",_xlpm.x))</f>
        <v/>
      </c>
      <c r="D58" s="4" t="str">
        <f>IF(VLOOKUP($B58,spell_header!$B$2:$G$373,3,FALSE)="√","√","")</f>
        <v>√</v>
      </c>
      <c r="E58" s="4" t="str">
        <f>IF(VLOOKUP($B58,spell_header!$B$2:$G$373,4,FALSE)="√","√","")</f>
        <v>√</v>
      </c>
      <c r="F58" t="str">
        <f>_xlfn.LET(_xlpm.x,VLOOKUP($B58,spell_header!$B$2:$G$373,5,FALSE),IF(_xlpm.x="","",_xlpm.x))</f>
        <v/>
      </c>
      <c r="G58">
        <v>81</v>
      </c>
    </row>
    <row r="59" spans="1:7" ht="15" x14ac:dyDescent="0.2">
      <c r="A59">
        <v>57</v>
      </c>
      <c r="B59" s="1" t="s">
        <v>1628</v>
      </c>
      <c r="C59" t="str">
        <f>_xlfn.LET(_xlpm.x,VLOOKUP($B59,spell_header!$B$2:$G$373,2,FALSE),IF(_xlpm.x="","",_xlpm.x))</f>
        <v/>
      </c>
      <c r="D59" s="4" t="str">
        <f>IF(VLOOKUP($B59,spell_header!$B$2:$G$373,3,FALSE)="√","√","")</f>
        <v>√</v>
      </c>
      <c r="E59" s="4" t="str">
        <f>IF(VLOOKUP($B59,spell_header!$B$2:$G$373,4,FALSE)="√","√","")</f>
        <v>√</v>
      </c>
      <c r="F59" t="str">
        <f>_xlfn.LET(_xlpm.x,VLOOKUP($B59,spell_header!$B$2:$G$373,5,FALSE),IF(_xlpm.x="","",_xlpm.x))</f>
        <v/>
      </c>
      <c r="G59">
        <v>82</v>
      </c>
    </row>
    <row r="60" spans="1:7" ht="15" x14ac:dyDescent="0.2">
      <c r="A60">
        <v>58</v>
      </c>
      <c r="B60" s="1" t="s">
        <v>1629</v>
      </c>
      <c r="C60" t="str">
        <f>_xlfn.LET(_xlpm.x,VLOOKUP($B60,spell_header!$B$2:$G$373,2,FALSE),IF(_xlpm.x="","",_xlpm.x))</f>
        <v>最大充能数</v>
      </c>
      <c r="D60" s="4" t="str">
        <f>IF(VLOOKUP($B60,spell_header!$B$2:$G$373,3,FALSE)="√","√","")</f>
        <v>√</v>
      </c>
      <c r="E60" s="4" t="str">
        <f>IF(VLOOKUP($B60,spell_header!$B$2:$G$373,4,FALSE)="√","√","")</f>
        <v>√</v>
      </c>
      <c r="F60" t="str">
        <f>_xlfn.LET(_xlpm.x,VLOOKUP($B60,spell_header!$B$2:$G$373,5,FALSE),IF(_xlpm.x="","",_xlpm.x))</f>
        <v/>
      </c>
      <c r="G60">
        <v>31</v>
      </c>
    </row>
    <row r="61" spans="1:7" ht="15" x14ac:dyDescent="0.2">
      <c r="A61">
        <v>59</v>
      </c>
      <c r="B61" s="1" t="s">
        <v>1630</v>
      </c>
      <c r="C61" t="str">
        <f>_xlfn.LET(_xlpm.x,VLOOKUP($B61,spell_header!$B$2:$G$373,2,FALSE),IF(_xlpm.x="","",_xlpm.x))</f>
        <v>可用充能数</v>
      </c>
      <c r="D61" s="4" t="str">
        <f>IF(VLOOKUP($B61,spell_header!$B$2:$G$373,3,FALSE)="√","√","")</f>
        <v>√</v>
      </c>
      <c r="E61" s="4" t="str">
        <f>IF(VLOOKUP($B61,spell_header!$B$2:$G$373,4,FALSE)="√","√","")</f>
        <v>√</v>
      </c>
      <c r="F61" t="str">
        <f>_xlfn.LET(_xlpm.x,VLOOKUP($B61,spell_header!$B$2:$G$373,5,FALSE),IF(_xlpm.x="","",_xlpm.x))</f>
        <v/>
      </c>
      <c r="G61">
        <v>32</v>
      </c>
    </row>
    <row r="62" spans="1:7" ht="15" x14ac:dyDescent="0.2">
      <c r="A62">
        <v>60</v>
      </c>
      <c r="B62" s="1" t="s">
        <v>1631</v>
      </c>
      <c r="C62" t="str">
        <f>_xlfn.LET(_xlpm.x,VLOOKUP($B62,spell_header!$B$2:$G$373,2,FALSE),IF(_xlpm.x="","",_xlpm.x))</f>
        <v>基础充能时间</v>
      </c>
      <c r="D62" s="4" t="str">
        <f>IF(VLOOKUP($B62,spell_header!$B$2:$G$373,3,FALSE)="√","√","")</f>
        <v>√</v>
      </c>
      <c r="E62" s="4" t="str">
        <f>IF(VLOOKUP($B62,spell_header!$B$2:$G$373,4,FALSE)="√","√","")</f>
        <v>√</v>
      </c>
      <c r="F62" t="str">
        <f>_xlfn.LET(_xlpm.x,VLOOKUP($B62,spell_header!$B$2:$G$373,5,FALSE),IF(_xlpm.x="","",_xlpm.x))</f>
        <v/>
      </c>
      <c r="G62">
        <v>33</v>
      </c>
    </row>
    <row r="63" spans="1:7" ht="15" x14ac:dyDescent="0.2">
      <c r="A63">
        <v>61</v>
      </c>
      <c r="B63" s="1" t="s">
        <v>1632</v>
      </c>
      <c r="C63" t="str">
        <f>_xlfn.LET(_xlpm.x,VLOOKUP($B63,spell_header!$B$2:$G$373,2,FALSE),IF(_xlpm.x="","",_xlpm.x))</f>
        <v>充能时间不受冷却缩减影响</v>
      </c>
      <c r="D63" s="4" t="str">
        <f>IF(VLOOKUP($B63,spell_header!$B$2:$G$373,3,FALSE)="√","√","")</f>
        <v>√</v>
      </c>
      <c r="E63" s="4" t="str">
        <f>IF(VLOOKUP($B63,spell_header!$B$2:$G$373,4,FALSE)="√","√","")</f>
        <v>√</v>
      </c>
      <c r="F63" t="b">
        <f>_xlfn.LET(_xlpm.x,VLOOKUP($B63,spell_header!$B$2:$G$373,5,FALSE),IF(_xlpm.x="","",_xlpm.x))</f>
        <v>0</v>
      </c>
      <c r="G63">
        <v>35</v>
      </c>
    </row>
    <row r="64" spans="1:7" ht="15" x14ac:dyDescent="0.2">
      <c r="A64">
        <v>62</v>
      </c>
      <c r="B64" s="1" t="s">
        <v>1633</v>
      </c>
      <c r="C64" t="str">
        <f>_xlfn.LET(_xlpm.x,VLOOKUP($B64,spell_header!$B$2:$G$373,2,FALSE),IF(_xlpm.x="","",_xlpm.x))</f>
        <v>总是显示技能消耗</v>
      </c>
      <c r="D64" s="4" t="str">
        <f>IF(VLOOKUP($B64,spell_header!$B$2:$G$373,3,FALSE)="√","√","")</f>
        <v>√</v>
      </c>
      <c r="E64" s="4" t="str">
        <f>IF(VLOOKUP($B64,spell_header!$B$2:$G$373,4,FALSE)="√","√","")</f>
        <v>√</v>
      </c>
      <c r="F64" t="b">
        <f>_xlfn.LET(_xlpm.x,VLOOKUP($B64,spell_header!$B$2:$G$373,5,FALSE),IF(_xlpm.x="","",_xlpm.x))</f>
        <v>0</v>
      </c>
      <c r="G64">
        <v>22</v>
      </c>
    </row>
    <row r="65" spans="1:7" ht="15" x14ac:dyDescent="0.2">
      <c r="A65">
        <v>63</v>
      </c>
      <c r="B65" s="1" t="s">
        <v>1634</v>
      </c>
      <c r="C65" t="str">
        <f>_xlfn.LET(_xlpm.x,VLOOKUP($B65,spell_header!$B$2:$G$373,2,FALSE),IF(_xlpm.x="","",_xlpm.x))</f>
        <v>冷却时间不受冷却缩减影响</v>
      </c>
      <c r="D65" s="4" t="str">
        <f>IF(VLOOKUP($B65,spell_header!$B$2:$G$373,3,FALSE)="√","√","")</f>
        <v>√</v>
      </c>
      <c r="E65" s="4" t="str">
        <f>IF(VLOOKUP($B65,spell_header!$B$2:$G$373,4,FALSE)="√","√","")</f>
        <v>√</v>
      </c>
      <c r="F65" t="b">
        <f>_xlfn.LET(_xlpm.x,VLOOKUP($B65,spell_header!$B$2:$G$373,5,FALSE),IF(_xlpm.x="","",_xlpm.x))</f>
        <v>0</v>
      </c>
      <c r="G65">
        <v>29</v>
      </c>
    </row>
    <row r="66" spans="1:7" ht="15" x14ac:dyDescent="0.2">
      <c r="A66">
        <v>64</v>
      </c>
      <c r="B66" s="1" t="s">
        <v>1635</v>
      </c>
      <c r="C66" t="str">
        <f>_xlfn.LET(_xlpm.x,VLOOKUP($B66,spell_header!$B$2:$G$373,2,FALSE),IF(_xlpm.x="","",_xlpm.x))</f>
        <v>充能数隐藏</v>
      </c>
      <c r="D66" s="4" t="str">
        <f>IF(VLOOKUP($B66,spell_header!$B$2:$G$373,3,FALSE)="√","√","")</f>
        <v>√</v>
      </c>
      <c r="E66" s="4" t="str">
        <f>IF(VLOOKUP($B66,spell_header!$B$2:$G$373,4,FALSE)="√","√","")</f>
        <v>√</v>
      </c>
      <c r="F66" t="b">
        <f>_xlfn.LET(_xlpm.x,VLOOKUP($B66,spell_header!$B$2:$G$373,5,FALSE),IF(_xlpm.x="","",_xlpm.x))</f>
        <v>0</v>
      </c>
      <c r="G66">
        <v>36</v>
      </c>
    </row>
    <row r="67" spans="1:7" ht="15" x14ac:dyDescent="0.2">
      <c r="A67">
        <v>65</v>
      </c>
      <c r="B67" s="1" t="s">
        <v>1636</v>
      </c>
      <c r="C67" t="str">
        <f>_xlfn.LET(_xlpm.x,VLOOKUP($B67,spell_header!$B$2:$G$373,2,FALSE),IF(_xlpm.x="","",_xlpm.x))</f>
        <v>不受压制影响</v>
      </c>
      <c r="D67" s="4" t="str">
        <f>IF(VLOOKUP($B67,spell_header!$B$2:$G$373,3,FALSE)="√","√","")</f>
        <v>√</v>
      </c>
      <c r="E67" s="4" t="str">
        <f>IF(VLOOKUP($B67,spell_header!$B$2:$G$373,4,FALSE)="√","√","")</f>
        <v>√</v>
      </c>
      <c r="F67" t="b">
        <f>_xlfn.LET(_xlpm.x,VLOOKUP($B67,spell_header!$B$2:$G$373,5,FALSE),IF(_xlpm.x="","",_xlpm.x))</f>
        <v>0</v>
      </c>
      <c r="G67">
        <v>99</v>
      </c>
    </row>
    <row r="68" spans="1:7" ht="15" x14ac:dyDescent="0.2">
      <c r="A68">
        <v>66</v>
      </c>
      <c r="B68" s="1" t="s">
        <v>1637</v>
      </c>
      <c r="C68" t="str">
        <f>_xlfn.LET(_xlpm.x,VLOOKUP($B68,spell_header!$B$2:$G$373,2,FALSE),IF(_xlpm.x="","",_xlpm.x))</f>
        <v>受到限制效果时仍能触发冲锋技能</v>
      </c>
      <c r="D68" s="4" t="str">
        <f>IF(VLOOKUP($B68,spell_header!$B$2:$G$373,3,FALSE)="√","√","")</f>
        <v>√</v>
      </c>
      <c r="E68" s="4" t="str">
        <f>IF(VLOOKUP($B68,spell_header!$B$2:$G$373,4,FALSE)="√","√","")</f>
        <v>√</v>
      </c>
      <c r="F68" t="b">
        <f>_xlfn.LET(_xlpm.x,VLOOKUP($B68,spell_header!$B$2:$G$373,5,FALSE),IF(_xlpm.x="","",_xlpm.x))</f>
        <v>0</v>
      </c>
      <c r="G68">
        <v>91</v>
      </c>
    </row>
    <row r="69" spans="1:7" ht="15" x14ac:dyDescent="0.2">
      <c r="A69">
        <v>67</v>
      </c>
      <c r="B69" s="1" t="s">
        <v>1638</v>
      </c>
      <c r="C69" t="str">
        <f>_xlfn.LET(_xlpm.x,VLOOKUP($B69,spell_header!$B$2:$G$373,2,FALSE),IF(_xlpm.x="","",_xlpm.x))</f>
        <v>受到限制效果时仍能施法</v>
      </c>
      <c r="D69" s="4" t="str">
        <f>IF(VLOOKUP($B69,spell_header!$B$2:$G$373,3,FALSE)="√","√","")</f>
        <v>√</v>
      </c>
      <c r="E69" s="4" t="str">
        <f>IF(VLOOKUP($B69,spell_header!$B$2:$G$373,4,FALSE)="√","√","")</f>
        <v>√</v>
      </c>
      <c r="F69" t="b">
        <f>_xlfn.LET(_xlpm.x,VLOOKUP($B69,spell_header!$B$2:$G$373,5,FALSE),IF(_xlpm.x="","",_xlpm.x))</f>
        <v>0</v>
      </c>
      <c r="G69">
        <v>90</v>
      </c>
    </row>
    <row r="70" spans="1:7" ht="15" x14ac:dyDescent="0.2">
      <c r="A70">
        <v>68</v>
      </c>
      <c r="B70" s="1" t="s">
        <v>1639</v>
      </c>
      <c r="C70" t="str">
        <f>_xlfn.LET(_xlpm.x,VLOOKUP($B70,spell_header!$B$2:$G$373,2,FALSE),IF(_xlpm.x="","",_xlpm.x))</f>
        <v>施放其它技能时允许施法或进入施法队列</v>
      </c>
      <c r="D70" s="4" t="str">
        <f>IF(VLOOKUP($B70,spell_header!$B$2:$G$373,3,FALSE)="√","√","")</f>
        <v>√</v>
      </c>
      <c r="E70" s="4" t="str">
        <f>IF(VLOOKUP($B70,spell_header!$B$2:$G$373,4,FALSE)="√","√","")</f>
        <v>√</v>
      </c>
      <c r="F70" t="b">
        <f>_xlfn.LET(_xlpm.x,VLOOKUP($B70,spell_header!$B$2:$G$373,5,FALSE),IF(_xlpm.x="","",_xlpm.x))</f>
        <v>0</v>
      </c>
      <c r="G70">
        <v>100</v>
      </c>
    </row>
    <row r="71" spans="1:7" ht="15" x14ac:dyDescent="0.2">
      <c r="A71">
        <v>69</v>
      </c>
      <c r="B71" s="1" t="s">
        <v>1640</v>
      </c>
      <c r="C71" t="str">
        <f>_xlfn.LET(_xlpm.x,VLOOKUP($B71,spell_header!$B$2:$G$373,2,FALSE),IF(_xlpm.x="","",_xlpm.x))</f>
        <v>施法后无法取消</v>
      </c>
      <c r="D71" s="4" t="str">
        <f>IF(VLOOKUP($B71,spell_header!$B$2:$G$373,3,FALSE)="√","√","")</f>
        <v>√</v>
      </c>
      <c r="E71" s="4" t="str">
        <f>IF(VLOOKUP($B71,spell_header!$B$2:$G$373,4,FALSE)="√","√","")</f>
        <v>√</v>
      </c>
      <c r="F71" t="b">
        <f>_xlfn.LET(_xlpm.x,VLOOKUP($B71,spell_header!$B$2:$G$373,5,FALSE),IF(_xlpm.x="","",_xlpm.x))</f>
        <v>0</v>
      </c>
      <c r="G71">
        <v>94</v>
      </c>
    </row>
    <row r="72" spans="1:7" ht="15" x14ac:dyDescent="0.2">
      <c r="A72">
        <v>70</v>
      </c>
      <c r="B72" s="1" t="s">
        <v>1641</v>
      </c>
      <c r="C72" t="str">
        <f>_xlfn.LET(_xlpm.x,VLOOKUP($B72,spell_header!$B$2:$G$373,2,FALSE),IF(_xlpm.x="","",_xlpm.x))</f>
        <v>对目标英雄施放后无法取消</v>
      </c>
      <c r="D72" s="4" t="str">
        <f>IF(VLOOKUP($B72,spell_header!$B$2:$G$373,3,FALSE)="√","√","")</f>
        <v>√</v>
      </c>
      <c r="E72" s="4" t="str">
        <f>IF(VLOOKUP($B72,spell_header!$B$2:$G$373,4,FALSE)="√","√","")</f>
        <v>√</v>
      </c>
      <c r="F72" t="b">
        <f>_xlfn.LET(_xlpm.x,VLOOKUP($B72,spell_header!$B$2:$G$373,5,FALSE),IF(_xlpm.x="","",_xlpm.x))</f>
        <v>0</v>
      </c>
      <c r="G72">
        <v>95</v>
      </c>
    </row>
    <row r="73" spans="1:7" ht="15" x14ac:dyDescent="0.2">
      <c r="A73">
        <v>71</v>
      </c>
      <c r="B73" s="1" t="s">
        <v>1642</v>
      </c>
      <c r="C73" t="str">
        <f>_xlfn.LET(_xlpm.x,VLOOKUP($B73,spell_header!$B$2:$G$373,2,FALSE),IF(_xlpm.x="","",_xlpm.x))</f>
        <v>引导时无法取消</v>
      </c>
      <c r="D73" s="4" t="str">
        <f>IF(VLOOKUP($B73,spell_header!$B$2:$G$373,3,FALSE)="√","√","")</f>
        <v>√</v>
      </c>
      <c r="E73" s="4" t="str">
        <f>IF(VLOOKUP($B73,spell_header!$B$2:$G$373,4,FALSE)="√","√","")</f>
        <v>√</v>
      </c>
      <c r="F73" t="b">
        <f>_xlfn.LET(_xlpm.x,VLOOKUP($B73,spell_header!$B$2:$G$373,5,FALSE),IF(_xlpm.x="","",_xlpm.x))</f>
        <v>0</v>
      </c>
      <c r="G73">
        <v>96</v>
      </c>
    </row>
    <row r="74" spans="1:7" ht="15" x14ac:dyDescent="0.2">
      <c r="A74">
        <v>72</v>
      </c>
      <c r="B74" s="1" t="s">
        <v>1643</v>
      </c>
      <c r="C74" t="str">
        <f>_xlfn.LET(_xlpm.x,VLOOKUP($B74,spell_header!$B$2:$G$373,2,FALSE),IF(_xlpm.x="","",_xlpm.x))</f>
        <v>定身时无法施放</v>
      </c>
      <c r="D74" s="4" t="str">
        <f>IF(VLOOKUP($B74,spell_header!$B$2:$G$373,3,FALSE)="√","√","")</f>
        <v>√</v>
      </c>
      <c r="E74" s="4" t="str">
        <f>IF(VLOOKUP($B74,spell_header!$B$2:$G$373,4,FALSE)="√","√","")</f>
        <v>√</v>
      </c>
      <c r="F74" t="b">
        <f>_xlfn.LET(_xlpm.x,VLOOKUP($B74,spell_header!$B$2:$G$373,5,FALSE),IF(_xlpm.x="","",_xlpm.x))</f>
        <v>0</v>
      </c>
      <c r="G74">
        <v>92</v>
      </c>
    </row>
    <row r="75" spans="1:7" ht="15" x14ac:dyDescent="0.2">
      <c r="A75">
        <v>73</v>
      </c>
      <c r="B75" s="1" t="s">
        <v>1644</v>
      </c>
      <c r="C75" t="str">
        <f>_xlfn.LET(_xlpm.x,VLOOKUP($B75,spell_header!$B$2:$G$373,2,FALSE),IF(_xlpm.x="","",_xlpm.x))</f>
        <v>引导过程会被限制效果打断</v>
      </c>
      <c r="D75" s="4" t="str">
        <f>IF(VLOOKUP($B75,spell_header!$B$2:$G$373,3,FALSE)="√","√","")</f>
        <v>√</v>
      </c>
      <c r="E75" s="4" t="str">
        <f>IF(VLOOKUP($B75,spell_header!$B$2:$G$373,4,FALSE)="√","√","")</f>
        <v>√</v>
      </c>
      <c r="F75" t="b">
        <f>_xlfn.LET(_xlpm.x,VLOOKUP($B75,spell_header!$B$2:$G$373,5,FALSE),IF(_xlpm.x="","",_xlpm.x))</f>
        <v>1</v>
      </c>
      <c r="G75">
        <v>103</v>
      </c>
    </row>
    <row r="76" spans="1:7" ht="15" x14ac:dyDescent="0.2">
      <c r="A76">
        <v>74</v>
      </c>
      <c r="B76" s="1" t="s">
        <v>1645</v>
      </c>
      <c r="C76" t="str">
        <f>_xlfn.LET(_xlpm.x,VLOOKUP($B76,spell_header!$B$2:$G$373,2,FALSE),IF(_xlpm.x="","",_xlpm.x))</f>
        <v>引导过程会被普通攻击打断</v>
      </c>
      <c r="D76" s="4" t="str">
        <f>IF(VLOOKUP($B76,spell_header!$B$2:$G$373,3,FALSE)="√","√","")</f>
        <v>√</v>
      </c>
      <c r="E76" s="4" t="str">
        <f>IF(VLOOKUP($B76,spell_header!$B$2:$G$373,4,FALSE)="√","√","")</f>
        <v>√</v>
      </c>
      <c r="F76" t="b">
        <f>_xlfn.LET(_xlpm.x,VLOOKUP($B76,spell_header!$B$2:$G$373,5,FALSE),IF(_xlpm.x="","",_xlpm.x))</f>
        <v>1</v>
      </c>
      <c r="G76">
        <v>104</v>
      </c>
    </row>
    <row r="77" spans="1:7" ht="15" x14ac:dyDescent="0.2">
      <c r="A77">
        <v>75</v>
      </c>
      <c r="B77" s="1" t="s">
        <v>1646</v>
      </c>
      <c r="C77" t="str">
        <f>_xlfn.LET(_xlpm.x,VLOOKUP($B77,spell_header!$B$2:$G$373,2,FALSE),IF(_xlpm.x="","",_xlpm.x))</f>
        <v>施加攻击伤害</v>
      </c>
      <c r="D77" s="4" t="str">
        <f>IF(VLOOKUP($B77,spell_header!$B$2:$G$373,3,FALSE)="√","√","")</f>
        <v>√</v>
      </c>
      <c r="E77" s="4" t="str">
        <f>IF(VLOOKUP($B77,spell_header!$B$2:$G$373,4,FALSE)="√","√","")</f>
        <v>√</v>
      </c>
      <c r="F77" t="b">
        <f>_xlfn.LET(_xlpm.x,VLOOKUP($B77,spell_header!$B$2:$G$373,5,FALSE),IF(_xlpm.x="","",_xlpm.x))</f>
        <v>0</v>
      </c>
      <c r="G77">
        <v>86</v>
      </c>
    </row>
    <row r="78" spans="1:7" ht="15" x14ac:dyDescent="0.2">
      <c r="A78">
        <v>76</v>
      </c>
      <c r="B78" s="1" t="s">
        <v>1647</v>
      </c>
      <c r="C78" t="str">
        <f>_xlfn.LET(_xlpm.x,VLOOKUP($B78,spell_header!$B$2:$G$373,2,FALSE),IF(_xlpm.x="","",_xlpm.x))</f>
        <v>施加攻击效果</v>
      </c>
      <c r="D78" s="4" t="str">
        <f>IF(VLOOKUP($B78,spell_header!$B$2:$G$373,3,FALSE)="√","√","")</f>
        <v>√</v>
      </c>
      <c r="E78" s="4" t="str">
        <f>IF(VLOOKUP($B78,spell_header!$B$2:$G$373,4,FALSE)="√","√","")</f>
        <v>√</v>
      </c>
      <c r="F78" t="b">
        <f>_xlfn.LET(_xlpm.x,VLOOKUP($B78,spell_header!$B$2:$G$373,5,FALSE),IF(_xlpm.x="","",_xlpm.x))</f>
        <v>0</v>
      </c>
      <c r="G78">
        <v>87</v>
      </c>
    </row>
    <row r="79" spans="1:7" ht="15" x14ac:dyDescent="0.2">
      <c r="A79">
        <v>77</v>
      </c>
      <c r="B79" s="1" t="s">
        <v>1648</v>
      </c>
      <c r="C79" t="str">
        <f>_xlfn.LET(_xlpm.x,VLOOKUP($B79,spell_header!$B$2:$G$373,2,FALSE),IF(_xlpm.x="","",_xlpm.x))</f>
        <v>命中时触发音效</v>
      </c>
      <c r="D79" s="4" t="str">
        <f>IF(VLOOKUP($B79,spell_header!$B$2:$G$373,3,FALSE)="√","√","")</f>
        <v>√</v>
      </c>
      <c r="E79" s="4" t="str">
        <f>IF(VLOOKUP($B79,spell_header!$B$2:$G$373,4,FALSE)="√","√","")</f>
        <v>√</v>
      </c>
      <c r="F79" t="b">
        <f>_xlfn.LET(_xlpm.x,VLOOKUP($B79,spell_header!$B$2:$G$373,5,FALSE),IF(_xlpm.x="","",_xlpm.x))</f>
        <v>0</v>
      </c>
      <c r="G79">
        <v>108</v>
      </c>
    </row>
    <row r="80" spans="1:7" ht="15" x14ac:dyDescent="0.2">
      <c r="A80">
        <v>78</v>
      </c>
      <c r="B80" s="1" t="s">
        <v>1649</v>
      </c>
      <c r="C80" t="str">
        <f>_xlfn.LET(_xlpm.x,VLOOKUP($B80,spell_header!$B$2:$G$373,2,FALSE),IF(_xlpm.x="","",_xlpm.x))</f>
        <v>不打断引导过程</v>
      </c>
      <c r="D80" s="4" t="str">
        <f>IF(VLOOKUP($B80,spell_header!$B$2:$G$373,3,FALSE)="√","√","")</f>
        <v>√</v>
      </c>
      <c r="E80" s="4" t="str">
        <f>IF(VLOOKUP($B80,spell_header!$B$2:$G$373,4,FALSE)="√","√","")</f>
        <v>√</v>
      </c>
      <c r="F80" t="b">
        <f>_xlfn.LET(_xlpm.x,VLOOKUP($B80,spell_header!$B$2:$G$373,5,FALSE),IF(_xlpm.x="","",_xlpm.x))</f>
        <v>0</v>
      </c>
      <c r="G80">
        <v>102</v>
      </c>
    </row>
    <row r="81" spans="1:7" ht="15" x14ac:dyDescent="0.2">
      <c r="A81">
        <v>79</v>
      </c>
      <c r="B81" s="1" t="s">
        <v>1650</v>
      </c>
      <c r="C81" t="str">
        <f>_xlfn.LET(_xlpm.x,VLOOKUP($B81,spell_header!$B$2:$G$373,2,FALSE),IF(_xlpm.x="","",_xlpm.x))</f>
        <v>鼠标指针在草丛中变化</v>
      </c>
      <c r="D81" s="4" t="str">
        <f>IF(VLOOKUP($B81,spell_header!$B$2:$G$373,3,FALSE)="√","√","")</f>
        <v>√</v>
      </c>
      <c r="E81" s="4" t="str">
        <f>IF(VLOOKUP($B81,spell_header!$B$2:$G$373,4,FALSE)="√","√","")</f>
        <v>√</v>
      </c>
      <c r="F81" t="b">
        <f>_xlfn.LET(_xlpm.x,VLOOKUP($B81,spell_header!$B$2:$G$373,5,FALSE),IF(_xlpm.x="","",_xlpm.x))</f>
        <v>0</v>
      </c>
      <c r="G81">
        <v>109</v>
      </c>
    </row>
    <row r="82" spans="1:7" ht="15" x14ac:dyDescent="0.2">
      <c r="A82">
        <v>80</v>
      </c>
      <c r="B82" s="1" t="s">
        <v>1651</v>
      </c>
      <c r="C82" t="str">
        <f>_xlfn.LET(_xlpm.x,VLOOKUP($B82,spell_header!$B$2:$G$373,2,FALSE),IF(_xlpm.x="","",_xlpm.x))</f>
        <v>鼠标指针在地形中变化</v>
      </c>
      <c r="D82" s="4" t="str">
        <f>IF(VLOOKUP($B82,spell_header!$B$2:$G$373,3,FALSE)="√","√","")</f>
        <v>√</v>
      </c>
      <c r="E82" s="4" t="str">
        <f>IF(VLOOKUP($B82,spell_header!$B$2:$G$373,4,FALSE)="√","√","")</f>
        <v>√</v>
      </c>
      <c r="F82" t="b">
        <f>_xlfn.LET(_xlpm.x,VLOOKUP($B82,spell_header!$B$2:$G$373,5,FALSE),IF(_xlpm.x="","",_xlpm.x))</f>
        <v>0</v>
      </c>
      <c r="G82">
        <v>110</v>
      </c>
    </row>
    <row r="83" spans="1:7" ht="15" x14ac:dyDescent="0.2">
      <c r="A83">
        <v>81</v>
      </c>
      <c r="B83" s="1" t="s">
        <v>1652</v>
      </c>
      <c r="C83" t="str">
        <f>_xlfn.LET(_xlpm.x,VLOOKUP($B83,spell_header!$B$2:$G$373,2,FALSE),IF(_xlpm.x="","",_xlpm.x))</f>
        <v>阵亡时禁用</v>
      </c>
      <c r="D83" s="4" t="str">
        <f>IF(VLOOKUP($B83,spell_header!$B$2:$G$373,3,FALSE)="√","√","")</f>
        <v>√</v>
      </c>
      <c r="E83" s="4" t="str">
        <f>IF(VLOOKUP($B83,spell_header!$B$2:$G$373,4,FALSE)="√","√","")</f>
        <v>√</v>
      </c>
      <c r="F83" t="b">
        <f>_xlfn.LET(_xlpm.x,VLOOKUP($B83,spell_header!$B$2:$G$373,5,FALSE),IF(_xlpm.x="","",_xlpm.x))</f>
        <v>1</v>
      </c>
      <c r="G83">
        <v>106</v>
      </c>
    </row>
    <row r="84" spans="1:7" ht="15" x14ac:dyDescent="0.2">
      <c r="A84">
        <v>82</v>
      </c>
      <c r="B84" s="1" t="s">
        <v>1653</v>
      </c>
      <c r="C84" t="str">
        <f>_xlfn.LET(_xlpm.x,VLOOKUP($B84,spell_header!$B$2:$G$373,2,FALSE),IF(_xlpm.x="","",_xlpm.x))</f>
        <v>仅阵亡时可施放</v>
      </c>
      <c r="D84" s="4" t="str">
        <f>IF(VLOOKUP($B84,spell_header!$B$2:$G$373,3,FALSE)="√","√","")</f>
        <v>√</v>
      </c>
      <c r="E84" s="4" t="str">
        <f>IF(VLOOKUP($B84,spell_header!$B$2:$G$373,4,FALSE)="√","√","")</f>
        <v>√</v>
      </c>
      <c r="F84" t="b">
        <f>_xlfn.LET(_xlpm.x,VLOOKUP($B84,spell_header!$B$2:$G$373,5,FALSE),IF(_xlpm.x="","",_xlpm.x))</f>
        <v>0</v>
      </c>
      <c r="G84">
        <v>107</v>
      </c>
    </row>
    <row r="85" spans="1:7" ht="15" x14ac:dyDescent="0.2">
      <c r="A85">
        <v>83</v>
      </c>
      <c r="B85" s="1" t="s">
        <v>1654</v>
      </c>
      <c r="C85" t="str">
        <f>_xlfn.LET(_xlpm.x,VLOOKUP($B85,spell_header!$B$2:$G$373,2,FALSE),IF(_xlpm.x="","",_xlpm.x))</f>
        <v>化身型技能</v>
      </c>
      <c r="D85" s="4" t="str">
        <f>IF(VLOOKUP($B85,spell_header!$B$2:$G$373,3,FALSE)="√","√","")</f>
        <v>√</v>
      </c>
      <c r="E85" s="4" t="str">
        <f>IF(VLOOKUP($B85,spell_header!$B$2:$G$373,4,FALSE)="√","√","")</f>
        <v>√</v>
      </c>
      <c r="F85" t="b">
        <f>_xlfn.LET(_xlpm.x,VLOOKUP($B85,spell_header!$B$2:$G$373,5,FALSE),IF(_xlpm.x="","",_xlpm.x))</f>
        <v>0</v>
      </c>
      <c r="G85">
        <v>85</v>
      </c>
    </row>
    <row r="86" spans="1:7" ht="15" x14ac:dyDescent="0.2">
      <c r="A86">
        <v>84</v>
      </c>
      <c r="B86" s="1" t="s">
        <v>1655</v>
      </c>
      <c r="C86" t="str">
        <f>_xlfn.LET(_xlpm.x,VLOOKUP($B86,spell_header!$B$2:$G$373,2,FALSE),IF(_xlpm.x="","",_xlpm.x))</f>
        <v>仅在最大施法位置处施放</v>
      </c>
      <c r="D86" s="4" t="str">
        <f>IF(VLOOKUP($B86,spell_header!$B$2:$G$373,3,FALSE)="√","√","")</f>
        <v>√</v>
      </c>
      <c r="E86" s="4" t="str">
        <f>IF(VLOOKUP($B86,spell_header!$B$2:$G$373,4,FALSE)="√","√","")</f>
        <v>√</v>
      </c>
      <c r="F86" t="b">
        <f>_xlfn.LET(_xlpm.x,VLOOKUP($B86,spell_header!$B$2:$G$373,5,FALSE),IF(_xlpm.x="","",_xlpm.x))</f>
        <v>0</v>
      </c>
      <c r="G86">
        <v>111</v>
      </c>
    </row>
    <row r="87" spans="1:7" ht="15" x14ac:dyDescent="0.2">
      <c r="A87">
        <v>85</v>
      </c>
      <c r="B87" s="1" t="s">
        <v>1656</v>
      </c>
      <c r="C87" t="str">
        <f>_xlfn.LET(_xlpm.x,VLOOKUP($B87,spell_header!$B$2:$G$373,2,FALSE),IF(_xlpm.x="","",_xlpm.x))</f>
        <v>技能暴露施法者视野</v>
      </c>
      <c r="D87" s="4" t="str">
        <f>IF(VLOOKUP($B87,spell_header!$B$2:$G$373,3,FALSE)="√","√","")</f>
        <v>√</v>
      </c>
      <c r="E87" s="4" t="str">
        <f>IF(VLOOKUP($B87,spell_header!$B$2:$G$373,4,FALSE)="√","√","")</f>
        <v>√</v>
      </c>
      <c r="F87" t="b">
        <f>_xlfn.LET(_xlpm.x,VLOOKUP($B87,spell_header!$B$2:$G$373,5,FALSE),IF(_xlpm.x="","",_xlpm.x))</f>
        <v>1</v>
      </c>
      <c r="G87">
        <v>114</v>
      </c>
    </row>
    <row r="88" spans="1:7" ht="15" x14ac:dyDescent="0.2">
      <c r="A88">
        <v>86</v>
      </c>
      <c r="B88" s="1" t="s">
        <v>1657</v>
      </c>
      <c r="C88" t="str">
        <f>_xlfn.LET(_xlpm.x,VLOOKUP($B88,spell_header!$B$2:$G$373,2,FALSE),IF(_xlpm.x="","",_xlpm.x))</f>
        <v>允许通过小地图施法</v>
      </c>
      <c r="D88" s="4" t="str">
        <f>IF(VLOOKUP($B88,spell_header!$B$2:$G$373,3,FALSE)="√","√","")</f>
        <v>√</v>
      </c>
      <c r="E88" s="4" t="str">
        <f>IF(VLOOKUP($B88,spell_header!$B$2:$G$373,4,FALSE)="√","√","")</f>
        <v>√</v>
      </c>
      <c r="F88" t="b">
        <f>_xlfn.LET(_xlpm.x,VLOOKUP($B88,spell_header!$B$2:$G$373,5,FALSE),IF(_xlpm.x="","",_xlpm.x))</f>
        <v>0</v>
      </c>
      <c r="G88">
        <v>88</v>
      </c>
    </row>
    <row r="89" spans="1:7" ht="15" x14ac:dyDescent="0.2">
      <c r="A89">
        <v>87</v>
      </c>
      <c r="B89" s="1" t="s">
        <v>1658</v>
      </c>
      <c r="C89" t="str">
        <f>_xlfn.LET(_xlpm.x,VLOOKUP($B89,spell_header!$B$2:$G$373,2,FALSE),IF(_xlpm.x="","",_xlpm.x))</f>
        <v>小地图图标可旋转</v>
      </c>
      <c r="D89" s="4" t="str">
        <f>IF(VLOOKUP($B89,spell_header!$B$2:$G$373,3,FALSE)="√","√","")</f>
        <v>√</v>
      </c>
      <c r="E89" s="4" t="str">
        <f>IF(VLOOKUP($B89,spell_header!$B$2:$G$373,4,FALSE)="√","√","")</f>
        <v>√</v>
      </c>
      <c r="F89" t="b">
        <f>_xlfn.LET(_xlpm.x,VLOOKUP($B89,spell_header!$B$2:$G$373,5,FALSE),IF(_xlpm.x="","",_xlpm.x))</f>
        <v>0</v>
      </c>
      <c r="G89">
        <v>89</v>
      </c>
    </row>
    <row r="90" spans="1:7" ht="15" x14ac:dyDescent="0.2">
      <c r="A90">
        <v>88</v>
      </c>
      <c r="B90" s="1" t="s">
        <v>1659</v>
      </c>
      <c r="C90" t="str">
        <f>_xlfn.LET(_xlpm.x,VLOOKUP($B90,spell_header!$B$2:$G$373,2,FALSE),IF(_xlpm.x="","",_xlpm.x))</f>
        <v>引导时冲锋</v>
      </c>
      <c r="D90" s="4" t="str">
        <f>IF(VLOOKUP($B90,spell_header!$B$2:$G$373,3,FALSE)="√","√","")</f>
        <v>√</v>
      </c>
      <c r="E90" s="4" t="str">
        <f>IF(VLOOKUP($B90,spell_header!$B$2:$G$373,4,FALSE)="√","√","")</f>
        <v>√</v>
      </c>
      <c r="F90" t="b">
        <f>_xlfn.LET(_xlpm.x,VLOOKUP($B90,spell_header!$B$2:$G$373,5,FALSE),IF(_xlpm.x="","",_xlpm.x))</f>
        <v>0</v>
      </c>
      <c r="G90">
        <v>97</v>
      </c>
    </row>
    <row r="91" spans="1:7" ht="15" x14ac:dyDescent="0.2">
      <c r="A91">
        <v>89</v>
      </c>
      <c r="B91" s="1" t="s">
        <v>1660</v>
      </c>
      <c r="C91" t="str">
        <f>_xlfn.LET(_xlpm.x,VLOOKUP($B91,spell_header!$B$2:$G$373,2,FALSE),IF(_xlpm.x="","",_xlpm.x))</f>
        <v>不同等级是否展示引导条</v>
      </c>
      <c r="D91" s="4" t="str">
        <f>IF(VLOOKUP($B91,spell_header!$B$2:$G$373,3,FALSE)="√","√","")</f>
        <v>√</v>
      </c>
      <c r="E91" s="4" t="str">
        <f>IF(VLOOKUP($B91,spell_header!$B$2:$G$373,4,FALSE)="√","√","")</f>
        <v>√</v>
      </c>
      <c r="F91" t="str">
        <f>_xlfn.LET(_xlpm.x,VLOOKUP($B91,spell_header!$B$2:$G$373,5,FALSE),IF(_xlpm.x="","",_xlpm.x))</f>
        <v/>
      </c>
      <c r="G91">
        <v>105</v>
      </c>
    </row>
    <row r="92" spans="1:7" ht="15" x14ac:dyDescent="0.2">
      <c r="A92">
        <v>90</v>
      </c>
      <c r="B92" s="1" t="s">
        <v>1661</v>
      </c>
      <c r="C92" t="str">
        <f>_xlfn.LET(_xlpm.x,VLOOKUP($B92,spell_header!$B$2:$G$373,2,FALSE),IF(_xlpm.x="","",_xlpm.x))</f>
        <v>从边界框开始计算施法距离</v>
      </c>
      <c r="D92" s="4" t="str">
        <f>IF(VLOOKUP($B92,spell_header!$B$2:$G$373,3,FALSE)="√","√","")</f>
        <v>√</v>
      </c>
      <c r="E92" s="4" t="str">
        <f>IF(VLOOKUP($B92,spell_header!$B$2:$G$373,4,FALSE)="√","√","")</f>
        <v>√</v>
      </c>
      <c r="F92" t="b">
        <f>_xlfn.LET(_xlpm.x,VLOOKUP($B92,spell_header!$B$2:$G$373,5,FALSE),IF(_xlpm.x="","",_xlpm.x))</f>
        <v>0</v>
      </c>
      <c r="G92">
        <v>53</v>
      </c>
    </row>
    <row r="93" spans="1:7" ht="15" x14ac:dyDescent="0.2">
      <c r="A93">
        <v>91</v>
      </c>
      <c r="B93" s="1" t="s">
        <v>1662</v>
      </c>
      <c r="C93" t="str">
        <f>_xlfn.LET(_xlpm.x,VLOOKUP($B93,spell_header!$B$2:$G$373,2,FALSE),IF(_xlpm.x="","",_xlpm.x))</f>
        <v>引导时可移动</v>
      </c>
      <c r="D93" s="4" t="str">
        <f>IF(VLOOKUP($B93,spell_header!$B$2:$G$373,3,FALSE)="√","√","")</f>
        <v>√</v>
      </c>
      <c r="E93" s="4" t="str">
        <f>IF(VLOOKUP($B93,spell_header!$B$2:$G$373,4,FALSE)="√","√","")</f>
        <v>√</v>
      </c>
      <c r="F93" t="b">
        <f>_xlfn.LET(_xlpm.x,VLOOKUP($B93,spell_header!$B$2:$G$373,5,FALSE),IF(_xlpm.x="","",_xlpm.x))</f>
        <v>0</v>
      </c>
      <c r="G93">
        <v>98</v>
      </c>
    </row>
    <row r="94" spans="1:7" ht="15" x14ac:dyDescent="0.2">
      <c r="A94">
        <v>92</v>
      </c>
      <c r="B94" s="1" t="s">
        <v>1663</v>
      </c>
      <c r="C94" t="str">
        <f>_xlfn.LET(_xlpm.x,VLOOKUP($B94,spell_header!$B$2:$G$373,2,FALSE),IF(_xlpm.x="","",_xlpm.x))</f>
        <v>禁用施法条</v>
      </c>
      <c r="D94" s="4" t="str">
        <f>IF(VLOOKUP($B94,spell_header!$B$2:$G$373,3,FALSE)="√","√","")</f>
        <v>√</v>
      </c>
      <c r="E94" s="4" t="str">
        <f>IF(VLOOKUP($B94,spell_header!$B$2:$G$373,4,FALSE)="√","√","")</f>
        <v>√</v>
      </c>
      <c r="F94" t="b">
        <f>_xlfn.LET(_xlpm.x,VLOOKUP($B94,spell_header!$B$2:$G$373,5,FALSE),IF(_xlpm.x="","",_xlpm.x))</f>
        <v>0</v>
      </c>
      <c r="G94">
        <v>62</v>
      </c>
    </row>
    <row r="95" spans="1:7" ht="15" x14ac:dyDescent="0.2">
      <c r="A95">
        <v>93</v>
      </c>
      <c r="B95" s="1" t="s">
        <v>1664</v>
      </c>
      <c r="C95" t="str">
        <f>_xlfn.LET(_xlpm.x,VLOOKUP($B95,spell_header!$B$2:$G$373,2,FALSE),IF(_xlpm.x="","",_xlpm.x))</f>
        <v>显示引导条</v>
      </c>
      <c r="D95" s="4" t="str">
        <f>IF(VLOOKUP($B95,spell_header!$B$2:$G$373,3,FALSE)="√","√","")</f>
        <v>√</v>
      </c>
      <c r="E95" s="4" t="str">
        <f>IF(VLOOKUP($B95,spell_header!$B$2:$G$373,4,FALSE)="√","√","")</f>
        <v>√</v>
      </c>
      <c r="F95" t="b">
        <f>_xlfn.LET(_xlpm.x,VLOOKUP($B95,spell_header!$B$2:$G$373,5,FALSE),IF(_xlpm.x="","",_xlpm.x))</f>
        <v>1</v>
      </c>
      <c r="G95">
        <v>63</v>
      </c>
    </row>
    <row r="96" spans="1:7" ht="15" x14ac:dyDescent="0.2">
      <c r="A96">
        <v>94</v>
      </c>
      <c r="B96" s="1" t="s">
        <v>1665</v>
      </c>
      <c r="C96" t="str">
        <f>_xlfn.LET(_xlpm.x,VLOOKUP($B96,spell_header!$B$2:$G$373,2,FALSE),IF(_xlpm.x="","",_xlpm.x))</f>
        <v>施法时立即转向</v>
      </c>
      <c r="D96" s="4" t="str">
        <f>IF(VLOOKUP($B96,spell_header!$B$2:$G$373,3,FALSE)="√","√","")</f>
        <v>√</v>
      </c>
      <c r="E96" s="4" t="str">
        <f>IF(VLOOKUP($B96,spell_header!$B$2:$G$373,4,FALSE)="√","√","")</f>
        <v>√</v>
      </c>
      <c r="F96" t="b">
        <f>_xlfn.LET(_xlpm.x,VLOOKUP($B96,spell_header!$B$2:$G$373,5,FALSE),IF(_xlpm.x="","",_xlpm.x))</f>
        <v>0</v>
      </c>
      <c r="G96">
        <v>73</v>
      </c>
    </row>
    <row r="97" spans="1:7" ht="15" x14ac:dyDescent="0.2">
      <c r="A97">
        <v>95</v>
      </c>
      <c r="B97" s="1" t="s">
        <v>1666</v>
      </c>
      <c r="C97" t="str">
        <f>_xlfn.LET(_xlpm.x,VLOOKUP($B97,spell_header!$B$2:$G$373,2,FALSE),IF(_xlpm.x="","",_xlpm.x))</f>
        <v>使用动画生成器帧率</v>
      </c>
      <c r="D97" s="4" t="str">
        <f>IF(VLOOKUP($B97,spell_header!$B$2:$G$373,3,FALSE)="√","√","")</f>
        <v>√</v>
      </c>
      <c r="E97" s="4" t="str">
        <f>IF(VLOOKUP($B97,spell_header!$B$2:$G$373,4,FALSE)="√","√","")</f>
        <v>√</v>
      </c>
      <c r="F97" t="b">
        <f>_xlfn.LET(_xlpm.x,VLOOKUP($B97,spell_header!$B$2:$G$373,5,FALSE),IF(_xlpm.x="","",_xlpm.x))</f>
        <v>0</v>
      </c>
      <c r="G97">
        <v>135</v>
      </c>
    </row>
    <row r="98" spans="1:7" ht="15" x14ac:dyDescent="0.2">
      <c r="A98">
        <v>96</v>
      </c>
      <c r="B98" s="1" t="s">
        <v>1667</v>
      </c>
      <c r="C98" t="str">
        <f>_xlfn.LET(_xlpm.x,VLOOKUP($B98,spell_header!$B$2:$G$373,2,FALSE),IF(_xlpm.x="","",_xlpm.x))</f>
        <v>具有命中特效</v>
      </c>
      <c r="D98" s="4" t="str">
        <f>IF(VLOOKUP($B98,spell_header!$B$2:$G$373,3,FALSE)="√","√","")</f>
        <v>√</v>
      </c>
      <c r="E98" s="4" t="str">
        <f>IF(VLOOKUP($B98,spell_header!$B$2:$G$373,4,FALSE)="√","√","")</f>
        <v>√</v>
      </c>
      <c r="F98" t="b">
        <f>_xlfn.LET(_xlpm.x,VLOOKUP($B98,spell_header!$B$2:$G$373,5,FALSE),IF(_xlpm.x="","",_xlpm.x))</f>
        <v>0</v>
      </c>
      <c r="G98">
        <v>152</v>
      </c>
    </row>
    <row r="99" spans="1:7" ht="15" x14ac:dyDescent="0.2">
      <c r="A99">
        <v>97</v>
      </c>
      <c r="B99" s="1" t="s">
        <v>1668</v>
      </c>
      <c r="C99" t="str">
        <f>_xlfn.LET(_xlpm.x,VLOOKUP($B99,spell_header!$B$2:$G$373,2,FALSE),IF(_xlpm.x="","",_xlpm.x))</f>
        <v>从玩家定义纹理半径</v>
      </c>
      <c r="D99" s="4" t="str">
        <f>IF(VLOOKUP($B99,spell_header!$B$2:$G$373,3,FALSE)="√","√","")</f>
        <v>√</v>
      </c>
      <c r="E99" s="4" t="str">
        <f>IF(VLOOKUP($B99,spell_header!$B$2:$G$373,4,FALSE)="√","√","")</f>
        <v>√</v>
      </c>
      <c r="F99" t="b">
        <f>_xlfn.LET(_xlpm.x,VLOOKUP($B99,spell_header!$B$2:$G$373,5,FALSE),IF(_xlpm.x="","",_xlpm.x))</f>
        <v>0</v>
      </c>
      <c r="G99">
        <v>137</v>
      </c>
    </row>
    <row r="100" spans="1:7" ht="15" x14ac:dyDescent="0.2">
      <c r="A100">
        <v>98</v>
      </c>
      <c r="B100" s="1" t="s">
        <v>1669</v>
      </c>
      <c r="C100" t="str">
        <f>_xlfn.LET(_xlpm.x,VLOOKUP($B100,spell_header!$B$2:$G$373,2,FALSE),IF(_xlpm.x="","",_xlpm.x))</f>
        <v>开关型技能</v>
      </c>
      <c r="D100" s="4" t="str">
        <f>IF(VLOOKUP($B100,spell_header!$B$2:$G$373,3,FALSE)="√","√","")</f>
        <v>√</v>
      </c>
      <c r="E100" s="4" t="str">
        <f>IF(VLOOKUP($B100,spell_header!$B$2:$G$373,4,FALSE)="√","√","")</f>
        <v>√</v>
      </c>
      <c r="F100" t="b">
        <f>_xlfn.LET(_xlpm.x,VLOOKUP($B100,spell_header!$B$2:$G$373,5,FALSE),IF(_xlpm.x="","",_xlpm.x))</f>
        <v>0</v>
      </c>
      <c r="G100">
        <v>17</v>
      </c>
    </row>
    <row r="101" spans="1:7" ht="15" x14ac:dyDescent="0.2">
      <c r="A101">
        <v>99</v>
      </c>
      <c r="B101" s="1" t="s">
        <v>1670</v>
      </c>
      <c r="C101" t="str">
        <f>_xlfn.LET(_xlpm.x,VLOOKUP($B101,spell_header!$B$2:$G$373,2,FALSE),IF(_xlpm.x="","",_xlpm.x))</f>
        <v>施法时不需要面向目标</v>
      </c>
      <c r="D101" s="4" t="str">
        <f>IF(VLOOKUP($B101,spell_header!$B$2:$G$373,3,FALSE)="√","√","")</f>
        <v>√</v>
      </c>
      <c r="E101" s="4" t="str">
        <f>IF(VLOOKUP($B101,spell_header!$B$2:$G$373,4,FALSE)="√","√","")</f>
        <v>√</v>
      </c>
      <c r="F101" t="b">
        <f>_xlfn.LET(_xlpm.x,VLOOKUP($B101,spell_header!$B$2:$G$373,5,FALSE),IF(_xlpm.x="","",_xlpm.x))</f>
        <v>0</v>
      </c>
      <c r="G101">
        <v>74</v>
      </c>
    </row>
    <row r="102" spans="1:7" ht="15" x14ac:dyDescent="0.2">
      <c r="A102">
        <v>100</v>
      </c>
      <c r="B102" s="1" t="s">
        <v>1671</v>
      </c>
      <c r="C102" t="str">
        <f>_xlfn.LET(_xlpm.x,VLOOKUP($B102,spell_header!$B$2:$G$373,2,FALSE),IF(_xlpm.x="","",_xlpm.x))</f>
        <v>打断后不会触发技能结束效果</v>
      </c>
      <c r="D102" s="4" t="str">
        <f>IF(VLOOKUP($B102,spell_header!$B$2:$G$373,3,FALSE)="√","√","")</f>
        <v>√</v>
      </c>
      <c r="E102" s="4" t="str">
        <f>IF(VLOOKUP($B102,spell_header!$B$2:$G$373,4,FALSE)="√","√","")</f>
        <v>√</v>
      </c>
      <c r="F102" t="b">
        <f>_xlfn.LET(_xlpm.x,VLOOKUP($B102,spell_header!$B$2:$G$373,5,FALSE),IF(_xlpm.x="","",_xlpm.x))</f>
        <v>0</v>
      </c>
      <c r="G102">
        <v>118</v>
      </c>
    </row>
    <row r="103" spans="1:7" ht="15" x14ac:dyDescent="0.2">
      <c r="A103">
        <v>101</v>
      </c>
      <c r="B103" s="1" t="s">
        <v>1672</v>
      </c>
      <c r="C103" t="str">
        <f>_xlfn.LET(_xlpm.x,VLOOKUP($B103,spell_header!$B$2:$G$373,2,FALSE),IF(_xlpm.x="","",_xlpm.x))</f>
        <v>转向速度标量</v>
      </c>
      <c r="D103" s="4" t="str">
        <f>IF(VLOOKUP($B103,spell_header!$B$2:$G$373,3,FALSE)="√","√","")</f>
        <v>√</v>
      </c>
      <c r="E103" s="4" t="str">
        <f>IF(VLOOKUP($B103,spell_header!$B$2:$G$373,4,FALSE)="√","√","")</f>
        <v>√</v>
      </c>
      <c r="F103" t="str">
        <f>_xlfn.LET(_xlpm.x,VLOOKUP($B103,spell_header!$B$2:$G$373,5,FALSE),IF(_xlpm.x="","",_xlpm.x))</f>
        <v/>
      </c>
      <c r="G103">
        <v>139</v>
      </c>
    </row>
    <row r="104" spans="1:7" ht="15" x14ac:dyDescent="0.2">
      <c r="A104">
        <v>102</v>
      </c>
      <c r="B104" s="1" t="s">
        <v>1673</v>
      </c>
      <c r="C104" t="str">
        <f>_xlfn.LET(_xlpm.x,VLOOKUP($B104,spell_header!$B$2:$G$373,2,FALSE),IF(_xlpm.x="","",_xlpm.x))</f>
        <v>施法时不检查距离</v>
      </c>
      <c r="D104" s="4" t="str">
        <f>IF(VLOOKUP($B104,spell_header!$B$2:$G$373,3,FALSE)="√","√","")</f>
        <v>√</v>
      </c>
      <c r="E104" s="4" t="str">
        <f>IF(VLOOKUP($B104,spell_header!$B$2:$G$373,4,FALSE)="√","√","")</f>
        <v>√</v>
      </c>
      <c r="F104" t="b">
        <f>_xlfn.LET(_xlpm.x,VLOOKUP($B104,spell_header!$B$2:$G$373,5,FALSE),IF(_xlpm.x="","",_xlpm.x))</f>
        <v>0</v>
      </c>
      <c r="G104">
        <v>112</v>
      </c>
    </row>
    <row r="105" spans="1:7" ht="15" x14ac:dyDescent="0.2">
      <c r="A105">
        <v>103</v>
      </c>
      <c r="B105" s="1" t="s">
        <v>1674</v>
      </c>
      <c r="C105" t="str">
        <f>_xlfn.LET(_xlpm.x,VLOOKUP($B105,spell_header!$B$2:$G$373,2,FALSE),IF(_xlpm.x="","",_xlpm.x))</f>
        <v>施法时更新服务器轮转</v>
      </c>
      <c r="D105" s="4" t="str">
        <f>IF(VLOOKUP($B105,spell_header!$B$2:$G$373,3,FALSE)="√","√","")</f>
        <v>√</v>
      </c>
      <c r="E105" s="4" t="str">
        <f>IF(VLOOKUP($B105,spell_header!$B$2:$G$373,4,FALSE)="√","√","")</f>
        <v>√</v>
      </c>
      <c r="F105" t="b">
        <f>_xlfn.LET(_xlpm.x,VLOOKUP($B105,spell_header!$B$2:$G$373,5,FALSE),IF(_xlpm.x="","",_xlpm.x))</f>
        <v>0</v>
      </c>
      <c r="G105">
        <v>142</v>
      </c>
    </row>
    <row r="106" spans="1:7" ht="15" x14ac:dyDescent="0.2">
      <c r="A106">
        <v>104</v>
      </c>
      <c r="B106" s="1" t="s">
        <v>1675</v>
      </c>
      <c r="C106" t="str">
        <f>_xlfn.LET(_xlpm.x,VLOOKUP($B106,spell_header!$B$2:$G$373,2,FALSE),IF(_xlpm.x="","",_xlpm.x))</f>
        <v>禁用时可标记</v>
      </c>
      <c r="D106" s="4" t="str">
        <f>IF(VLOOKUP($B106,spell_header!$B$2:$G$373,3,FALSE)="√","√","")</f>
        <v>√</v>
      </c>
      <c r="E106" s="4" t="str">
        <f>IF(VLOOKUP($B106,spell_header!$B$2:$G$373,4,FALSE)="√","√","")</f>
        <v>√</v>
      </c>
      <c r="F106" t="b">
        <f>_xlfn.LET(_xlpm.x,VLOOKUP($B106,spell_header!$B$2:$G$373,5,FALSE),IF(_xlpm.x="","",_xlpm.x))</f>
        <v>0</v>
      </c>
      <c r="G106">
        <v>93</v>
      </c>
    </row>
    <row r="107" spans="1:7" ht="15" x14ac:dyDescent="0.2">
      <c r="A107">
        <v>105</v>
      </c>
      <c r="B107" s="1" t="s">
        <v>1821</v>
      </c>
      <c r="C107" t="str">
        <f>_xlfn.LET(_xlpm.x,VLOOKUP($B107,spell_header!$B$2:$G$373,2,FALSE),IF(_xlpm.x="","",_xlpm.x))</f>
        <v>覆盖攻击时间计算</v>
      </c>
      <c r="D107" s="4" t="str">
        <f>IF(VLOOKUP($B107,spell_header!$B$2:$G$373,3,FALSE)="√","√","")</f>
        <v>√</v>
      </c>
      <c r="E107" s="4" t="str">
        <f>IF(VLOOKUP($B107,spell_header!$B$2:$G$373,4,FALSE)="√","√","")</f>
        <v>√</v>
      </c>
      <c r="F107" t="str">
        <f>_xlfn.LET(_xlpm.x,VLOOKUP($B107,spell_header!$B$2:$G$373,5,FALSE),IF(_xlpm.x="","",_xlpm.x))</f>
        <v/>
      </c>
      <c r="G107">
        <v>144</v>
      </c>
    </row>
    <row r="108" spans="1:7" ht="15" x14ac:dyDescent="0.2">
      <c r="A108">
        <v>106</v>
      </c>
      <c r="B108" s="1" t="s">
        <v>1822</v>
      </c>
      <c r="C108" t="str">
        <f>_xlfn.LET(_xlpm.x,VLOOKUP($B108,spell_header!$B$2:$G$373,2,FALSE),IF(_xlpm.x="","",_xlpm.x))</f>
        <v>启用攻击延迟覆盖</v>
      </c>
      <c r="D108" s="4" t="str">
        <f>IF(VLOOKUP($B108,spell_header!$B$2:$G$373,3,FALSE)="√","√","")</f>
        <v>√</v>
      </c>
      <c r="E108" s="4" t="str">
        <f>IF(VLOOKUP($B108,spell_header!$B$2:$G$373,4,FALSE)="√","√","")</f>
        <v>√</v>
      </c>
      <c r="F108" t="b">
        <f>_xlfn.LET(_xlpm.x,VLOOKUP($B108,spell_header!$B$2:$G$373,5,FALSE),IF(_xlpm.x="","",_xlpm.x))</f>
        <v>1</v>
      </c>
      <c r="G108">
        <v>143</v>
      </c>
    </row>
    <row r="109" spans="1:7" ht="15" x14ac:dyDescent="0.2">
      <c r="A109">
        <v>107</v>
      </c>
      <c r="B109" s="1" t="s">
        <v>1823</v>
      </c>
      <c r="C109" t="str">
        <f>_xlfn.LET(_xlpm.x,VLOOKUP($B109,spell_header!$B$2:$G$373,2,FALSE),IF(_xlpm.x="","",_xlpm.x))</f>
        <v>施放时间百分比</v>
      </c>
      <c r="D109" s="4" t="str">
        <f>IF(VLOOKUP($B109,spell_header!$B$2:$G$373,3,FALSE)="√","√","")</f>
        <v>√</v>
      </c>
      <c r="E109" s="4" t="str">
        <f>IF(VLOOKUP($B109,spell_header!$B$2:$G$373,4,FALSE)="√","√","")</f>
        <v>√</v>
      </c>
      <c r="F109" t="str">
        <f>_xlfn.LET(_xlpm.x,VLOOKUP($B109,spell_header!$B$2:$G$373,5,FALSE),IF(_xlpm.x="","",_xlpm.x))</f>
        <v/>
      </c>
      <c r="G109">
        <v>145</v>
      </c>
    </row>
    <row r="110" spans="1:7" ht="15" x14ac:dyDescent="0.2">
      <c r="A110">
        <v>108</v>
      </c>
      <c r="B110" s="1" t="s">
        <v>1827</v>
      </c>
      <c r="C110" t="str">
        <f>_xlfn.LET(_xlpm.x,VLOOKUP($B110,spell_header!$B$2:$G$373,2,FALSE),IF(_xlpm.x="","",_xlpm.x))</f>
        <v>自动攻击时间计算</v>
      </c>
      <c r="D110" s="4" t="str">
        <f>IF(VLOOKUP($B110,spell_header!$B$2:$G$373,3,FALSE)="√","√","")</f>
        <v>√</v>
      </c>
      <c r="E110" s="4" t="str">
        <f>IF(VLOOKUP($B110,spell_header!$B$2:$G$373,4,FALSE)="√","√","")</f>
        <v>√</v>
      </c>
      <c r="F110" t="str">
        <f>_xlfn.LET(_xlpm.x,VLOOKUP($B110,spell_header!$B$2:$G$373,5,FALSE),IF(_xlpm.x="","",_xlpm.x))</f>
        <v/>
      </c>
      <c r="G110">
        <v>147</v>
      </c>
    </row>
    <row r="111" spans="1:7" ht="15" x14ac:dyDescent="0.2">
      <c r="A111">
        <v>109</v>
      </c>
      <c r="B111" s="1" t="s">
        <v>1828</v>
      </c>
      <c r="C111" t="str">
        <f>_xlfn.LET(_xlpm.x,VLOOKUP($B111,spell_header!$B$2:$G$373,2,FALSE),IF(_xlpm.x="","",_xlpm.x))</f>
        <v>自动攻击时间作为总攻击时间</v>
      </c>
      <c r="D111" s="4" t="str">
        <f>IF(VLOOKUP($B111,spell_header!$B$2:$G$373,3,FALSE)="√","√","")</f>
        <v>√</v>
      </c>
      <c r="E111" s="4" t="str">
        <f>IF(VLOOKUP($B111,spell_header!$B$2:$G$373,4,FALSE)="√","√","")</f>
        <v>√</v>
      </c>
      <c r="F111" t="b">
        <f>_xlfn.LET(_xlpm.x,VLOOKUP($B111,spell_header!$B$2:$G$373,5,FALSE),IF(_xlpm.x="","",_xlpm.x))</f>
        <v>1</v>
      </c>
      <c r="G111">
        <v>148</v>
      </c>
    </row>
    <row r="112" spans="1:7" ht="15" x14ac:dyDescent="0.2">
      <c r="A112">
        <v>110</v>
      </c>
      <c r="B112" s="1" t="s">
        <v>1676</v>
      </c>
      <c r="C112" t="str">
        <f>_xlfn.LET(_xlpm.x,VLOOKUP($B112,spell_header!$B$2:$G$373,2,FALSE),IF(_xlpm.x="","",_xlpm.x))</f>
        <v>视为自动攻击</v>
      </c>
      <c r="D112" s="4" t="str">
        <f>IF(VLOOKUP($B112,spell_header!$B$2:$G$373,3,FALSE)="√","√","")</f>
        <v>√</v>
      </c>
      <c r="E112" s="4" t="str">
        <f>IF(VLOOKUP($B112,spell_header!$B$2:$G$373,4,FALSE)="√","√","")</f>
        <v>√</v>
      </c>
      <c r="F112" t="b">
        <f>_xlfn.LET(_xlpm.x,VLOOKUP($B112,spell_header!$B$2:$G$373,5,FALSE),IF(_xlpm.x="","",_xlpm.x))</f>
        <v>0</v>
      </c>
      <c r="G112">
        <v>146</v>
      </c>
    </row>
    <row r="113" spans="1:7" ht="15" x14ac:dyDescent="0.2">
      <c r="A113">
        <v>111</v>
      </c>
      <c r="B113" s="1" t="s">
        <v>1677</v>
      </c>
      <c r="C113" t="str">
        <f>_xlfn.LET(_xlpm.x,VLOOKUP($B113,spell_header!$B$2:$G$373,2,FALSE),IF(_xlpm.x="","",_xlpm.x))</f>
        <v>动画直到施放帧时持续</v>
      </c>
      <c r="D113" s="4" t="str">
        <f>IF(VLOOKUP($B113,spell_header!$B$2:$G$373,3,FALSE)="√","√","")</f>
        <v>√</v>
      </c>
      <c r="E113" s="4" t="str">
        <f>IF(VLOOKUP($B113,spell_header!$B$2:$G$373,4,FALSE)="√","√","")</f>
        <v>√</v>
      </c>
      <c r="F113" t="b">
        <f>_xlfn.LET(_xlpm.x,VLOOKUP($B113,spell_header!$B$2:$G$373,5,FALSE),IF(_xlpm.x="","",_xlpm.x))</f>
        <v>0</v>
      </c>
      <c r="G113">
        <v>138</v>
      </c>
    </row>
    <row r="114" spans="1:7" ht="15" x14ac:dyDescent="0.2">
      <c r="A114">
        <v>112</v>
      </c>
      <c r="B114" s="1" t="s">
        <v>1678</v>
      </c>
      <c r="C114" t="str">
        <f>_xlfn.LET(_xlpm.x,VLOOKUP($B114,spell_header!$B$2:$G$373,2,FALSE),IF(_xlpm.x="","",_xlpm.x))</f>
        <v>施法时隐藏距离指示器</v>
      </c>
      <c r="D114" s="4" t="str">
        <f>IF(VLOOKUP($B114,spell_header!$B$2:$G$373,3,FALSE)="√","√","")</f>
        <v>√</v>
      </c>
      <c r="E114" s="4" t="str">
        <f>IF(VLOOKUP($B114,spell_header!$B$2:$G$373,4,FALSE)="√","√","")</f>
        <v>√</v>
      </c>
      <c r="F114" t="b">
        <f>_xlfn.LET(_xlpm.x,VLOOKUP($B114,spell_header!$B$2:$G$373,5,FALSE),IF(_xlpm.x="","",_xlpm.x))</f>
        <v>0</v>
      </c>
      <c r="G114">
        <v>113</v>
      </c>
    </row>
    <row r="115" spans="1:7" ht="15" x14ac:dyDescent="0.2">
      <c r="A115">
        <v>113</v>
      </c>
      <c r="B115" s="1" t="s">
        <v>1679</v>
      </c>
      <c r="C115" t="str">
        <f>_xlfn.LET(_xlpm.x,VLOOKUP($B115,spell_header!$B$2:$G$373,2,FALSE),IF(_xlpm.x="","",_xlpm.x))</f>
        <v>不消耗法力值</v>
      </c>
      <c r="D115" s="4" t="str">
        <f>IF(VLOOKUP($B115,spell_header!$B$2:$G$373,3,FALSE)="√","√","")</f>
        <v>√</v>
      </c>
      <c r="E115" s="4" t="str">
        <f>IF(VLOOKUP($B115,spell_header!$B$2:$G$373,4,FALSE)="√","√","")</f>
        <v>√</v>
      </c>
      <c r="F115" t="b">
        <f>_xlfn.LET(_xlpm.x,VLOOKUP($B115,spell_header!$B$2:$G$373,5,FALSE),IF(_xlpm.x="","",_xlpm.x))</f>
        <v>0</v>
      </c>
      <c r="G115">
        <v>18</v>
      </c>
    </row>
    <row r="116" spans="1:7" ht="15" x14ac:dyDescent="0.2">
      <c r="A116">
        <v>114</v>
      </c>
      <c r="B116" s="1" t="s">
        <v>1680</v>
      </c>
      <c r="C116" t="str">
        <f>_xlfn.LET(_xlpm.x,VLOOKUP($B116,spell_header!$B$2:$G$373,2,FALSE),IF(_xlpm.x="","",_xlpm.x))</f>
        <v>激活时锁定技能施放起源ID</v>
      </c>
      <c r="D116" s="4" t="str">
        <f>IF(VLOOKUP($B116,spell_header!$B$2:$G$373,3,FALSE)="√","√","")</f>
        <v>√</v>
      </c>
      <c r="E116" s="4" t="str">
        <f>IF(VLOOKUP($B116,spell_header!$B$2:$G$373,4,FALSE)="√","√","")</f>
        <v>√</v>
      </c>
      <c r="F116" t="b">
        <f>_xlfn.LET(_xlpm.x,VLOOKUP($B116,spell_header!$B$2:$G$373,5,FALSE),IF(_xlpm.x="","",_xlpm.x))</f>
        <v>0</v>
      </c>
      <c r="G116">
        <v>120</v>
      </c>
    </row>
    <row r="117" spans="1:7" ht="15" x14ac:dyDescent="0.2">
      <c r="A117">
        <v>115</v>
      </c>
      <c r="B117" s="1" t="s">
        <v>1681</v>
      </c>
      <c r="C117" t="str">
        <f>_xlfn.LET(_xlpm.x,VLOOKUP($B117,spell_header!$B$2:$G$373,2,FALSE),IF(_xlpm.x="","",_xlpm.x))</f>
        <v>不立即进入冷却时间</v>
      </c>
      <c r="D117" s="4" t="str">
        <f>IF(VLOOKUP($B117,spell_header!$B$2:$G$373,3,FALSE)="√","√","")</f>
        <v>√</v>
      </c>
      <c r="E117" s="4" t="str">
        <f>IF(VLOOKUP($B117,spell_header!$B$2:$G$373,4,FALSE)="√","√","")</f>
        <v>√</v>
      </c>
      <c r="F117" t="b">
        <f>_xlfn.LET(_xlpm.x,VLOOKUP($B117,spell_header!$B$2:$G$373,5,FALSE),IF(_xlpm.x="","",_xlpm.x))</f>
        <v>0</v>
      </c>
      <c r="G117">
        <v>119</v>
      </c>
    </row>
    <row r="118" spans="1:7" ht="15" x14ac:dyDescent="0.2">
      <c r="A118">
        <v>116</v>
      </c>
      <c r="B118" s="1" t="s">
        <v>1682</v>
      </c>
      <c r="C118" t="str">
        <f>_xlfn.LET(_xlpm.x,VLOOKUP($B118,spell_header!$B$2:$G$373,2,FALSE),IF(_xlpm.x="","",_xlpm.x))</f>
        <v>参与暴击概率计算</v>
      </c>
      <c r="D118" s="4" t="str">
        <f>IF(VLOOKUP($B118,spell_header!$B$2:$G$373,3,FALSE)="√","√","")</f>
        <v>√</v>
      </c>
      <c r="E118" s="4" t="str">
        <f>IF(VLOOKUP($B118,spell_header!$B$2:$G$373,4,FALSE)="√","√","")</f>
        <v>√</v>
      </c>
      <c r="F118" t="b">
        <f>_xlfn.LET(_xlpm.x,VLOOKUP($B118,spell_header!$B$2:$G$373,5,FALSE),IF(_xlpm.x="","",_xlpm.x))</f>
        <v>0</v>
      </c>
      <c r="G118">
        <v>121</v>
      </c>
    </row>
    <row r="119" spans="1:7" ht="15" x14ac:dyDescent="0.2">
      <c r="A119">
        <v>117</v>
      </c>
      <c r="B119" s="1" t="s">
        <v>1683</v>
      </c>
      <c r="C119" t="str">
        <f>_xlfn.LET(_xlpm.x,VLOOKUP($B119,spell_header!$B$2:$G$373,2,FALSE),IF(_xlpm.x="","",_xlpm.x))</f>
        <v>小地图缩略图显示旗标</v>
      </c>
      <c r="D119" s="4" t="str">
        <f>IF(VLOOKUP($B119,spell_header!$B$2:$G$373,3,FALSE)="√","√","")</f>
        <v>√</v>
      </c>
      <c r="E119" s="4" t="str">
        <f>IF(VLOOKUP($B119,spell_header!$B$2:$G$373,4,FALSE)="√","√","")</f>
        <v>√</v>
      </c>
      <c r="F119" t="str">
        <f>_xlfn.LET(_xlpm.x,VLOOKUP($B119,spell_header!$B$2:$G$373,5,FALSE),IF(_xlpm.x="","",_xlpm.x))</f>
        <v/>
      </c>
      <c r="G119">
        <v>149</v>
      </c>
    </row>
    <row r="120" spans="1:7" ht="15" x14ac:dyDescent="0.2">
      <c r="A120">
        <v>118</v>
      </c>
      <c r="B120" s="1" t="s">
        <v>1684</v>
      </c>
      <c r="C120" t="str">
        <f>_xlfn.LET(_xlpm.x,VLOOKUP($B120,spell_header!$B$2:$G$373,2,FALSE),IF(_xlpm.x="","",_xlpm.x))</f>
        <v>需要接收输入事件以保持</v>
      </c>
      <c r="D120" s="4" t="str">
        <f>IF(VLOOKUP($B120,spell_header!$B$2:$G$373,3,FALSE)="√","√","")</f>
        <v>√</v>
      </c>
      <c r="E120" s="4" t="str">
        <f>IF(VLOOKUP($B120,spell_header!$B$2:$G$373,4,FALSE)="√","√","")</f>
        <v>√</v>
      </c>
      <c r="F120" t="b">
        <f>_xlfn.LET(_xlpm.x,VLOOKUP($B120,spell_header!$B$2:$G$373,5,FALSE),IF(_xlpm.x="","",_xlpm.x))</f>
        <v>0</v>
      </c>
      <c r="G120">
        <v>122</v>
      </c>
    </row>
    <row r="121" spans="1:7" ht="15" x14ac:dyDescent="0.2">
      <c r="A121">
        <v>119</v>
      </c>
      <c r="B121" s="1" t="s">
        <v>1685</v>
      </c>
      <c r="C121" t="str">
        <f>_xlfn.LET(_xlpm.x,VLOOKUP($B121,spell_header!$B$2:$G$373,2,FALSE),IF(_xlpm.x="","",_xlpm.x))</f>
        <v>施法范围</v>
      </c>
      <c r="D121" s="4" t="str">
        <f>IF(VLOOKUP($B121,spell_header!$B$2:$G$373,3,FALSE)="√","√","")</f>
        <v>√</v>
      </c>
      <c r="E121" s="4" t="str">
        <f>IF(VLOOKUP($B121,spell_header!$B$2:$G$373,4,FALSE)="√","√","")</f>
        <v>√</v>
      </c>
      <c r="F121" t="str">
        <f>_xlfn.LET(_xlpm.x,VLOOKUP($B121,spell_header!$B$2:$G$373,5,FALSE),IF(_xlpm.x="","",_xlpm.x))</f>
        <v/>
      </c>
      <c r="G121">
        <v>46</v>
      </c>
    </row>
    <row r="122" spans="1:7" ht="15" x14ac:dyDescent="0.2">
      <c r="A122">
        <v>120</v>
      </c>
      <c r="B122" s="1" t="s">
        <v>1686</v>
      </c>
      <c r="C122" t="str">
        <f>_xlfn.LET(_xlpm.x,VLOOKUP($B122,spell_header!$B$2:$G$373,2,FALSE),IF(_xlpm.x="","",_xlpm.x))</f>
        <v>显示施法范围</v>
      </c>
      <c r="D122" s="4" t="str">
        <f>IF(VLOOKUP($B122,spell_header!$B$2:$G$373,3,FALSE)="√","√","")</f>
        <v>√</v>
      </c>
      <c r="E122" s="4" t="str">
        <f>IF(VLOOKUP($B122,spell_header!$B$2:$G$373,4,FALSE)="√","√","")</f>
        <v>√</v>
      </c>
      <c r="F122" t="str">
        <f>_xlfn.LET(_xlpm.x,VLOOKUP($B122,spell_header!$B$2:$G$373,5,FALSE),IF(_xlpm.x="","",_xlpm.x))</f>
        <v/>
      </c>
      <c r="G122">
        <v>49</v>
      </c>
    </row>
    <row r="123" spans="1:7" ht="15" x14ac:dyDescent="0.2">
      <c r="A123">
        <v>121</v>
      </c>
      <c r="B123" s="1" t="s">
        <v>1687</v>
      </c>
      <c r="C123" t="str">
        <f>_xlfn.LET(_xlpm.x,VLOOKUP($B123,spell_header!$B$2:$G$373,2,FALSE),IF(_xlpm.x="","",_xlpm.x))</f>
        <v>施法半径</v>
      </c>
      <c r="D123" s="4" t="str">
        <f>IF(VLOOKUP($B123,spell_header!$B$2:$G$373,3,FALSE)="√","√","")</f>
        <v>√</v>
      </c>
      <c r="E123" s="4" t="str">
        <f>IF(VLOOKUP($B123,spell_header!$B$2:$G$373,4,FALSE)="√","√","")</f>
        <v>√</v>
      </c>
      <c r="F123" t="str">
        <f>_xlfn.LET(_xlpm.x,VLOOKUP($B123,spell_header!$B$2:$G$373,5,FALSE),IF(_xlpm.x="","",_xlpm.x))</f>
        <v/>
      </c>
      <c r="G123">
        <v>54</v>
      </c>
    </row>
    <row r="124" spans="1:7" ht="15" x14ac:dyDescent="0.2">
      <c r="A124">
        <v>122</v>
      </c>
      <c r="B124" s="1" t="s">
        <v>1688</v>
      </c>
      <c r="C124" t="str">
        <f>_xlfn.LET(_xlpm.x,VLOOKUP($B124,spell_header!$B$2:$G$373,2,FALSE),IF(_xlpm.x="","",_xlpm.x))</f>
        <v>次要施法半径</v>
      </c>
      <c r="D124" s="4" t="str">
        <f>IF(VLOOKUP($B124,spell_header!$B$2:$G$373,3,FALSE)="√","√","")</f>
        <v>√</v>
      </c>
      <c r="E124" s="4" t="str">
        <f>IF(VLOOKUP($B124,spell_header!$B$2:$G$373,4,FALSE)="√","√","")</f>
        <v>√</v>
      </c>
      <c r="F124" t="str">
        <f>_xlfn.LET(_xlpm.x,VLOOKUP($B124,spell_header!$B$2:$G$373,5,FALSE),IF(_xlpm.x="","",_xlpm.x))</f>
        <v/>
      </c>
      <c r="G124">
        <v>55</v>
      </c>
    </row>
    <row r="125" spans="1:7" ht="15" x14ac:dyDescent="0.2">
      <c r="A125">
        <v>123</v>
      </c>
      <c r="B125" s="1" t="s">
        <v>1689</v>
      </c>
      <c r="C125" t="str">
        <f>_xlfn.LET(_xlpm.x,VLOOKUP($B125,spell_header!$B$2:$G$373,2,FALSE),IF(_xlpm.x="","",_xlpm.x))</f>
        <v>施法锥角度</v>
      </c>
      <c r="D125" s="4" t="str">
        <f>IF(VLOOKUP($B125,spell_header!$B$2:$G$373,3,FALSE)="√","√","")</f>
        <v>√</v>
      </c>
      <c r="E125" s="4" t="str">
        <f>IF(VLOOKUP($B125,spell_header!$B$2:$G$373,4,FALSE)="√","√","")</f>
        <v>√</v>
      </c>
      <c r="F125" t="str">
        <f>_xlfn.LET(_xlpm.x,VLOOKUP($B125,spell_header!$B$2:$G$373,5,FALSE),IF(_xlpm.x="","",_xlpm.x))</f>
        <v/>
      </c>
      <c r="G125">
        <v>59</v>
      </c>
    </row>
    <row r="126" spans="1:7" ht="15" x14ac:dyDescent="0.2">
      <c r="A126">
        <v>124</v>
      </c>
      <c r="B126" s="1" t="s">
        <v>1690</v>
      </c>
      <c r="C126" t="str">
        <f>_xlfn.LET(_xlpm.x,VLOOKUP($B126,spell_header!$B$2:$G$373,2,FALSE),IF(_xlpm.x="","",_xlpm.x))</f>
        <v>施法锥距离</v>
      </c>
      <c r="D126" s="4" t="str">
        <f>IF(VLOOKUP($B126,spell_header!$B$2:$G$373,3,FALSE)="√","√","")</f>
        <v>√</v>
      </c>
      <c r="E126" s="4" t="str">
        <f>IF(VLOOKUP($B126,spell_header!$B$2:$G$373,4,FALSE)="√","√","")</f>
        <v>√</v>
      </c>
      <c r="F126" t="str">
        <f>_xlfn.LET(_xlpm.x,VLOOKUP($B126,spell_header!$B$2:$G$373,5,FALSE),IF(_xlpm.x="","",_xlpm.x))</f>
        <v/>
      </c>
      <c r="G126">
        <v>60</v>
      </c>
    </row>
    <row r="127" spans="1:7" ht="15" x14ac:dyDescent="0.2">
      <c r="A127">
        <v>125</v>
      </c>
      <c r="B127" s="1" t="s">
        <v>1691</v>
      </c>
      <c r="C127" t="str">
        <f>_xlfn.LET(_xlpm.x,VLOOKUP($B127,spell_header!$B$2:$G$373,2,FALSE),IF(_xlpm.x="","",_xlpm.x))</f>
        <v>施法物体作用半径</v>
      </c>
      <c r="D127" s="4" t="str">
        <f>IF(VLOOKUP($B127,spell_header!$B$2:$G$373,3,FALSE)="√","√","")</f>
        <v>√</v>
      </c>
      <c r="E127" s="4" t="str">
        <f>IF(VLOOKUP($B127,spell_header!$B$2:$G$373,4,FALSE)="√","√","")</f>
        <v>√</v>
      </c>
      <c r="F127" t="str">
        <f>_xlfn.LET(_xlpm.x,VLOOKUP($B127,spell_header!$B$2:$G$373,5,FALSE),IF(_xlpm.x="","",_xlpm.x))</f>
        <v/>
      </c>
      <c r="G127">
        <v>61</v>
      </c>
    </row>
    <row r="128" spans="1:7" ht="15" x14ac:dyDescent="0.2">
      <c r="A128">
        <v>126</v>
      </c>
      <c r="B128" s="1" t="s">
        <v>3760</v>
      </c>
      <c r="C128" t="str">
        <f>_xlfn.LET(_xlpm.x,VLOOKUP($B128,spell_header!$B$2:$G$373,2,FALSE),IF(_xlpm.x="","",_xlpm.x))</f>
        <v>施法范围值</v>
      </c>
      <c r="D128" s="4" t="str">
        <f>IF(VLOOKUP($B128,spell_header!$B$2:$G$373,3,FALSE)="√","√","")</f>
        <v>√</v>
      </c>
      <c r="E128" s="4" t="str">
        <f>IF(VLOOKUP($B128,spell_header!$B$2:$G$373,4,FALSE)="√","√","")</f>
        <v/>
      </c>
      <c r="F128" t="str">
        <f>_xlfn.LET(_xlpm.x,VLOOKUP($B128,spell_header!$B$2:$G$373,5,FALSE),IF(_xlpm.x="","",_xlpm.x))</f>
        <v/>
      </c>
      <c r="G128">
        <v>47</v>
      </c>
    </row>
    <row r="129" spans="1:7" ht="15" x14ac:dyDescent="0.2">
      <c r="A129">
        <v>127</v>
      </c>
      <c r="B129" s="1" t="s">
        <v>3762</v>
      </c>
      <c r="C129" t="str">
        <f>_xlfn.LET(_xlpm.x,VLOOKUP($B129,spell_header!$B$2:$G$373,2,FALSE),IF(_xlpm.x="","",_xlpm.x))</f>
        <v>施法范围值简化表示</v>
      </c>
      <c r="D129" s="4" t="str">
        <f>IF(VLOOKUP($B129,spell_header!$B$2:$G$373,3,FALSE)="√","√","")</f>
        <v>√</v>
      </c>
      <c r="E129" s="4" t="str">
        <f>IF(VLOOKUP($B129,spell_header!$B$2:$G$373,4,FALSE)="√","√","")</f>
        <v>√</v>
      </c>
      <c r="F129" t="str">
        <f>_xlfn.LET(_xlpm.x,VLOOKUP($B129,spell_header!$B$2:$G$373,5,FALSE),IF(_xlpm.x="","",_xlpm.x))</f>
        <v/>
      </c>
      <c r="G129">
        <v>48</v>
      </c>
    </row>
    <row r="130" spans="1:7" ht="15" x14ac:dyDescent="0.2">
      <c r="A130">
        <v>128</v>
      </c>
      <c r="B130" s="1" t="s">
        <v>1692</v>
      </c>
      <c r="C130" t="str">
        <f>_xlfn.LET(_xlpm.x,VLOOKUP($B130,spell_header!$B$2:$G$373,2,FALSE),IF(_xlpm.x="","",_xlpm.x))</f>
        <v>Lua脚本更新导弹距离间隔</v>
      </c>
      <c r="D130" s="4" t="str">
        <f>IF(VLOOKUP($B130,spell_header!$B$2:$G$373,3,FALSE)="√","√","")</f>
        <v>√</v>
      </c>
      <c r="E130" s="4" t="str">
        <f>IF(VLOOKUP($B130,spell_header!$B$2:$G$373,4,FALSE)="√","√","")</f>
        <v>√</v>
      </c>
      <c r="F130" t="str">
        <f>_xlfn.LET(_xlpm.x,VLOOKUP($B130,spell_header!$B$2:$G$373,5,FALSE),IF(_xlpm.x="","",_xlpm.x))</f>
        <v/>
      </c>
      <c r="G130">
        <v>150</v>
      </c>
    </row>
    <row r="131" spans="1:7" ht="15" x14ac:dyDescent="0.2">
      <c r="A131">
        <v>129</v>
      </c>
      <c r="B131" s="1" t="s">
        <v>1847</v>
      </c>
      <c r="C131" t="str">
        <f>_xlfn.LET(_xlpm.x,VLOOKUP($B131,spell_header!$B$2:$G$373,2,FALSE),IF(_xlpm.x="","",_xlpm.x))</f>
        <v>弹体宽度</v>
      </c>
      <c r="D131" s="4" t="str">
        <f>IF(VLOOKUP($B131,spell_header!$B$2:$G$373,3,FALSE)="√","√","")</f>
        <v>√</v>
      </c>
      <c r="E131" s="4" t="str">
        <f>IF(VLOOKUP($B131,spell_header!$B$2:$G$373,4,FALSE)="√","√","")</f>
        <v>√</v>
      </c>
      <c r="F131" t="str">
        <f>_xlfn.LET(_xlpm.x,VLOOKUP($B131,spell_header!$B$2:$G$373,5,FALSE),IF(_xlpm.x="","",_xlpm.x))</f>
        <v/>
      </c>
      <c r="G131">
        <v>288</v>
      </c>
    </row>
    <row r="132" spans="1:7" ht="15" x14ac:dyDescent="0.2">
      <c r="A132">
        <v>130</v>
      </c>
      <c r="B132" s="1" t="s">
        <v>1851</v>
      </c>
      <c r="C132" t="str">
        <f>_xlfn.LET(_xlpm.x,VLOOKUP($B132,spell_header!$B$2:$G$373,2,FALSE),IF(_xlpm.x="","",_xlpm.x))</f>
        <v>弹体移动要素：在目标位置使用高度偏移</v>
      </c>
      <c r="D132" s="4" t="str">
        <f>IF(VLOOKUP($B132,spell_header!$B$2:$G$373,3,FALSE)="√","√","")</f>
        <v>√</v>
      </c>
      <c r="E132" s="4" t="str">
        <f>IF(VLOOKUP($B132,spell_header!$B$2:$G$373,4,FALSE)="√","√","")</f>
        <v>√</v>
      </c>
      <c r="F132" t="b">
        <f>_xlfn.LET(_xlpm.x,VLOOKUP($B132,spell_header!$B$2:$G$373,5,FALSE),IF(_xlpm.x="","",_xlpm.x))</f>
        <v>0</v>
      </c>
      <c r="G132">
        <v>294</v>
      </c>
    </row>
    <row r="133" spans="1:7" ht="15" x14ac:dyDescent="0.2">
      <c r="A133">
        <v>131</v>
      </c>
      <c r="B133" s="1" t="s">
        <v>1852</v>
      </c>
      <c r="C133" t="str">
        <f>_xlfn.LET(_xlpm.x,VLOOKUP($B133,spell_header!$B$2:$G$373,2,FALSE),IF(_xlpm.x="","",_xlpm.x))</f>
        <v>弹体移动要素：视觉效果追踪隐形目标</v>
      </c>
      <c r="D133" s="4" t="str">
        <f>IF(VLOOKUP($B133,spell_header!$B$2:$G$373,3,FALSE)="√","√","")</f>
        <v>√</v>
      </c>
      <c r="E133" s="4" t="str">
        <f>IF(VLOOKUP($B133,spell_header!$B$2:$G$373,4,FALSE)="√","√","")</f>
        <v>√</v>
      </c>
      <c r="F133" t="b">
        <f>_xlfn.LET(_xlpm.x,VLOOKUP($B133,spell_header!$B$2:$G$373,5,FALSE),IF(_xlpm.x="","",_xlpm.x))</f>
        <v>0</v>
      </c>
      <c r="G133">
        <v>291</v>
      </c>
    </row>
    <row r="134" spans="1:7" ht="15" x14ac:dyDescent="0.2">
      <c r="A134">
        <v>132</v>
      </c>
      <c r="B134" s="1" t="s">
        <v>1853</v>
      </c>
      <c r="C134" t="str">
        <f>_xlfn.LET(_xlpm.x,VLOOKUP($B134,spell_header!$B$2:$G$373,2,FALSE),IF(_xlpm.x="","",_xlpm.x))</f>
        <v/>
      </c>
      <c r="D134" s="4" t="str">
        <f>IF(VLOOKUP($B134,spell_header!$B$2:$G$373,3,FALSE)="√","√","")</f>
        <v>√</v>
      </c>
      <c r="E134" s="4" t="str">
        <f>IF(VLOOKUP($B134,spell_header!$B$2:$G$373,4,FALSE)="√","√","")</f>
        <v>√</v>
      </c>
      <c r="F134" t="b">
        <f>_xlfn.LET(_xlpm.x,VLOOKUP($B134,spell_header!$B$2:$G$373,5,FALSE),IF(_xlpm.x="","",_xlpm.x))</f>
        <v>0</v>
      </c>
      <c r="G134">
        <v>295</v>
      </c>
    </row>
    <row r="135" spans="1:7" ht="15" x14ac:dyDescent="0.2">
      <c r="A135">
        <v>133</v>
      </c>
      <c r="B135" s="1" t="s">
        <v>1854</v>
      </c>
      <c r="C135" t="str">
        <f>_xlfn.LET(_xlpm.x,VLOOKUP($B135,spell_header!$B$2:$G$373,2,FALSE),IF(_xlpm.x="","",_xlpm.x))</f>
        <v>弹体移动要素：追踪目标</v>
      </c>
      <c r="D135" s="4" t="str">
        <f>IF(VLOOKUP($B135,spell_header!$B$2:$G$373,3,FALSE)="√","√","")</f>
        <v>√</v>
      </c>
      <c r="E135" s="4" t="str">
        <f>IF(VLOOKUP($B135,spell_header!$B$2:$G$373,4,FALSE)="√","√","")</f>
        <v>√</v>
      </c>
      <c r="F135" t="b">
        <f>_xlfn.LET(_xlpm.x,VLOOKUP($B135,spell_header!$B$2:$G$373,5,FALSE),IF(_xlpm.x="","",_xlpm.x))</f>
        <v>1</v>
      </c>
      <c r="G135">
        <v>290</v>
      </c>
    </row>
    <row r="136" spans="1:7" ht="15" x14ac:dyDescent="0.2">
      <c r="A136">
        <v>134</v>
      </c>
      <c r="B136" s="1" t="s">
        <v>1855</v>
      </c>
      <c r="C136" t="str">
        <f>_xlfn.LET(_xlpm.x,VLOOKUP($B136,spell_header!$B$2:$G$373,2,FALSE),IF(_xlpm.x="","",_xlpm.x))</f>
        <v>弹体移动要素：目标高度调整值</v>
      </c>
      <c r="D136" s="4" t="str">
        <f>IF(VLOOKUP($B136,spell_header!$B$2:$G$373,3,FALSE)="√","√","")</f>
        <v>√</v>
      </c>
      <c r="E136" s="4" t="str">
        <f>IF(VLOOKUP($B136,spell_header!$B$2:$G$373,4,FALSE)="√","√","")</f>
        <v>√</v>
      </c>
      <c r="F136" t="str">
        <f>_xlfn.LET(_xlpm.x,VLOOKUP($B136,spell_header!$B$2:$G$373,5,FALSE),IF(_xlpm.x="","",_xlpm.x))</f>
        <v/>
      </c>
      <c r="G136">
        <v>292</v>
      </c>
    </row>
    <row r="137" spans="1:7" ht="15" x14ac:dyDescent="0.2">
      <c r="A137">
        <v>135</v>
      </c>
      <c r="B137" s="1" t="s">
        <v>1856</v>
      </c>
      <c r="C137" t="str">
        <f>_xlfn.LET(_xlpm.x,VLOOKUP($B137,spell_header!$B$2:$G$373,2,FALSE),IF(_xlpm.x="","",_xlpm.x))</f>
        <v>弹体移动要素：初始目标高度偏移量</v>
      </c>
      <c r="D137" s="4" t="str">
        <f>IF(VLOOKUP($B137,spell_header!$B$2:$G$373,3,FALSE)="√","√","")</f>
        <v>√</v>
      </c>
      <c r="E137" s="4" t="str">
        <f>IF(VLOOKUP($B137,spell_header!$B$2:$G$373,4,FALSE)="√","√","")</f>
        <v>√</v>
      </c>
      <c r="F137" t="str">
        <f>_xlfn.LET(_xlpm.x,VLOOKUP($B137,spell_header!$B$2:$G$373,5,FALSE),IF(_xlpm.x="","",_xlpm.x))</f>
        <v/>
      </c>
      <c r="G137">
        <v>293</v>
      </c>
    </row>
    <row r="138" spans="1:7" ht="15" x14ac:dyDescent="0.2">
      <c r="A138">
        <v>136</v>
      </c>
      <c r="B138" s="1" t="s">
        <v>1857</v>
      </c>
      <c r="C138" t="str">
        <f>_xlfn.LET(_xlpm.x,VLOOKUP($B138,spell_header!$B$2:$G$373,2,FALSE),IF(_xlpm.x="","",_xlpm.x))</f>
        <v>弹体移动要素：起始骨骼名称</v>
      </c>
      <c r="D138" s="4" t="str">
        <f>IF(VLOOKUP($B138,spell_header!$B$2:$G$373,3,FALSE)="√","√","")</f>
        <v>√</v>
      </c>
      <c r="E138" s="4" t="str">
        <f>IF(VLOOKUP($B138,spell_header!$B$2:$G$373,4,FALSE)="√","√","")</f>
        <v>√</v>
      </c>
      <c r="F138" t="str">
        <f>_xlfn.LET(_xlpm.x,VLOOKUP($B138,spell_header!$B$2:$G$373,5,FALSE),IF(_xlpm.x="","",_xlpm.x))</f>
        <v/>
      </c>
      <c r="G138">
        <v>298</v>
      </c>
    </row>
    <row r="139" spans="1:7" ht="15" x14ac:dyDescent="0.2">
      <c r="A139">
        <v>137</v>
      </c>
      <c r="B139" s="1" t="s">
        <v>1858</v>
      </c>
      <c r="C139" t="str">
        <f>_xlfn.LET(_xlpm.x,VLOOKUP($B139,spell_header!$B$2:$G$373,2,FALSE),IF(_xlpm.x="","",_xlpm.x))</f>
        <v>弹体移动要素：皮肤覆盖起始骨骼名称</v>
      </c>
      <c r="D139" s="4" t="str">
        <f>IF(VLOOKUP($B139,spell_header!$B$2:$G$373,3,FALSE)="√","√","")</f>
        <v>√</v>
      </c>
      <c r="E139" s="4" t="str">
        <f>IF(VLOOKUP($B139,spell_header!$B$2:$G$373,4,FALSE)="√","√","")</f>
        <v>√</v>
      </c>
      <c r="F139" t="str">
        <f>_xlfn.LET(_xlpm.x,VLOOKUP($B139,spell_header!$B$2:$G$373,5,FALSE),IF(_xlpm.x="","",_xlpm.x))</f>
        <v/>
      </c>
      <c r="G139">
        <v>299</v>
      </c>
    </row>
    <row r="140" spans="1:7" ht="15" x14ac:dyDescent="0.2">
      <c r="A140">
        <v>138</v>
      </c>
      <c r="B140" s="1" t="s">
        <v>3731</v>
      </c>
      <c r="C140" t="str">
        <f>_xlfn.LET(_xlpm.x,VLOOKUP($B140,spell_header!$B$2:$G$373,2,FALSE),IF(_xlpm.x="","",_xlpm.x))</f>
        <v>弹体移动要素：起始延迟</v>
      </c>
      <c r="D140" s="4" t="str">
        <f>IF(VLOOKUP($B140,spell_header!$B$2:$G$373,3,FALSE)="√","√","")</f>
        <v>√</v>
      </c>
      <c r="E140" s="4" t="str">
        <f>IF(VLOOKUP($B140,spell_header!$B$2:$G$373,4,FALSE)="√","√","")</f>
        <v>√</v>
      </c>
      <c r="F140" t="str">
        <f>_xlfn.LET(_xlpm.x,VLOOKUP($B140,spell_header!$B$2:$G$373,5,FALSE),IF(_xlpm.x="","",_xlpm.x))</f>
        <v/>
      </c>
      <c r="G140">
        <v>306</v>
      </c>
    </row>
    <row r="141" spans="1:7" ht="15" x14ac:dyDescent="0.2">
      <c r="A141">
        <v>139</v>
      </c>
      <c r="B141" s="1" t="s">
        <v>1859</v>
      </c>
      <c r="C141" t="str">
        <f>_xlfn.LET(_xlpm.x,VLOOKUP($B141,spell_header!$B$2:$G$373,2,FALSE),IF(_xlpm.x="","",_xlpm.x))</f>
        <v>弹体移动要素：目标骨骼名称</v>
      </c>
      <c r="D141" s="4" t="str">
        <f>IF(VLOOKUP($B141,spell_header!$B$2:$G$373,3,FALSE)="√","√","")</f>
        <v>√</v>
      </c>
      <c r="E141" s="4" t="str">
        <f>IF(VLOOKUP($B141,spell_header!$B$2:$G$373,4,FALSE)="√","√","")</f>
        <v>√</v>
      </c>
      <c r="F141" t="str">
        <f>_xlfn.LET(_xlpm.x,VLOOKUP($B141,spell_header!$B$2:$G$373,5,FALSE),IF(_xlpm.x="","",_xlpm.x))</f>
        <v/>
      </c>
      <c r="G141">
        <v>300</v>
      </c>
    </row>
    <row r="142" spans="1:7" ht="15" x14ac:dyDescent="0.2">
      <c r="A142">
        <v>140</v>
      </c>
      <c r="B142" s="1" t="s">
        <v>1860</v>
      </c>
      <c r="C142" t="str">
        <f>_xlfn.LET(_xlpm.x,VLOOKUP($B142,spell_header!$B$2:$G$373,2,FALSE),IF(_xlpm.x="","",_xlpm.x))</f>
        <v>弹体移动要素：需要时从面向推断移动方向</v>
      </c>
      <c r="D142" s="4" t="str">
        <f>IF(VLOOKUP($B142,spell_header!$B$2:$G$373,3,FALSE)="√","√","")</f>
        <v>√</v>
      </c>
      <c r="E142" s="4" t="str">
        <f>IF(VLOOKUP($B142,spell_header!$B$2:$G$373,4,FALSE)="√","√","")</f>
        <v>√</v>
      </c>
      <c r="F142" t="b">
        <f>_xlfn.LET(_xlpm.x,VLOOKUP($B142,spell_header!$B$2:$G$373,5,FALSE),IF(_xlpm.x="","",_xlpm.x))</f>
        <v>1</v>
      </c>
      <c r="G142">
        <v>301</v>
      </c>
    </row>
    <row r="143" spans="1:7" ht="15" x14ac:dyDescent="0.2">
      <c r="A143">
        <v>141</v>
      </c>
      <c r="B143" s="1" t="s">
        <v>1861</v>
      </c>
      <c r="C143" t="str">
        <f>_xlfn.LET(_xlpm.x,VLOOKUP($B143,spell_header!$B$2:$G$373,2,FALSE),IF(_xlpm.x="","",_xlpm.x))</f>
        <v>弹体移动要素：将弹体投射到施法范围内</v>
      </c>
      <c r="D143" s="4" t="str">
        <f>IF(VLOOKUP($B143,spell_header!$B$2:$G$373,3,FALSE)="√","√","")</f>
        <v>√</v>
      </c>
      <c r="E143" s="4" t="str">
        <f>IF(VLOOKUP($B143,spell_header!$B$2:$G$373,4,FALSE)="√","√","")</f>
        <v>√</v>
      </c>
      <c r="F143" t="b">
        <f>_xlfn.LET(_xlpm.x,VLOOKUP($B143,spell_header!$B$2:$G$373,5,FALSE),IF(_xlpm.x="","",_xlpm.x))</f>
        <v>0</v>
      </c>
      <c r="G143">
        <v>302</v>
      </c>
    </row>
    <row r="144" spans="1:7" ht="15" x14ac:dyDescent="0.2">
      <c r="A144">
        <v>142</v>
      </c>
      <c r="B144" s="1" t="s">
        <v>1862</v>
      </c>
      <c r="C144" t="str">
        <f>_xlfn.LET(_xlpm.x,VLOOKUP($B144,spell_header!$B$2:$G$373,2,FALSE),IF(_xlpm.x="","",_xlpm.x))</f>
        <v>弹体移动要素：基于额外攻击距离提升施法距离</v>
      </c>
      <c r="D144" s="4" t="str">
        <f>IF(VLOOKUP($B144,spell_header!$B$2:$G$373,3,FALSE)="√","√","")</f>
        <v>√</v>
      </c>
      <c r="E144" s="4" t="str">
        <f>IF(VLOOKUP($B144,spell_header!$B$2:$G$373,4,FALSE)="√","√","")</f>
        <v>√</v>
      </c>
      <c r="F144" t="b">
        <f>_xlfn.LET(_xlpm.x,VLOOKUP($B144,spell_header!$B$2:$G$373,5,FALSE),IF(_xlpm.x="","",_xlpm.x))</f>
        <v>0</v>
      </c>
      <c r="G144">
        <v>303</v>
      </c>
    </row>
    <row r="145" spans="1:7" ht="15" x14ac:dyDescent="0.2">
      <c r="A145">
        <v>143</v>
      </c>
      <c r="B145" s="1" t="s">
        <v>1887</v>
      </c>
      <c r="C145" t="str">
        <f>_xlfn.LET(_xlpm.x,VLOOKUP($B145,spell_header!$B$2:$G$373,2,FALSE),IF(_xlpm.x="","",_xlpm.x))</f>
        <v>弹体移动要素：基于等级的转向半径</v>
      </c>
      <c r="D145" s="4" t="str">
        <f>IF(VLOOKUP($B145,spell_header!$B$2:$G$373,3,FALSE)="√","√","")</f>
        <v>√</v>
      </c>
      <c r="E145" s="4" t="str">
        <f>IF(VLOOKUP($B145,spell_header!$B$2:$G$373,4,FALSE)="√","√","")</f>
        <v>√</v>
      </c>
      <c r="F145" t="str">
        <f>_xlfn.LET(_xlpm.x,VLOOKUP($B145,spell_header!$B$2:$G$373,5,FALSE),IF(_xlpm.x="","",_xlpm.x))</f>
        <v/>
      </c>
      <c r="G145">
        <v>304</v>
      </c>
    </row>
    <row r="146" spans="1:7" ht="15" x14ac:dyDescent="0.2">
      <c r="A146">
        <v>144</v>
      </c>
      <c r="B146" s="1" t="s">
        <v>1863</v>
      </c>
      <c r="C146" t="str">
        <f>_xlfn.LET(_xlpm.x,VLOOKUP($B146,spell_header!$B$2:$G$373,2,FALSE),IF(_xlpm.x="","",_xlpm.x))</f>
        <v>弹体移动要素：在目标位置使用地面高度</v>
      </c>
      <c r="D146" s="4" t="str">
        <f>IF(VLOOKUP($B146,spell_header!$B$2:$G$373,3,FALSE)="√","√","")</f>
        <v>√</v>
      </c>
      <c r="E146" s="4" t="str">
        <f>IF(VLOOKUP($B146,spell_header!$B$2:$G$373,4,FALSE)="√","√","")</f>
        <v>√</v>
      </c>
      <c r="F146" t="b">
        <f>_xlfn.LET(_xlpm.x,VLOOKUP($B146,spell_header!$B$2:$G$373,5,FALSE),IF(_xlpm.x="","",_xlpm.x))</f>
        <v>1</v>
      </c>
      <c r="G146">
        <v>305</v>
      </c>
    </row>
    <row r="147" spans="1:7" ht="15" x14ac:dyDescent="0.2">
      <c r="A147">
        <v>145</v>
      </c>
      <c r="B147" s="1" t="s">
        <v>1921</v>
      </c>
      <c r="C147" t="str">
        <f>_xlfn.LET(_xlpm.x,VLOOKUP($B147,spell_header!$B$2:$G$373,2,FALSE),IF(_xlpm.x="","",_xlpm.x))</f>
        <v>弹体移动要素：样条曲线信息：起始位置偏移量</v>
      </c>
      <c r="D147" s="4" t="str">
        <f>IF(VLOOKUP($B147,spell_header!$B$2:$G$373,3,FALSE)="√","√","")</f>
        <v>√</v>
      </c>
      <c r="E147" s="4" t="str">
        <f>IF(VLOOKUP($B147,spell_header!$B$2:$G$373,4,FALSE)="√","√","")</f>
        <v>√</v>
      </c>
      <c r="F147" t="str">
        <f>_xlfn.LET(_xlpm.x,VLOOKUP($B147,spell_header!$B$2:$G$373,5,FALSE),IF(_xlpm.x="","",_xlpm.x))</f>
        <v/>
      </c>
      <c r="G147">
        <v>307</v>
      </c>
    </row>
    <row r="148" spans="1:7" ht="15" x14ac:dyDescent="0.2">
      <c r="A148">
        <v>146</v>
      </c>
      <c r="B148" s="1" t="s">
        <v>1922</v>
      </c>
      <c r="C148" t="str">
        <f>_xlfn.LET(_xlpm.x,VLOOKUP($B148,spell_header!$B$2:$G$373,2,FALSE),IF(_xlpm.x="","",_xlpm.x))</f>
        <v>弹体移动要素：样条曲线信息：使用弹体当前位置作为曲线原点</v>
      </c>
      <c r="D148" s="4" t="str">
        <f>IF(VLOOKUP($B148,spell_header!$B$2:$G$373,3,FALSE)="√","√","")</f>
        <v>√</v>
      </c>
      <c r="E148" s="4" t="str">
        <f>IF(VLOOKUP($B148,spell_header!$B$2:$G$373,4,FALSE)="√","√","")</f>
        <v>√</v>
      </c>
      <c r="F148" t="b">
        <f>_xlfn.LET(_xlpm.x,VLOOKUP($B148,spell_header!$B$2:$G$373,5,FALSE),IF(_xlpm.x="","",_xlpm.x))</f>
        <v>0</v>
      </c>
      <c r="G148">
        <v>308</v>
      </c>
    </row>
    <row r="149" spans="1:7" ht="15" x14ac:dyDescent="0.2">
      <c r="A149">
        <v>147</v>
      </c>
      <c r="B149" s="1" t="s">
        <v>1923</v>
      </c>
      <c r="C149" t="str">
        <f>_xlfn.LET(_xlpm.x,VLOOKUP($B149,spell_header!$B$2:$G$373,2,FALSE),IF(_xlpm.x="","",_xlpm.x))</f>
        <v>弹体移动要素：样条曲线信息：控制点1</v>
      </c>
      <c r="D149" s="4" t="str">
        <f>IF(VLOOKUP($B149,spell_header!$B$2:$G$373,3,FALSE)="√","√","")</f>
        <v>√</v>
      </c>
      <c r="E149" s="4" t="str">
        <f>IF(VLOOKUP($B149,spell_header!$B$2:$G$373,4,FALSE)="√","√","")</f>
        <v/>
      </c>
      <c r="F149" t="str">
        <f>_xlfn.LET(_xlpm.x,VLOOKUP($B149,spell_header!$B$2:$G$373,5,FALSE),IF(_xlpm.x="","",_xlpm.x))</f>
        <v/>
      </c>
      <c r="G149">
        <v>309</v>
      </c>
    </row>
    <row r="150" spans="1:7" ht="15" x14ac:dyDescent="0.2">
      <c r="A150">
        <v>148</v>
      </c>
      <c r="B150" s="1" t="s">
        <v>1924</v>
      </c>
      <c r="C150" t="str">
        <f>_xlfn.LET(_xlpm.x,VLOOKUP($B150,spell_header!$B$2:$G$373,2,FALSE),IF(_xlpm.x="","",_xlpm.x))</f>
        <v>弹体移动要素：样条曲线信息：控制点2</v>
      </c>
      <c r="D150" s="4" t="str">
        <f>IF(VLOOKUP($B150,spell_header!$B$2:$G$373,3,FALSE)="√","√","")</f>
        <v>√</v>
      </c>
      <c r="E150" s="4" t="str">
        <f>IF(VLOOKUP($B150,spell_header!$B$2:$G$373,4,FALSE)="√","√","")</f>
        <v/>
      </c>
      <c r="F150" t="str">
        <f>_xlfn.LET(_xlpm.x,VLOOKUP($B150,spell_header!$B$2:$G$373,5,FALSE),IF(_xlpm.x="","",_xlpm.x))</f>
        <v/>
      </c>
      <c r="G150">
        <v>310</v>
      </c>
    </row>
    <row r="151" spans="1:7" ht="15" x14ac:dyDescent="0.2">
      <c r="A151">
        <v>149</v>
      </c>
      <c r="B151" s="1" t="s">
        <v>1925</v>
      </c>
      <c r="C151" t="str">
        <f>_xlfn.LET(_xlpm.x,VLOOKUP($B151,spell_header!$B$2:$G$373,2,FALSE),IF(_xlpm.x="","",_xlpm.x))</f>
        <v>弹体移动要素：样条曲线信息：曲线类型</v>
      </c>
      <c r="D151" s="4" t="str">
        <f>IF(VLOOKUP($B151,spell_header!$B$2:$G$373,3,FALSE)="√","√","")</f>
        <v>√</v>
      </c>
      <c r="E151" s="4" t="str">
        <f>IF(VLOOKUP($B151,spell_header!$B$2:$G$373,4,FALSE)="√","√","")</f>
        <v/>
      </c>
      <c r="F151" t="str">
        <f>_xlfn.LET(_xlpm.x,VLOOKUP($B151,spell_header!$B$2:$G$373,5,FALSE),IF(_xlpm.x="","",_xlpm.x))</f>
        <v/>
      </c>
      <c r="G151">
        <v>311</v>
      </c>
    </row>
    <row r="152" spans="1:7" ht="15" x14ac:dyDescent="0.2">
      <c r="A152">
        <v>150</v>
      </c>
      <c r="B152" s="1" t="s">
        <v>3730</v>
      </c>
      <c r="C152" t="str">
        <f>_xlfn.LET(_xlpm.x,VLOOKUP($B152,spell_header!$B$2:$G$373,2,FALSE),IF(_xlpm.x="","",_xlpm.x))</f>
        <v/>
      </c>
      <c r="D152" s="4" t="str">
        <f>IF(VLOOKUP($B152,spell_header!$B$2:$G$373,3,FALSE)="√","√","")</f>
        <v>√</v>
      </c>
      <c r="E152" s="4" t="str">
        <f>IF(VLOOKUP($B152,spell_header!$B$2:$G$373,4,FALSE)="√","√","")</f>
        <v>√</v>
      </c>
      <c r="F152" t="str">
        <f>_xlfn.LET(_xlpm.x,VLOOKUP($B152,spell_header!$B$2:$G$373,5,FALSE),IF(_xlpm.x="","",_xlpm.x))</f>
        <v/>
      </c>
      <c r="G152">
        <v>328</v>
      </c>
    </row>
    <row r="153" spans="1:7" ht="15" x14ac:dyDescent="0.2">
      <c r="A153">
        <v>151</v>
      </c>
      <c r="B153" s="1" t="s">
        <v>1866</v>
      </c>
      <c r="C153" t="str">
        <f>_xlfn.LET(_xlpm.x,VLOOKUP($B153,spell_header!$B$2:$G$373,2,FALSE),IF(_xlpm.x="","",_xlpm.x))</f>
        <v>弹体移动要素：使用弹体当前位置作为原点</v>
      </c>
      <c r="D153" s="4" t="str">
        <f>IF(VLOOKUP($B153,spell_header!$B$2:$G$373,3,FALSE)="√","√","")</f>
        <v>√</v>
      </c>
      <c r="E153" s="4" t="str">
        <f>IF(VLOOKUP($B153,spell_header!$B$2:$G$373,4,FALSE)="√","√","")</f>
        <v>√</v>
      </c>
      <c r="F153" t="b">
        <f>_xlfn.LET(_xlpm.x,VLOOKUP($B153,spell_header!$B$2:$G$373,5,FALSE),IF(_xlpm.x="","",_xlpm.x))</f>
        <v>1</v>
      </c>
      <c r="G153">
        <v>312</v>
      </c>
    </row>
    <row r="154" spans="1:7" ht="15" x14ac:dyDescent="0.2">
      <c r="A154">
        <v>152</v>
      </c>
      <c r="B154" s="1" t="s">
        <v>1864</v>
      </c>
      <c r="C154" t="str">
        <f>_xlfn.LET(_xlpm.x,VLOOKUP($B154,spell_header!$B$2:$G$373,2,FALSE),IF(_xlpm.x="","",_xlpm.x))</f>
        <v>弹体移动要素：移动速度</v>
      </c>
      <c r="D154" s="4" t="str">
        <f>IF(VLOOKUP($B154,spell_header!$B$2:$G$373,3,FALSE)="√","√","")</f>
        <v>√</v>
      </c>
      <c r="E154" s="4" t="str">
        <f>IF(VLOOKUP($B154,spell_header!$B$2:$G$373,4,FALSE)="√","√","")</f>
        <v>√</v>
      </c>
      <c r="F154" t="str">
        <f>_xlfn.LET(_xlpm.x,VLOOKUP($B154,spell_header!$B$2:$G$373,5,FALSE),IF(_xlpm.x="","",_xlpm.x))</f>
        <v/>
      </c>
      <c r="G154">
        <v>313</v>
      </c>
    </row>
    <row r="155" spans="1:7" ht="15" x14ac:dyDescent="0.2">
      <c r="A155">
        <v>153</v>
      </c>
      <c r="B155" s="1" t="s">
        <v>1867</v>
      </c>
      <c r="C155" t="str">
        <f>_xlfn.LET(_xlpm.x,VLOOKUP($B155,spell_header!$B$2:$G$373,2,FALSE),IF(_xlpm.x="","",_xlpm.x))</f>
        <v>弹体移动要素：飞行时间</v>
      </c>
      <c r="D155" s="4" t="str">
        <f>IF(VLOOKUP($B155,spell_header!$B$2:$G$373,3,FALSE)="√","√","")</f>
        <v>√</v>
      </c>
      <c r="E155" s="4" t="str">
        <f>IF(VLOOKUP($B155,spell_header!$B$2:$G$373,4,FALSE)="√","√","")</f>
        <v>√</v>
      </c>
      <c r="F155" t="str">
        <f>_xlfn.LET(_xlpm.x,VLOOKUP($B155,spell_header!$B$2:$G$373,5,FALSE),IF(_xlpm.x="","",_xlpm.x))</f>
        <v/>
      </c>
      <c r="G155">
        <v>314</v>
      </c>
    </row>
    <row r="156" spans="1:7" ht="15" x14ac:dyDescent="0.2">
      <c r="A156">
        <v>154</v>
      </c>
      <c r="B156" s="1" t="s">
        <v>1868</v>
      </c>
      <c r="C156" t="str">
        <f>_xlfn.LET(_xlpm.x,VLOOKUP($B156,spell_header!$B$2:$G$373,2,FALSE),IF(_xlpm.x="","",_xlpm.x))</f>
        <v>弹体移动要素：加速度</v>
      </c>
      <c r="D156" s="4" t="str">
        <f>IF(VLOOKUP($B156,spell_header!$B$2:$G$373,3,FALSE)="√","√","")</f>
        <v>√</v>
      </c>
      <c r="E156" s="4" t="str">
        <f>IF(VLOOKUP($B156,spell_header!$B$2:$G$373,4,FALSE)="√","√","")</f>
        <v>√</v>
      </c>
      <c r="F156" t="str">
        <f>_xlfn.LET(_xlpm.x,VLOOKUP($B156,spell_header!$B$2:$G$373,5,FALSE),IF(_xlpm.x="","",_xlpm.x))</f>
        <v/>
      </c>
      <c r="G156">
        <v>315</v>
      </c>
    </row>
    <row r="157" spans="1:7" ht="15" x14ac:dyDescent="0.2">
      <c r="A157">
        <v>155</v>
      </c>
      <c r="B157" s="1" t="s">
        <v>1869</v>
      </c>
      <c r="C157" t="str">
        <f>_xlfn.LET(_xlpm.x,VLOOKUP($B157,spell_header!$B$2:$G$373,2,FALSE),IF(_xlpm.x="","",_xlpm.x))</f>
        <v>弹体移动要素：最小速度</v>
      </c>
      <c r="D157" s="4" t="str">
        <f>IF(VLOOKUP($B157,spell_header!$B$2:$G$373,3,FALSE)="√","√","")</f>
        <v>√</v>
      </c>
      <c r="E157" s="4" t="str">
        <f>IF(VLOOKUP($B157,spell_header!$B$2:$G$373,4,FALSE)="√","√","")</f>
        <v>√</v>
      </c>
      <c r="F157" t="str">
        <f>_xlfn.LET(_xlpm.x,VLOOKUP($B157,spell_header!$B$2:$G$373,5,FALSE),IF(_xlpm.x="","",_xlpm.x))</f>
        <v/>
      </c>
      <c r="G157">
        <v>316</v>
      </c>
    </row>
    <row r="158" spans="1:7" ht="15" x14ac:dyDescent="0.2">
      <c r="A158">
        <v>156</v>
      </c>
      <c r="B158" s="1" t="s">
        <v>1870</v>
      </c>
      <c r="C158" t="str">
        <f>_xlfn.LET(_xlpm.x,VLOOKUP($B158,spell_header!$B$2:$G$373,2,FALSE),IF(_xlpm.x="","",_xlpm.x))</f>
        <v>弹体移动要素：最大速度</v>
      </c>
      <c r="D158" s="4" t="str">
        <f>IF(VLOOKUP($B158,spell_header!$B$2:$G$373,3,FALSE)="√","√","")</f>
        <v>√</v>
      </c>
      <c r="E158" s="4" t="str">
        <f>IF(VLOOKUP($B158,spell_header!$B$2:$G$373,4,FALSE)="√","√","")</f>
        <v>√</v>
      </c>
      <c r="F158" t="str">
        <f>_xlfn.LET(_xlpm.x,VLOOKUP($B158,spell_header!$B$2:$G$373,5,FALSE),IF(_xlpm.x="","",_xlpm.x))</f>
        <v/>
      </c>
      <c r="G158">
        <v>317</v>
      </c>
    </row>
    <row r="159" spans="1:7" ht="15" x14ac:dyDescent="0.2">
      <c r="A159">
        <v>157</v>
      </c>
      <c r="B159" s="1" t="s">
        <v>1871</v>
      </c>
      <c r="C159" t="str">
        <f>_xlfn.LET(_xlpm.x,VLOOKUP($B159,spell_header!$B$2:$G$373,2,FALSE),IF(_xlpm.x="","",_xlpm.x))</f>
        <v>弹体移动要素：初始速度</v>
      </c>
      <c r="D159" s="4" t="str">
        <f>IF(VLOOKUP($B159,spell_header!$B$2:$G$373,3,FALSE)="√","√","")</f>
        <v>√</v>
      </c>
      <c r="E159" s="4" t="str">
        <f>IF(VLOOKUP($B159,spell_header!$B$2:$G$373,4,FALSE)="√","√","")</f>
        <v>√</v>
      </c>
      <c r="F159" t="str">
        <f>_xlfn.LET(_xlpm.x,VLOOKUP($B159,spell_header!$B$2:$G$373,5,FALSE),IF(_xlpm.x="","",_xlpm.x))</f>
        <v/>
      </c>
      <c r="G159">
        <v>318</v>
      </c>
    </row>
    <row r="160" spans="1:7" ht="15" x14ac:dyDescent="0.2">
      <c r="A160">
        <v>158</v>
      </c>
      <c r="B160" s="1" t="s">
        <v>1872</v>
      </c>
      <c r="C160" t="str">
        <f>_xlfn.LET(_xlpm.x,VLOOKUP($B160,spell_header!$B$2:$G$373,2,FALSE),IF(_xlpm.x="","",_xlpm.x))</f>
        <v>弹体移动要素：角速度</v>
      </c>
      <c r="D160" s="4" t="str">
        <f>IF(VLOOKUP($B160,spell_header!$B$2:$G$373,3,FALSE)="√","√","")</f>
        <v>√</v>
      </c>
      <c r="E160" s="4" t="str">
        <f>IF(VLOOKUP($B160,spell_header!$B$2:$G$373,4,FALSE)="√","√","")</f>
        <v>√</v>
      </c>
      <c r="F160" t="str">
        <f>_xlfn.LET(_xlpm.x,VLOOKUP($B160,spell_header!$B$2:$G$373,5,FALSE),IF(_xlpm.x="","",_xlpm.x))</f>
        <v/>
      </c>
      <c r="G160">
        <v>319</v>
      </c>
    </row>
    <row r="161" spans="1:7" ht="15" x14ac:dyDescent="0.2">
      <c r="A161">
        <v>159</v>
      </c>
      <c r="B161" s="1" t="s">
        <v>1876</v>
      </c>
      <c r="C161" t="str">
        <f>_xlfn.LET(_xlpm.x,VLOOKUP($B161,spell_header!$B$2:$G$373,2,FALSE),IF(_xlpm.x="","",_xlpm.x))</f>
        <v>弹体移动要素：线速度</v>
      </c>
      <c r="D161" s="4" t="str">
        <f>IF(VLOOKUP($B161,spell_header!$B$2:$G$373,3,FALSE)="√","√","")</f>
        <v>√</v>
      </c>
      <c r="E161" s="4" t="str">
        <f>IF(VLOOKUP($B161,spell_header!$B$2:$G$373,4,FALSE)="√","√","")</f>
        <v>√</v>
      </c>
      <c r="F161" t="str">
        <f>_xlfn.LET(_xlpm.x,VLOOKUP($B161,spell_header!$B$2:$G$373,5,FALSE),IF(_xlpm.x="","",_xlpm.x))</f>
        <v/>
      </c>
      <c r="G161">
        <v>320</v>
      </c>
    </row>
    <row r="162" spans="1:7" ht="15" x14ac:dyDescent="0.2">
      <c r="A162">
        <v>160</v>
      </c>
      <c r="B162" s="1" t="s">
        <v>1873</v>
      </c>
      <c r="C162" t="str">
        <f>_xlfn.LET(_xlpm.x,VLOOKUP($B162,spell_header!$B$2:$G$373,2,FALSE),IF(_xlpm.x="","",_xlpm.x))</f>
        <v>弹体移动要素：生命周期</v>
      </c>
      <c r="D162" s="4" t="str">
        <f>IF(VLOOKUP($B162,spell_header!$B$2:$G$373,3,FALSE)="√","√","")</f>
        <v>√</v>
      </c>
      <c r="E162" s="4" t="str">
        <f>IF(VLOOKUP($B162,spell_header!$B$2:$G$373,4,FALSE)="√","√","")</f>
        <v>√</v>
      </c>
      <c r="F162" t="str">
        <f>_xlfn.LET(_xlpm.x,VLOOKUP($B162,spell_header!$B$2:$G$373,5,FALSE),IF(_xlpm.x="","",_xlpm.x))</f>
        <v/>
      </c>
      <c r="G162">
        <v>321</v>
      </c>
    </row>
    <row r="163" spans="1:7" ht="15" x14ac:dyDescent="0.2">
      <c r="A163">
        <v>161</v>
      </c>
      <c r="B163" s="1" t="s">
        <v>1874</v>
      </c>
      <c r="C163" t="str">
        <f>_xlfn.LET(_xlpm.x,VLOOKUP($B163,spell_header!$B$2:$G$373,2,FALSE),IF(_xlpm.x="","",_xlpm.x))</f>
        <v>弹体移动要素：旋转轴</v>
      </c>
      <c r="D163" s="4" t="str">
        <f>IF(VLOOKUP($B163,spell_header!$B$2:$G$373,3,FALSE)="√","√","")</f>
        <v>√</v>
      </c>
      <c r="E163" s="4" t="str">
        <f>IF(VLOOKUP($B163,spell_header!$B$2:$G$373,4,FALSE)="√","√","")</f>
        <v>√</v>
      </c>
      <c r="F163" t="str">
        <f>_xlfn.LET(_xlpm.x,VLOOKUP($B163,spell_header!$B$2:$G$373,5,FALSE),IF(_xlpm.x="","",_xlpm.x))</f>
        <v/>
      </c>
      <c r="G163">
        <v>322</v>
      </c>
    </row>
    <row r="164" spans="1:7" ht="15" x14ac:dyDescent="0.2">
      <c r="A164">
        <v>162</v>
      </c>
      <c r="B164" s="1" t="s">
        <v>1875</v>
      </c>
      <c r="C164" t="str">
        <f>_xlfn.LET(_xlpm.x,VLOOKUP($B164,spell_header!$B$2:$G$373,2,FALSE),IF(_xlpm.x="","",_xlpm.x))</f>
        <v>弹体移动要素：围绕施法者面向方向旋转</v>
      </c>
      <c r="D164" s="4" t="str">
        <f>IF(VLOOKUP($B164,spell_header!$B$2:$G$373,3,FALSE)="√","√","")</f>
        <v>√</v>
      </c>
      <c r="E164" s="4" t="str">
        <f>IF(VLOOKUP($B164,spell_header!$B$2:$G$373,4,FALSE)="√","√","")</f>
        <v>√</v>
      </c>
      <c r="F164" t="b">
        <f>_xlfn.LET(_xlpm.x,VLOOKUP($B164,spell_header!$B$2:$G$373,5,FALSE),IF(_xlpm.x="","",_xlpm.x))</f>
        <v>0</v>
      </c>
      <c r="G164">
        <v>323</v>
      </c>
    </row>
    <row r="165" spans="1:7" ht="15" x14ac:dyDescent="0.2">
      <c r="A165">
        <v>163</v>
      </c>
      <c r="B165" s="1" t="s">
        <v>1877</v>
      </c>
      <c r="C165" t="str">
        <f>_xlfn.LET(_xlpm.x,VLOOKUP($B165,spell_header!$B$2:$G$373,2,FALSE),IF(_xlpm.x="","",_xlpm.x))</f>
        <v>弹体移动要素：阻力系数</v>
      </c>
      <c r="D165" s="4" t="str">
        <f>IF(VLOOKUP($B165,spell_header!$B$2:$G$373,3,FALSE)="√","√","")</f>
        <v>√</v>
      </c>
      <c r="E165" s="4" t="str">
        <f>IF(VLOOKUP($B165,spell_header!$B$2:$G$373,4,FALSE)="√","√","")</f>
        <v>√</v>
      </c>
      <c r="F165" t="str">
        <f>_xlfn.LET(_xlpm.x,VLOOKUP($B165,spell_header!$B$2:$G$373,5,FALSE),IF(_xlpm.x="","",_xlpm.x))</f>
        <v/>
      </c>
      <c r="G165">
        <v>324</v>
      </c>
    </row>
    <row r="166" spans="1:7" ht="15" x14ac:dyDescent="0.2">
      <c r="A166">
        <v>164</v>
      </c>
      <c r="B166" s="1" t="s">
        <v>1878</v>
      </c>
      <c r="C166" t="str">
        <f>_xlfn.LET(_xlpm.x,VLOOKUP($B166,spell_header!$B$2:$G$373,2,FALSE),IF(_xlpm.x="","",_xlpm.x))</f>
        <v>弹体移动要素：是否沿墙壁滑动</v>
      </c>
      <c r="D166" s="4" t="str">
        <f>IF(VLOOKUP($B166,spell_header!$B$2:$G$373,3,FALSE)="√","√","")</f>
        <v>√</v>
      </c>
      <c r="E166" s="4" t="str">
        <f>IF(VLOOKUP($B166,spell_header!$B$2:$G$373,4,FALSE)="√","√","")</f>
        <v>√</v>
      </c>
      <c r="F166" t="b">
        <f>_xlfn.LET(_xlpm.x,VLOOKUP($B166,spell_header!$B$2:$G$373,5,FALSE),IF(_xlpm.x="","",_xlpm.x))</f>
        <v>0</v>
      </c>
      <c r="G166">
        <v>325</v>
      </c>
    </row>
    <row r="167" spans="1:7" ht="15" x14ac:dyDescent="0.2">
      <c r="A167">
        <v>165</v>
      </c>
      <c r="B167" s="1" t="s">
        <v>1879</v>
      </c>
      <c r="C167" t="str">
        <f>_xlfn.LET(_xlpm.x,VLOOKUP($B167,spell_header!$B$2:$G$373,2,FALSE),IF(_xlpm.x="","",_xlpm.x))</f>
        <v>弹体移动要素：墙壁滑动摩擦系数</v>
      </c>
      <c r="D167" s="4" t="str">
        <f>IF(VLOOKUP($B167,spell_header!$B$2:$G$373,3,FALSE)="√","√","")</f>
        <v>√</v>
      </c>
      <c r="E167" s="4" t="str">
        <f>IF(VLOOKUP($B167,spell_header!$B$2:$G$373,4,FALSE)="√","√","")</f>
        <v>√</v>
      </c>
      <c r="F167" t="str">
        <f>_xlfn.LET(_xlpm.x,VLOOKUP($B167,spell_header!$B$2:$G$373,5,FALSE),IF(_xlpm.x="","",_xlpm.x))</f>
        <v/>
      </c>
      <c r="G167">
        <v>326</v>
      </c>
    </row>
    <row r="168" spans="1:7" ht="15" x14ac:dyDescent="0.2">
      <c r="A168">
        <v>166</v>
      </c>
      <c r="B168" s="1" t="s">
        <v>1946</v>
      </c>
      <c r="C168" t="str">
        <f>_xlfn.LET(_xlpm.x,VLOOKUP($B168,spell_header!$B$2:$G$373,2,FALSE),IF(_xlpm.x="","",_xlpm.x))</f>
        <v>弹体移动要素：参数化移动类型</v>
      </c>
      <c r="D168" s="4" t="str">
        <f>IF(VLOOKUP($B168,spell_header!$B$2:$G$373,3,FALSE)="√","√","")</f>
        <v>√</v>
      </c>
      <c r="E168" s="4" t="str">
        <f>IF(VLOOKUP($B168,spell_header!$B$2:$G$373,4,FALSE)="√","√","")</f>
        <v/>
      </c>
      <c r="F168" t="str">
        <f>_xlfn.LET(_xlpm.x,VLOOKUP($B168,spell_header!$B$2:$G$373,5,FALSE),IF(_xlpm.x="","",_xlpm.x))</f>
        <v/>
      </c>
      <c r="G168">
        <v>330</v>
      </c>
    </row>
    <row r="169" spans="1:7" ht="15" x14ac:dyDescent="0.2">
      <c r="A169">
        <v>167</v>
      </c>
      <c r="B169" s="1" t="s">
        <v>1880</v>
      </c>
      <c r="C169" t="str">
        <f>_xlfn.LET(_xlpm.x,VLOOKUP($B169,spell_header!$B$2:$G$373,2,FALSE),IF(_xlpm.x="","",_xlpm.x))</f>
        <v>弹体移动要素：移动项目</v>
      </c>
      <c r="D169" s="4" t="str">
        <f>IF(VLOOKUP($B169,spell_header!$B$2:$G$373,3,FALSE)="√","√","")</f>
        <v>√</v>
      </c>
      <c r="E169" s="4" t="str">
        <f>IF(VLOOKUP($B169,spell_header!$B$2:$G$373,4,FALSE)="√","√","")</f>
        <v>√</v>
      </c>
      <c r="F169" t="str">
        <f>_xlfn.LET(_xlpm.x,VLOOKUP($B169,spell_header!$B$2:$G$373,5,FALSE),IF(_xlpm.x="","",_xlpm.x))</f>
        <v/>
      </c>
      <c r="G169">
        <v>331</v>
      </c>
    </row>
    <row r="170" spans="1:7" ht="15" x14ac:dyDescent="0.2">
      <c r="A170">
        <v>168</v>
      </c>
      <c r="B170" s="1" t="s">
        <v>1881</v>
      </c>
      <c r="C170" t="str">
        <f>_xlfn.LET(_xlpm.x,VLOOKUP($B170,spell_header!$B$2:$G$373,2,FALSE),IF(_xlpm.x="","",_xlpm.x))</f>
        <v>弹体移动要素：逆时针旋转</v>
      </c>
      <c r="D170" s="4" t="str">
        <f>IF(VLOOKUP($B170,spell_header!$B$2:$G$373,3,FALSE)="√","√","")</f>
        <v>√</v>
      </c>
      <c r="E170" s="4" t="str">
        <f>IF(VLOOKUP($B170,spell_header!$B$2:$G$373,4,FALSE)="√","√","")</f>
        <v>√</v>
      </c>
      <c r="F170" t="b">
        <f>_xlfn.LET(_xlpm.x,VLOOKUP($B170,spell_header!$B$2:$G$373,5,FALSE),IF(_xlpm.x="","",_xlpm.x))</f>
        <v>0</v>
      </c>
      <c r="G170">
        <v>332</v>
      </c>
    </row>
    <row r="171" spans="1:7" ht="15" x14ac:dyDescent="0.2">
      <c r="A171">
        <v>169</v>
      </c>
      <c r="B171" s="1" t="s">
        <v>1882</v>
      </c>
      <c r="C171" t="str">
        <f>_xlfn.LET(_xlpm.x,VLOOKUP($B171,spell_header!$B$2:$G$373,2,FALSE),IF(_xlpm.x="","",_xlpm.x))</f>
        <v>弹体移动要素：向墙外偏移量</v>
      </c>
      <c r="D171" s="4" t="str">
        <f>IF(VLOOKUP($B171,spell_header!$B$2:$G$373,3,FALSE)="√","√","")</f>
        <v>√</v>
      </c>
      <c r="E171" s="4" t="str">
        <f>IF(VLOOKUP($B171,spell_header!$B$2:$G$373,4,FALSE)="√","√","")</f>
        <v>√</v>
      </c>
      <c r="F171" t="str">
        <f>_xlfn.LET(_xlpm.x,VLOOKUP($B171,spell_header!$B$2:$G$373,5,FALSE),IF(_xlpm.x="","",_xlpm.x))</f>
        <v/>
      </c>
      <c r="G171">
        <v>333</v>
      </c>
    </row>
    <row r="172" spans="1:7" ht="15" x14ac:dyDescent="0.2">
      <c r="A172">
        <v>170</v>
      </c>
      <c r="B172" s="1" t="s">
        <v>1883</v>
      </c>
      <c r="C172" t="str">
        <f>_xlfn.LET(_xlpm.x,VLOOKUP($B172,spell_header!$B$2:$G$373,2,FALSE),IF(_xlpm.x="","",_xlpm.x))</f>
        <v>弹体移动要素：沿墙壁移动长度</v>
      </c>
      <c r="D172" s="4" t="str">
        <f>IF(VLOOKUP($B172,spell_header!$B$2:$G$373,3,FALSE)="√","√","")</f>
        <v>√</v>
      </c>
      <c r="E172" s="4" t="str">
        <f>IF(VLOOKUP($B172,spell_header!$B$2:$G$373,4,FALSE)="√","√","")</f>
        <v>√</v>
      </c>
      <c r="F172" t="str">
        <f>_xlfn.LET(_xlpm.x,VLOOKUP($B172,spell_header!$B$2:$G$373,5,FALSE),IF(_xlpm.x="","",_xlpm.x))</f>
        <v/>
      </c>
      <c r="G172">
        <v>334</v>
      </c>
    </row>
    <row r="173" spans="1:7" ht="15" x14ac:dyDescent="0.2">
      <c r="A173">
        <v>171</v>
      </c>
      <c r="B173" s="1" t="s">
        <v>1884</v>
      </c>
      <c r="C173" t="str">
        <f>_xlfn.LET(_xlpm.x,VLOOKUP($B173,spell_header!$B$2:$G$373,2,FALSE),IF(_xlpm.x="","",_xlpm.x))</f>
        <v>弹体移动要素：墙壁搜索半径</v>
      </c>
      <c r="D173" s="4" t="str">
        <f>IF(VLOOKUP($B173,spell_header!$B$2:$G$373,3,FALSE)="√","√","")</f>
        <v>√</v>
      </c>
      <c r="E173" s="4" t="str">
        <f>IF(VLOOKUP($B173,spell_header!$B$2:$G$373,4,FALSE)="√","√","")</f>
        <v>√</v>
      </c>
      <c r="F173" t="str">
        <f>_xlfn.LET(_xlpm.x,VLOOKUP($B173,spell_header!$B$2:$G$373,5,FALSE),IF(_xlpm.x="","",_xlpm.x))</f>
        <v/>
      </c>
      <c r="G173">
        <v>335</v>
      </c>
    </row>
    <row r="174" spans="1:7" ht="15" x14ac:dyDescent="0.2">
      <c r="A174">
        <v>172</v>
      </c>
      <c r="B174" s="1" t="s">
        <v>1885</v>
      </c>
      <c r="C174" t="str">
        <f>_xlfn.LET(_xlpm.x,VLOOKUP($B174,spell_header!$B$2:$G$373,2,FALSE),IF(_xlpm.x="","",_xlpm.x))</f>
        <v>弹体移动要素：中途停止</v>
      </c>
      <c r="D174" s="4" t="str">
        <f>IF(VLOOKUP($B174,spell_header!$B$2:$G$373,3,FALSE)="√","√","")</f>
        <v>√</v>
      </c>
      <c r="E174" s="4" t="str">
        <f>IF(VLOOKUP($B174,spell_header!$B$2:$G$373,4,FALSE)="√","√","")</f>
        <v>√</v>
      </c>
      <c r="F174" t="b">
        <f>_xlfn.LET(_xlpm.x,VLOOKUP($B174,spell_header!$B$2:$G$373,5,FALSE),IF(_xlpm.x="","",_xlpm.x))</f>
        <v>0</v>
      </c>
      <c r="G174">
        <v>336</v>
      </c>
    </row>
    <row r="175" spans="1:7" ht="15" x14ac:dyDescent="0.2">
      <c r="A175">
        <v>173</v>
      </c>
      <c r="B175" s="1" t="s">
        <v>1886</v>
      </c>
      <c r="C175" t="str">
        <f>_xlfn.LET(_xlpm.x,VLOOKUP($B175,spell_header!$B$2:$G$373,2,FALSE),IF(_xlpm.x="","",_xlpm.x))</f>
        <v>弹体移动要素：使用点平滑处理</v>
      </c>
      <c r="D175" s="4" t="str">
        <f>IF(VLOOKUP($B175,spell_header!$B$2:$G$373,3,FALSE)="√","√","")</f>
        <v>√</v>
      </c>
      <c r="E175" s="4" t="str">
        <f>IF(VLOOKUP($B175,spell_header!$B$2:$G$373,4,FALSE)="√","√","")</f>
        <v>√</v>
      </c>
      <c r="F175" t="b">
        <f>_xlfn.LET(_xlpm.x,VLOOKUP($B175,spell_header!$B$2:$G$373,5,FALSE),IF(_xlpm.x="","",_xlpm.x))</f>
        <v>0</v>
      </c>
      <c r="G175">
        <v>337</v>
      </c>
    </row>
    <row r="176" spans="1:7" ht="15" x14ac:dyDescent="0.2">
      <c r="A176">
        <v>174</v>
      </c>
      <c r="B176" s="1" t="s">
        <v>1888</v>
      </c>
      <c r="C176" t="str">
        <f>_xlfn.LET(_xlpm.x,VLOOKUP($B176,spell_header!$B$2:$G$373,2,FALSE),IF(_xlpm.x="","",_xlpm.x))</f>
        <v>弹体移动要素：实时引导抗延迟补偿</v>
      </c>
      <c r="D176" s="4" t="str">
        <f>IF(VLOOKUP($B176,spell_header!$B$2:$G$373,3,FALSE)="√","√","")</f>
        <v>√</v>
      </c>
      <c r="E176" s="4" t="str">
        <f>IF(VLOOKUP($B176,spell_header!$B$2:$G$373,4,FALSE)="√","√","")</f>
        <v>√</v>
      </c>
      <c r="F176" t="str">
        <f>_xlfn.LET(_xlpm.x,VLOOKUP($B176,spell_header!$B$2:$G$373,5,FALSE),IF(_xlpm.x="","",_xlpm.x))</f>
        <v/>
      </c>
      <c r="G176">
        <v>338</v>
      </c>
    </row>
    <row r="177" spans="1:7" ht="15" x14ac:dyDescent="0.2">
      <c r="A177">
        <v>175</v>
      </c>
      <c r="B177" s="1" t="s">
        <v>3732</v>
      </c>
      <c r="C177" t="str">
        <f>_xlfn.LET(_xlpm.x,VLOOKUP($B177,spell_header!$B$2:$G$373,2,FALSE),IF(_xlpm.x="","",_xlpm.x))</f>
        <v>弹体移动要素：缩放比例</v>
      </c>
      <c r="D177" s="4" t="str">
        <f>IF(VLOOKUP($B177,spell_header!$B$2:$G$373,3,FALSE)="√","√","")</f>
        <v>√</v>
      </c>
      <c r="E177" s="4" t="str">
        <f>IF(VLOOKUP($B177,spell_header!$B$2:$G$373,4,FALSE)="√","√","")</f>
        <v>√</v>
      </c>
      <c r="F177" t="str">
        <f>_xlfn.LET(_xlpm.x,VLOOKUP($B177,spell_header!$B$2:$G$373,5,FALSE),IF(_xlpm.x="","",_xlpm.x))</f>
        <v/>
      </c>
      <c r="G177">
        <v>327</v>
      </c>
    </row>
    <row r="178" spans="1:7" ht="15" x14ac:dyDescent="0.2">
      <c r="A178">
        <v>176</v>
      </c>
      <c r="B178" s="1" t="s">
        <v>3733</v>
      </c>
      <c r="C178" t="str">
        <f>_xlfn.LET(_xlpm.x,VLOOKUP($B178,spell_header!$B$2:$G$373,2,FALSE),IF(_xlpm.x="","",_xlpm.x))</f>
        <v/>
      </c>
      <c r="D178" s="4" t="str">
        <f>IF(VLOOKUP($B178,spell_header!$B$2:$G$373,3,FALSE)="√","√","")</f>
        <v>√</v>
      </c>
      <c r="E178" s="4" t="str">
        <f>IF(VLOOKUP($B178,spell_header!$B$2:$G$373,4,FALSE)="√","√","")</f>
        <v>√</v>
      </c>
      <c r="F178" t="str">
        <f>_xlfn.LET(_xlpm.x,VLOOKUP($B178,spell_header!$B$2:$G$373,5,FALSE),IF(_xlpm.x="","",_xlpm.x))</f>
        <v/>
      </c>
      <c r="G178">
        <v>329</v>
      </c>
    </row>
    <row r="179" spans="1:7" ht="15" x14ac:dyDescent="0.2">
      <c r="A179">
        <v>177</v>
      </c>
      <c r="B179" s="1" t="s">
        <v>1865</v>
      </c>
      <c r="C179" t="str">
        <f>_xlfn.LET(_xlpm.x,VLOOKUP($B179,spell_header!$B$2:$G$373,2,FALSE),IF(_xlpm.x="","",_xlpm.x))</f>
        <v>弹体移动要素类型</v>
      </c>
      <c r="D179" s="4" t="str">
        <f>IF(VLOOKUP($B179,spell_header!$B$2:$G$373,3,FALSE)="√","√","")</f>
        <v>√</v>
      </c>
      <c r="E179" s="4" t="str">
        <f>IF(VLOOKUP($B179,spell_header!$B$2:$G$373,4,FALSE)="√","√","")</f>
        <v/>
      </c>
      <c r="F179" t="str">
        <f>_xlfn.LET(_xlpm.x,VLOOKUP($B179,spell_header!$B$2:$G$373,5,FALSE),IF(_xlpm.x="","",_xlpm.x))</f>
        <v/>
      </c>
      <c r="G179">
        <v>289</v>
      </c>
    </row>
    <row r="180" spans="1:7" ht="15" x14ac:dyDescent="0.2">
      <c r="A180">
        <v>178</v>
      </c>
      <c r="B180" s="1" t="s">
        <v>1848</v>
      </c>
      <c r="C180" t="str">
        <f>_xlfn.LET(_xlpm.x,VLOOKUP($B180,spell_header!$B$2:$G$373,2,FALSE),IF(_xlpm.x="","",_xlpm.x))</f>
        <v>弹体组生成器</v>
      </c>
      <c r="D180" s="4" t="str">
        <f>IF(VLOOKUP($B180,spell_header!$B$2:$G$373,3,FALSE)="√","√","")</f>
        <v>√</v>
      </c>
      <c r="E180" s="4" t="str">
        <f>IF(VLOOKUP($B180,spell_header!$B$2:$G$373,4,FALSE)="√","√","")</f>
        <v>√</v>
      </c>
      <c r="F180" t="str">
        <f>_xlfn.LET(_xlpm.x,VLOOKUP($B180,spell_header!$B$2:$G$373,5,FALSE),IF(_xlpm.x="","",_xlpm.x))</f>
        <v/>
      </c>
      <c r="G180">
        <v>339</v>
      </c>
    </row>
    <row r="181" spans="1:7" ht="15" x14ac:dyDescent="0.2">
      <c r="A181">
        <v>179</v>
      </c>
      <c r="B181" s="1" t="s">
        <v>1900</v>
      </c>
      <c r="C181" t="str">
        <f>_xlfn.LET(_xlpm.x,VLOOKUP($B181,spell_header!$B$2:$G$373,2,FALSE),IF(_xlpm.x="","",_xlpm.x))</f>
        <v>弹体可视要素：目标可见性可控</v>
      </c>
      <c r="D181" s="4" t="str">
        <f>IF(VLOOKUP($B181,spell_header!$B$2:$G$373,3,FALSE)="√","√","")</f>
        <v>√</v>
      </c>
      <c r="E181" s="4" t="str">
        <f>IF(VLOOKUP($B181,spell_header!$B$2:$G$373,4,FALSE)="√","√","")</f>
        <v>√</v>
      </c>
      <c r="F181" t="b">
        <f>_xlfn.LET(_xlpm.x,VLOOKUP($B181,spell_header!$B$2:$G$373,5,FALSE),IF(_xlpm.x="","",_xlpm.x))</f>
        <v>0</v>
      </c>
      <c r="G181">
        <v>341</v>
      </c>
    </row>
    <row r="182" spans="1:7" ht="15" x14ac:dyDescent="0.2">
      <c r="A182">
        <v>180</v>
      </c>
      <c r="B182" s="1" t="s">
        <v>1901</v>
      </c>
      <c r="C182" t="str">
        <f>_xlfn.LET(_xlpm.x,VLOOKUP($B182,spell_header!$B$2:$G$373,2,FALSE),IF(_xlpm.x="","",_xlpm.x))</f>
        <v>弹体可视要素：预测弹体脱离战争迷雾时的移动</v>
      </c>
      <c r="D182" s="4" t="str">
        <f>IF(VLOOKUP($B182,spell_header!$B$2:$G$373,3,FALSE)="√","√","")</f>
        <v>√</v>
      </c>
      <c r="E182" s="4" t="str">
        <f>IF(VLOOKUP($B182,spell_header!$B$2:$G$373,4,FALSE)="√","√","")</f>
        <v>√</v>
      </c>
      <c r="F182" t="b">
        <f>_xlfn.LET(_xlpm.x,VLOOKUP($B182,spell_header!$B$2:$G$373,5,FALSE),IF(_xlpm.x="","",_xlpm.x))</f>
        <v>0</v>
      </c>
      <c r="G182">
        <v>342</v>
      </c>
    </row>
    <row r="183" spans="1:7" ht="15" x14ac:dyDescent="0.2">
      <c r="A183">
        <v>181</v>
      </c>
      <c r="B183" s="1" t="s">
        <v>1902</v>
      </c>
      <c r="C183" t="str">
        <f>_xlfn.LET(_xlpm.x,VLOOKUP($B183,spell_header!$B$2:$G$373,2,FALSE),IF(_xlpm.x="","",_xlpm.x))</f>
        <v>弹体可视要素：感知气泡半径</v>
      </c>
      <c r="D183" s="4" t="str">
        <f>IF(VLOOKUP($B183,spell_header!$B$2:$G$373,3,FALSE)="√","√","")</f>
        <v>√</v>
      </c>
      <c r="E183" s="4" t="str">
        <f>IF(VLOOKUP($B183,spell_header!$B$2:$G$373,4,FALSE)="√","√","")</f>
        <v>√</v>
      </c>
      <c r="F183" t="str">
        <f>_xlfn.LET(_xlpm.x,VLOOKUP($B183,spell_header!$B$2:$G$373,5,FALSE),IF(_xlpm.x="","",_xlpm.x))</f>
        <v/>
      </c>
      <c r="G183">
        <v>343</v>
      </c>
    </row>
    <row r="184" spans="1:7" ht="15" x14ac:dyDescent="0.2">
      <c r="A184">
        <v>182</v>
      </c>
      <c r="B184" s="1" t="s">
        <v>1903</v>
      </c>
      <c r="C184" t="str">
        <f>_xlfn.LET(_xlpm.x,VLOOKUP($B184,spell_header!$B$2:$G$373,2,FALSE),IF(_xlpm.x="","",_xlpm.x))</f>
        <v>弹体可视要素：客户端显示弹体前等待目标更新</v>
      </c>
      <c r="D184" s="4" t="str">
        <f>IF(VLOOKUP($B184,spell_header!$B$2:$G$373,3,FALSE)="√","√","")</f>
        <v>√</v>
      </c>
      <c r="E184" s="4" t="str">
        <f>IF(VLOOKUP($B184,spell_header!$B$2:$G$373,4,FALSE)="√","√","")</f>
        <v>√</v>
      </c>
      <c r="F184" t="b">
        <f>_xlfn.LET(_xlpm.x,VLOOKUP($B184,spell_header!$B$2:$G$373,5,FALSE),IF(_xlpm.x="","",_xlpm.x))</f>
        <v>0</v>
      </c>
      <c r="G184">
        <v>344</v>
      </c>
    </row>
    <row r="185" spans="1:7" ht="15" x14ac:dyDescent="0.2">
      <c r="A185">
        <v>183</v>
      </c>
      <c r="B185" s="1" t="s">
        <v>1904</v>
      </c>
      <c r="C185" t="str">
        <f>_xlfn.LET(_xlpm.x,VLOOKUP($B185,spell_header!$B$2:$G$373,2,FALSE),IF(_xlpm.x="","",_xlpm.x))</f>
        <v>弹体可视要素：用于可见性考虑的轨迹存留时间</v>
      </c>
      <c r="D185" s="4" t="str">
        <f>IF(VLOOKUP($B185,spell_header!$B$2:$G$373,3,FALSE)="√","√","")</f>
        <v>√</v>
      </c>
      <c r="E185" s="4" t="str">
        <f>IF(VLOOKUP($B185,spell_header!$B$2:$G$373,4,FALSE)="√","√","")</f>
        <v>√</v>
      </c>
      <c r="F185" t="str">
        <f>_xlfn.LET(_xlpm.x,VLOOKUP($B185,spell_header!$B$2:$G$373,5,FALSE),IF(_xlpm.x="","",_xlpm.x))</f>
        <v/>
      </c>
      <c r="G185">
        <v>345</v>
      </c>
    </row>
    <row r="186" spans="1:7" ht="15" x14ac:dyDescent="0.2">
      <c r="A186">
        <v>184</v>
      </c>
      <c r="B186" s="1" t="s">
        <v>1905</v>
      </c>
      <c r="C186" t="str">
        <f>_xlfn.LET(_xlpm.x,VLOOKUP($B186,spell_header!$B$2:$G$373,2,FALSE),IF(_xlpm.x="","",_xlpm.x))</f>
        <v>弹体可视要素：仅对友方可见</v>
      </c>
      <c r="D186" s="4" t="str">
        <f>IF(VLOOKUP($B186,spell_header!$B$2:$G$373,3,FALSE)="√","√","")</f>
        <v>√</v>
      </c>
      <c r="E186" s="4" t="str">
        <f>IF(VLOOKUP($B186,spell_header!$B$2:$G$373,4,FALSE)="√","√","")</f>
        <v>√</v>
      </c>
      <c r="F186" t="b">
        <f>_xlfn.LET(_xlpm.x,VLOOKUP($B186,spell_header!$B$2:$G$373,5,FALSE),IF(_xlpm.x="","",_xlpm.x))</f>
        <v>0</v>
      </c>
      <c r="G186">
        <v>346</v>
      </c>
    </row>
    <row r="187" spans="1:7" ht="15" x14ac:dyDescent="0.2">
      <c r="A187">
        <v>185</v>
      </c>
      <c r="B187" s="1" t="s">
        <v>1906</v>
      </c>
      <c r="C187" t="str">
        <f>_xlfn.LET(_xlpm.x,VLOOKUP($B187,spell_header!$B$2:$G$373,2,FALSE),IF(_xlpm.x="","",_xlpm.x))</f>
        <v>弹体可视要素类型</v>
      </c>
      <c r="D187" s="4" t="str">
        <f>IF(VLOOKUP($B187,spell_header!$B$2:$G$373,3,FALSE)="√","√","")</f>
        <v>√</v>
      </c>
      <c r="E187" s="4" t="str">
        <f>IF(VLOOKUP($B187,spell_header!$B$2:$G$373,4,FALSE)="√","√","")</f>
        <v/>
      </c>
      <c r="F187" t="str">
        <f>_xlfn.LET(_xlpm.x,VLOOKUP($B187,spell_header!$B$2:$G$373,5,FALSE),IF(_xlpm.x="","",_xlpm.x))</f>
        <v/>
      </c>
      <c r="G187">
        <v>340</v>
      </c>
    </row>
    <row r="188" spans="1:7" ht="15" x14ac:dyDescent="0.2">
      <c r="A188">
        <v>186</v>
      </c>
      <c r="B188" s="1" t="s">
        <v>1889</v>
      </c>
      <c r="C188" t="str">
        <f>_xlfn.LET(_xlpm.x,VLOOKUP($B188,spell_header!$B$2:$G$373,2,FALSE),IF(_xlpm.x="","",_xlpm.x))</f>
        <v>弹体高度求解器：高度偏移量</v>
      </c>
      <c r="D188" s="4" t="str">
        <f>IF(VLOOKUP($B188,spell_header!$B$2:$G$373,3,FALSE)="√","√","")</f>
        <v>√</v>
      </c>
      <c r="E188" s="4" t="str">
        <f>IF(VLOOKUP($B188,spell_header!$B$2:$G$373,4,FALSE)="√","√","")</f>
        <v>√</v>
      </c>
      <c r="F188" t="str">
        <f>_xlfn.LET(_xlpm.x,VLOOKUP($B188,spell_header!$B$2:$G$373,5,FALSE),IF(_xlpm.x="","",_xlpm.x))</f>
        <v/>
      </c>
      <c r="G188">
        <v>348</v>
      </c>
    </row>
    <row r="189" spans="1:7" ht="15" x14ac:dyDescent="0.2">
      <c r="A189">
        <v>187</v>
      </c>
      <c r="B189" s="1" t="s">
        <v>1890</v>
      </c>
      <c r="C189" t="str">
        <f>_xlfn.LET(_xlpm.x,VLOOKUP($B189,spell_header!$B$2:$G$373,2,FALSE),IF(_xlpm.x="","",_xlpm.x))</f>
        <v>弹体高度求解器：最大坡度</v>
      </c>
      <c r="D189" s="4" t="str">
        <f>IF(VLOOKUP($B189,spell_header!$B$2:$G$373,3,FALSE)="√","√","")</f>
        <v>√</v>
      </c>
      <c r="E189" s="4" t="str">
        <f>IF(VLOOKUP($B189,spell_header!$B$2:$G$373,4,FALSE)="√","√","")</f>
        <v>√</v>
      </c>
      <c r="F189" t="str">
        <f>_xlfn.LET(_xlpm.x,VLOOKUP($B189,spell_header!$B$2:$G$373,5,FALSE),IF(_xlpm.x="","",_xlpm.x))</f>
        <v/>
      </c>
      <c r="G189">
        <v>349</v>
      </c>
    </row>
    <row r="190" spans="1:7" ht="15" x14ac:dyDescent="0.2">
      <c r="A190">
        <v>188</v>
      </c>
      <c r="B190" s="1" t="s">
        <v>1891</v>
      </c>
      <c r="C190" t="str">
        <f>_xlfn.LET(_xlpm.x,VLOOKUP($B190,spell_header!$B$2:$G$373,2,FALSE),IF(_xlpm.x="","",_xlpm.x))</f>
        <v>弹体高度求解器：重力因子</v>
      </c>
      <c r="D190" s="4" t="str">
        <f>IF(VLOOKUP($B190,spell_header!$B$2:$G$373,3,FALSE)="√","√","")</f>
        <v>√</v>
      </c>
      <c r="E190" s="4" t="str">
        <f>IF(VLOOKUP($B190,spell_header!$B$2:$G$373,4,FALSE)="√","√","")</f>
        <v>√</v>
      </c>
      <c r="F190" t="str">
        <f>_xlfn.LET(_xlpm.x,VLOOKUP($B190,spell_header!$B$2:$G$373,5,FALSE),IF(_xlpm.x="","",_xlpm.x))</f>
        <v/>
      </c>
      <c r="G190">
        <v>350</v>
      </c>
    </row>
    <row r="191" spans="1:7" ht="15" x14ac:dyDescent="0.2">
      <c r="A191">
        <v>189</v>
      </c>
      <c r="B191" s="1" t="s">
        <v>1892</v>
      </c>
      <c r="C191" t="str">
        <f>_xlfn.LET(_xlpm.x,VLOOKUP($B191,spell_header!$B$2:$G$373,2,FALSE),IF(_xlpm.x="","",_xlpm.x))</f>
        <v/>
      </c>
      <c r="D191" s="4" t="str">
        <f>IF(VLOOKUP($B191,spell_header!$B$2:$G$373,3,FALSE)="√","√","")</f>
        <v>√</v>
      </c>
      <c r="E191" s="4" t="str">
        <f>IF(VLOOKUP($B191,spell_header!$B$2:$G$373,4,FALSE)="√","√","")</f>
        <v>√</v>
      </c>
      <c r="F191" t="str">
        <f>_xlfn.LET(_xlpm.x,VLOOKUP($B191,spell_header!$B$2:$G$373,5,FALSE),IF(_xlpm.x="","",_xlpm.x))</f>
        <v/>
      </c>
      <c r="G191">
        <v>351</v>
      </c>
    </row>
    <row r="192" spans="1:7" ht="15" x14ac:dyDescent="0.2">
      <c r="A192">
        <v>190</v>
      </c>
      <c r="B192" s="1" t="s">
        <v>1893</v>
      </c>
      <c r="C192" t="str">
        <f>_xlfn.LET(_xlpm.x,VLOOKUP($B192,spell_header!$B$2:$G$373,2,FALSE),IF(_xlpm.x="","",_xlpm.x))</f>
        <v>弹体高度求解器：垂直偏移量</v>
      </c>
      <c r="D192" s="4" t="str">
        <f>IF(VLOOKUP($B192,spell_header!$B$2:$G$373,3,FALSE)="√","√","")</f>
        <v>√</v>
      </c>
      <c r="E192" s="4" t="str">
        <f>IF(VLOOKUP($B192,spell_header!$B$2:$G$373,4,FALSE)="√","√","")</f>
        <v>√</v>
      </c>
      <c r="F192" t="str">
        <f>_xlfn.LET(_xlpm.x,VLOOKUP($B192,spell_header!$B$2:$G$373,5,FALSE),IF(_xlpm.x="","",_xlpm.x))</f>
        <v/>
      </c>
      <c r="G192">
        <v>352</v>
      </c>
    </row>
    <row r="193" spans="1:7" ht="15" x14ac:dyDescent="0.2">
      <c r="A193">
        <v>191</v>
      </c>
      <c r="B193" s="1" t="s">
        <v>1894</v>
      </c>
      <c r="C193" t="str">
        <f>_xlfn.LET(_xlpm.x,VLOOKUP($B193,spell_header!$B$2:$G$373,2,FALSE),IF(_xlpm.x="","",_xlpm.x))</f>
        <v>弹体高度求解器：波形振幅</v>
      </c>
      <c r="D193" s="4" t="str">
        <f>IF(VLOOKUP($B193,spell_header!$B$2:$G$373,3,FALSE)="√","√","")</f>
        <v>√</v>
      </c>
      <c r="E193" s="4" t="str">
        <f>IF(VLOOKUP($B193,spell_header!$B$2:$G$373,4,FALSE)="√","√","")</f>
        <v>√</v>
      </c>
      <c r="F193" t="str">
        <f>_xlfn.LET(_xlpm.x,VLOOKUP($B193,spell_header!$B$2:$G$373,5,FALSE),IF(_xlpm.x="","",_xlpm.x))</f>
        <v/>
      </c>
      <c r="G193">
        <v>353</v>
      </c>
    </row>
    <row r="194" spans="1:7" ht="15" x14ac:dyDescent="0.2">
      <c r="A194">
        <v>192</v>
      </c>
      <c r="B194" s="1" t="s">
        <v>1895</v>
      </c>
      <c r="C194" t="str">
        <f>_xlfn.LET(_xlpm.x,VLOOKUP($B194,spell_header!$B$2:$G$373,2,FALSE),IF(_xlpm.x="","",_xlpm.x))</f>
        <v>弹体高度求解器：波形周期</v>
      </c>
      <c r="D194" s="4" t="str">
        <f>IF(VLOOKUP($B194,spell_header!$B$2:$G$373,3,FALSE)="√","√","")</f>
        <v>√</v>
      </c>
      <c r="E194" s="4" t="str">
        <f>IF(VLOOKUP($B194,spell_header!$B$2:$G$373,4,FALSE)="√","√","")</f>
        <v>√</v>
      </c>
      <c r="F194" t="str">
        <f>_xlfn.LET(_xlpm.x,VLOOKUP($B194,spell_header!$B$2:$G$373,5,FALSE),IF(_xlpm.x="","",_xlpm.x))</f>
        <v/>
      </c>
      <c r="G194">
        <v>354</v>
      </c>
    </row>
    <row r="195" spans="1:7" ht="15" x14ac:dyDescent="0.2">
      <c r="A195">
        <v>193</v>
      </c>
      <c r="B195" s="1" t="s">
        <v>1896</v>
      </c>
      <c r="C195" t="str">
        <f>_xlfn.LET(_xlpm.x,VLOOKUP($B195,spell_header!$B$2:$G$373,2,FALSE),IF(_xlpm.x="","",_xlpm.x))</f>
        <v/>
      </c>
      <c r="D195" s="4" t="str">
        <f>IF(VLOOKUP($B195,spell_header!$B$2:$G$373,3,FALSE)="√","√","")</f>
        <v>√</v>
      </c>
      <c r="E195" s="4" t="str">
        <f>IF(VLOOKUP($B195,spell_header!$B$2:$G$373,4,FALSE)="√","√","")</f>
        <v>√</v>
      </c>
      <c r="F195" t="str">
        <f>_xlfn.LET(_xlpm.x,VLOOKUP($B195,spell_header!$B$2:$G$373,5,FALSE),IF(_xlpm.x="","",_xlpm.x))</f>
        <v/>
      </c>
      <c r="G195">
        <v>355</v>
      </c>
    </row>
    <row r="196" spans="1:7" ht="15" x14ac:dyDescent="0.2">
      <c r="A196">
        <v>194</v>
      </c>
      <c r="B196" s="1" t="s">
        <v>1897</v>
      </c>
      <c r="C196" t="str">
        <f>_xlfn.LET(_xlpm.x,VLOOKUP($B196,spell_header!$B$2:$G$373,2,FALSE),IF(_xlpm.x="","",_xlpm.x))</f>
        <v>弹体高度求解器：初始目标高度偏移量</v>
      </c>
      <c r="D196" s="4" t="str">
        <f>IF(VLOOKUP($B196,spell_header!$B$2:$G$373,3,FALSE)="√","√","")</f>
        <v>√</v>
      </c>
      <c r="E196" s="4" t="str">
        <f>IF(VLOOKUP($B196,spell_header!$B$2:$G$373,4,FALSE)="√","√","")</f>
        <v>√</v>
      </c>
      <c r="F196" t="str">
        <f>_xlfn.LET(_xlpm.x,VLOOKUP($B196,spell_header!$B$2:$G$373,5,FALSE),IF(_xlpm.x="","",_xlpm.x))</f>
        <v/>
      </c>
      <c r="G196">
        <v>356</v>
      </c>
    </row>
    <row r="197" spans="1:7" ht="15" x14ac:dyDescent="0.2">
      <c r="A197">
        <v>195</v>
      </c>
      <c r="B197" s="1" t="s">
        <v>1898</v>
      </c>
      <c r="C197" t="str">
        <f>_xlfn.LET(_xlpm.x,VLOOKUP($B197,spell_header!$B$2:$G$373,2,FALSE),IF(_xlpm.x="","",_xlpm.x))</f>
        <v>弹体高度求解器类型</v>
      </c>
      <c r="D197" s="4" t="str">
        <f>IF(VLOOKUP($B197,spell_header!$B$2:$G$373,3,FALSE)="√","√","")</f>
        <v>√</v>
      </c>
      <c r="E197" s="4" t="str">
        <f>IF(VLOOKUP($B197,spell_header!$B$2:$G$373,4,FALSE)="√","√","")</f>
        <v/>
      </c>
      <c r="F197" t="str">
        <f>_xlfn.LET(_xlpm.x,VLOOKUP($B197,spell_header!$B$2:$G$373,5,FALSE),IF(_xlpm.x="","",_xlpm.x))</f>
        <v/>
      </c>
      <c r="G197">
        <v>347</v>
      </c>
    </row>
    <row r="198" spans="1:7" ht="15" x14ac:dyDescent="0.2">
      <c r="A198">
        <v>196</v>
      </c>
      <c r="B198" s="1" t="s">
        <v>1899</v>
      </c>
      <c r="C198" t="str">
        <f>_xlfn.LET(_xlpm.x,VLOOKUP($B198,spell_header!$B$2:$G$373,2,FALSE),IF(_xlpm.x="","",_xlpm.x))</f>
        <v>弹体垂直朝向类型</v>
      </c>
      <c r="D198" s="4" t="str">
        <f>IF(VLOOKUP($B198,spell_header!$B$2:$G$373,3,FALSE)="√","√","")</f>
        <v>√</v>
      </c>
      <c r="E198" s="4" t="str">
        <f>IF(VLOOKUP($B198,spell_header!$B$2:$G$373,4,FALSE)="√","√","")</f>
        <v/>
      </c>
      <c r="F198" t="str">
        <f>_xlfn.LET(_xlpm.x,VLOOKUP($B198,spell_header!$B$2:$G$373,5,FALSE),IF(_xlpm.x="","",_xlpm.x))</f>
        <v/>
      </c>
      <c r="G198">
        <v>357</v>
      </c>
    </row>
    <row r="199" spans="1:7" ht="15" x14ac:dyDescent="0.2">
      <c r="A199">
        <v>197</v>
      </c>
      <c r="B199" s="1" t="s">
        <v>1849</v>
      </c>
      <c r="C199" t="str">
        <f>_xlfn.LET(_xlpm.x,VLOOKUP($B199,spell_header!$B$2:$G$373,2,FALSE),IF(_xlpm.x="","",_xlpm.x))</f>
        <v>弹体行为</v>
      </c>
      <c r="D199" s="4" t="str">
        <f>IF(VLOOKUP($B199,spell_header!$B$2:$G$373,3,FALSE)="√","√","")</f>
        <v>√</v>
      </c>
      <c r="E199" s="4" t="str">
        <f>IF(VLOOKUP($B199,spell_header!$B$2:$G$373,4,FALSE)="√","√","")</f>
        <v>√</v>
      </c>
      <c r="F199" t="str">
        <f>_xlfn.LET(_xlpm.x,VLOOKUP($B199,spell_header!$B$2:$G$373,5,FALSE),IF(_xlpm.x="","",_xlpm.x))</f>
        <v/>
      </c>
      <c r="G199">
        <v>358</v>
      </c>
    </row>
    <row r="200" spans="1:7" ht="15" x14ac:dyDescent="0.2">
      <c r="A200">
        <v>198</v>
      </c>
      <c r="B200" s="1" t="s">
        <v>1850</v>
      </c>
      <c r="C200" t="str">
        <f>_xlfn.LET(_xlpm.x,VLOOKUP($B200,spell_header!$B$2:$G$373,2,FALSE),IF(_xlpm.x="","",_xlpm.x))</f>
        <v/>
      </c>
      <c r="D200" s="4" t="str">
        <f>IF(VLOOKUP($B200,spell_header!$B$2:$G$373,3,FALSE)="√","√","")</f>
        <v>√</v>
      </c>
      <c r="E200" s="4" t="str">
        <f>IF(VLOOKUP($B200,spell_header!$B$2:$G$373,4,FALSE)="√","√","")</f>
        <v>√</v>
      </c>
      <c r="F200" t="b">
        <f>_xlfn.LET(_xlpm.x,VLOOKUP($B200,spell_header!$B$2:$G$373,5,FALSE),IF(_xlpm.x="","",_xlpm.x))</f>
        <v>0</v>
      </c>
      <c r="G200">
        <v>359</v>
      </c>
    </row>
    <row r="201" spans="1:7" ht="15" x14ac:dyDescent="0.2">
      <c r="A201">
        <v>199</v>
      </c>
      <c r="B201" s="1" t="s">
        <v>1693</v>
      </c>
      <c r="C201" t="str">
        <f>_xlfn.LET(_xlpm.x,VLOOKUP($B201,spell_header!$B$2:$G$373,2,FALSE),IF(_xlpm.x="","",_xlpm.x))</f>
        <v>施法类型</v>
      </c>
      <c r="D201" s="4" t="str">
        <f>IF(VLOOKUP($B201,spell_header!$B$2:$G$373,3,FALSE)="√","√","")</f>
        <v>√</v>
      </c>
      <c r="E201" s="4" t="str">
        <f>IF(VLOOKUP($B201,spell_header!$B$2:$G$373,4,FALSE)="√","√","")</f>
        <v>√</v>
      </c>
      <c r="F201" t="str">
        <f>_xlfn.LET(_xlpm.x,VLOOKUP($B201,spell_header!$B$2:$G$373,5,FALSE),IF(_xlpm.x="","",_xlpm.x))</f>
        <v/>
      </c>
      <c r="G201">
        <v>45</v>
      </c>
    </row>
    <row r="202" spans="1:7" ht="15" x14ac:dyDescent="0.2">
      <c r="A202">
        <v>200</v>
      </c>
      <c r="B202" s="1" t="s">
        <v>1694</v>
      </c>
      <c r="C202" t="str">
        <f>_xlfn.LET(_xlpm.x,VLOOKUP($B202,spell_header!$B$2:$G$373,2,FALSE),IF(_xlpm.x="","",_xlpm.x))</f>
        <v>施法帧数</v>
      </c>
      <c r="D202" s="4" t="str">
        <f>IF(VLOOKUP($B202,spell_header!$B$2:$G$373,3,FALSE)="√","√","")</f>
        <v>√</v>
      </c>
      <c r="E202" s="4" t="str">
        <f>IF(VLOOKUP($B202,spell_header!$B$2:$G$373,4,FALSE)="√","√","")</f>
        <v>√</v>
      </c>
      <c r="F202" t="str">
        <f>_xlfn.LET(_xlpm.x,VLOOKUP($B202,spell_header!$B$2:$G$373,5,FALSE),IF(_xlpm.x="","",_xlpm.x))</f>
        <v/>
      </c>
      <c r="G202">
        <v>58</v>
      </c>
    </row>
    <row r="203" spans="1:7" ht="15" x14ac:dyDescent="0.2">
      <c r="A203">
        <v>201</v>
      </c>
      <c r="B203" s="1" t="s">
        <v>1695</v>
      </c>
      <c r="C203" t="str">
        <f>_xlfn.LET(_xlpm.x,VLOOKUP($B203,spell_header!$B$2:$G$373,2,FALSE),IF(_xlpm.x="","",_xlpm.x))</f>
        <v>弹体速度</v>
      </c>
      <c r="D203" s="4" t="str">
        <f>IF(VLOOKUP($B203,spell_header!$B$2:$G$373,3,FALSE)="√","√","")</f>
        <v>√</v>
      </c>
      <c r="E203" s="4" t="str">
        <f>IF(VLOOKUP($B203,spell_header!$B$2:$G$373,4,FALSE)="√","√","")</f>
        <v>√</v>
      </c>
      <c r="F203" t="str">
        <f>_xlfn.LET(_xlpm.x,VLOOKUP($B203,spell_header!$B$2:$G$373,5,FALSE),IF(_xlpm.x="","",_xlpm.x))</f>
        <v/>
      </c>
      <c r="G203">
        <v>279</v>
      </c>
    </row>
    <row r="204" spans="1:7" ht="15" x14ac:dyDescent="0.2">
      <c r="A204">
        <v>202</v>
      </c>
      <c r="B204" s="1" t="s">
        <v>1696</v>
      </c>
      <c r="C204" t="str">
        <f>_xlfn.LET(_xlpm.x,VLOOKUP($B204,spell_header!$B$2:$G$373,2,FALSE),IF(_xlpm.x="","",_xlpm.x))</f>
        <v>弹体特效名称</v>
      </c>
      <c r="D204" s="4" t="str">
        <f>IF(VLOOKUP($B204,spell_header!$B$2:$G$373,3,FALSE)="√","√","")</f>
        <v>√</v>
      </c>
      <c r="E204" s="4" t="str">
        <f>IF(VLOOKUP($B204,spell_header!$B$2:$G$373,4,FALSE)="√","√","")</f>
        <v>√</v>
      </c>
      <c r="F204" t="str">
        <f>_xlfn.LET(_xlpm.x,VLOOKUP($B204,spell_header!$B$2:$G$373,5,FALSE),IF(_xlpm.x="","",_xlpm.x))</f>
        <v/>
      </c>
      <c r="G204">
        <v>280</v>
      </c>
    </row>
    <row r="205" spans="1:7" ht="15" x14ac:dyDescent="0.2">
      <c r="A205">
        <v>203</v>
      </c>
      <c r="B205" s="1" t="s">
        <v>1697</v>
      </c>
      <c r="C205" t="str">
        <f>_xlfn.LET(_xlpm.x,VLOOKUP($B205,spell_header!$B$2:$G$373,2,FALSE),IF(_xlpm.x="","",_xlpm.x))</f>
        <v>弹体特效键</v>
      </c>
      <c r="D205" s="4" t="str">
        <f>IF(VLOOKUP($B205,spell_header!$B$2:$G$373,3,FALSE)="√","√","")</f>
        <v>√</v>
      </c>
      <c r="E205" s="4" t="str">
        <f>IF(VLOOKUP($B205,spell_header!$B$2:$G$373,4,FALSE)="√","√","")</f>
        <v>√</v>
      </c>
      <c r="F205" t="str">
        <f>_xlfn.LET(_xlpm.x,VLOOKUP($B205,spell_header!$B$2:$G$373,5,FALSE),IF(_xlpm.x="","",_xlpm.x))</f>
        <v/>
      </c>
      <c r="G205">
        <v>281</v>
      </c>
    </row>
    <row r="206" spans="1:7" ht="15" x14ac:dyDescent="0.2">
      <c r="A206">
        <v>204</v>
      </c>
      <c r="B206" s="1" t="s">
        <v>1698</v>
      </c>
      <c r="C206" t="str">
        <f>_xlfn.LET(_xlpm.x,VLOOKUP($B206,spell_header!$B$2:$G$373,2,FALSE),IF(_xlpm.x="","",_xlpm.x))</f>
        <v>弹体最大转向速度</v>
      </c>
      <c r="D206" s="4" t="str">
        <f>IF(VLOOKUP($B206,spell_header!$B$2:$G$373,3,FALSE)="√","√","")</f>
        <v>√</v>
      </c>
      <c r="E206" s="4" t="str">
        <f>IF(VLOOKUP($B206,spell_header!$B$2:$G$373,4,FALSE)="√","√","")</f>
        <v>√</v>
      </c>
      <c r="F206" t="str">
        <f>_xlfn.LET(_xlpm.x,VLOOKUP($B206,spell_header!$B$2:$G$373,5,FALSE),IF(_xlpm.x="","",_xlpm.x))</f>
        <v/>
      </c>
      <c r="G206">
        <v>282</v>
      </c>
    </row>
    <row r="207" spans="1:7" ht="15" x14ac:dyDescent="0.2">
      <c r="A207">
        <v>205</v>
      </c>
      <c r="B207" s="1" t="s">
        <v>1699</v>
      </c>
      <c r="C207" t="str">
        <f>_xlfn.LET(_xlpm.x,VLOOKUP($B207,spell_header!$B$2:$G$373,2,FALSE),IF(_xlpm.x="","",_xlpm.x))</f>
        <v>弹体最大转动角度</v>
      </c>
      <c r="D207" s="4" t="str">
        <f>IF(VLOOKUP($B207,spell_header!$B$2:$G$373,3,FALSE)="√","√","")</f>
        <v>√</v>
      </c>
      <c r="E207" s="4" t="str">
        <f>IF(VLOOKUP($B207,spell_header!$B$2:$G$373,4,FALSE)="√","√","")</f>
        <v>√</v>
      </c>
      <c r="F207" t="str">
        <f>_xlfn.LET(_xlpm.x,VLOOKUP($B207,spell_header!$B$2:$G$373,5,FALSE),IF(_xlpm.x="","",_xlpm.x))</f>
        <v/>
      </c>
      <c r="G207">
        <v>283</v>
      </c>
    </row>
    <row r="208" spans="1:7" ht="15" x14ac:dyDescent="0.2">
      <c r="A208">
        <v>206</v>
      </c>
      <c r="B208" s="1" t="s">
        <v>1700</v>
      </c>
      <c r="C208" t="str">
        <f>_xlfn.LET(_xlpm.x,VLOOKUP($B208,spell_header!$B$2:$G$373,2,FALSE),IF(_xlpm.x="","",_xlpm.x))</f>
        <v>玩家弹体特效键</v>
      </c>
      <c r="D208" s="4" t="str">
        <f>IF(VLOOKUP($B208,spell_header!$B$2:$G$373,3,FALSE)="√","√","")</f>
        <v>√</v>
      </c>
      <c r="E208" s="4" t="str">
        <f>IF(VLOOKUP($B208,spell_header!$B$2:$G$373,4,FALSE)="√","√","")</f>
        <v>√</v>
      </c>
      <c r="F208" t="str">
        <f>_xlfn.LET(_xlpm.x,VLOOKUP($B208,spell_header!$B$2:$G$373,5,FALSE),IF(_xlpm.x="","",_xlpm.x))</f>
        <v/>
      </c>
      <c r="G208">
        <v>284</v>
      </c>
    </row>
    <row r="209" spans="1:7" ht="15" x14ac:dyDescent="0.2">
      <c r="A209">
        <v>207</v>
      </c>
      <c r="B209" s="1" t="s">
        <v>3728</v>
      </c>
      <c r="C209" t="str">
        <f>_xlfn.LET(_xlpm.x,VLOOKUP($B209,spell_header!$B$2:$G$373,2,FALSE),IF(_xlpm.x="","",_xlpm.x))</f>
        <v>玩家弹体特效名称</v>
      </c>
      <c r="D209" s="4" t="str">
        <f>IF(VLOOKUP($B209,spell_header!$B$2:$G$373,3,FALSE)="√","√","")</f>
        <v>√</v>
      </c>
      <c r="E209" s="4" t="str">
        <f>IF(VLOOKUP($B209,spell_header!$B$2:$G$373,4,FALSE)="√","√","")</f>
        <v>√</v>
      </c>
      <c r="F209" t="str">
        <f>_xlfn.LET(_xlpm.x,VLOOKUP($B209,spell_header!$B$2:$G$373,5,FALSE),IF(_xlpm.x="","",_xlpm.x))</f>
        <v/>
      </c>
      <c r="G209">
        <v>285</v>
      </c>
    </row>
    <row r="210" spans="1:7" ht="15" x14ac:dyDescent="0.2">
      <c r="A210">
        <v>208</v>
      </c>
      <c r="B210" s="1" t="s">
        <v>1701</v>
      </c>
      <c r="C210" t="str">
        <f>_xlfn.LET(_xlpm.x,VLOOKUP($B210,spell_header!$B$2:$G$373,2,FALSE),IF(_xlpm.x="","",_xlpm.x))</f>
        <v>敌方弹体特效键</v>
      </c>
      <c r="D210" s="4" t="str">
        <f>IF(VLOOKUP($B210,spell_header!$B$2:$G$373,3,FALSE)="√","√","")</f>
        <v>√</v>
      </c>
      <c r="E210" s="4" t="str">
        <f>IF(VLOOKUP($B210,spell_header!$B$2:$G$373,4,FALSE)="√","√","")</f>
        <v>√</v>
      </c>
      <c r="F210" t="str">
        <f>_xlfn.LET(_xlpm.x,VLOOKUP($B210,spell_header!$B$2:$G$373,5,FALSE),IF(_xlpm.x="","",_xlpm.x))</f>
        <v/>
      </c>
      <c r="G210">
        <v>286</v>
      </c>
    </row>
    <row r="211" spans="1:7" ht="15" x14ac:dyDescent="0.2">
      <c r="A211">
        <v>209</v>
      </c>
      <c r="B211" s="1" t="s">
        <v>3727</v>
      </c>
      <c r="C211" t="str">
        <f>_xlfn.LET(_xlpm.x,VLOOKUP($B211,spell_header!$B$2:$G$373,2,FALSE),IF(_xlpm.x="","",_xlpm.x))</f>
        <v>敌方弹体特效名称</v>
      </c>
      <c r="D211" s="4" t="str">
        <f>IF(VLOOKUP($B211,spell_header!$B$2:$G$373,3,FALSE)="√","√","")</f>
        <v>√</v>
      </c>
      <c r="E211" s="4" t="str">
        <f>IF(VLOOKUP($B211,spell_header!$B$2:$G$373,4,FALSE)="√","√","")</f>
        <v>√</v>
      </c>
      <c r="F211" t="str">
        <f>_xlfn.LET(_xlpm.x,VLOOKUP($B211,spell_header!$B$2:$G$373,5,FALSE),IF(_xlpm.x="","",_xlpm.x))</f>
        <v/>
      </c>
      <c r="G211">
        <v>287</v>
      </c>
    </row>
    <row r="212" spans="1:7" ht="15" x14ac:dyDescent="0.2">
      <c r="A212">
        <v>210</v>
      </c>
      <c r="B212" s="1" t="s">
        <v>1702</v>
      </c>
      <c r="C212" t="str">
        <f>_xlfn.LET(_xlpm.x,VLOOKUP($B212,spell_header!$B$2:$G$373,2,FALSE),IF(_xlpm.x="","",_xlpm.x))</f>
        <v>线条宽度</v>
      </c>
      <c r="D212" s="4" t="str">
        <f>IF(VLOOKUP($B212,spell_header!$B$2:$G$373,3,FALSE)="√","√","")</f>
        <v>√</v>
      </c>
      <c r="E212" s="4" t="str">
        <f>IF(VLOOKUP($B212,spell_header!$B$2:$G$373,4,FALSE)="√","√","")</f>
        <v>√</v>
      </c>
      <c r="F212" t="str">
        <f>_xlfn.LET(_xlpm.x,VLOOKUP($B212,spell_header!$B$2:$G$373,5,FALSE),IF(_xlpm.x="","",_xlpm.x))</f>
        <v/>
      </c>
      <c r="G212">
        <v>140</v>
      </c>
    </row>
    <row r="213" spans="1:7" ht="15" x14ac:dyDescent="0.2">
      <c r="A213">
        <v>211</v>
      </c>
      <c r="B213" s="1" t="s">
        <v>1703</v>
      </c>
      <c r="C213" t="str">
        <f>_xlfn.LET(_xlpm.x,VLOOKUP($B213,spell_header!$B$2:$G$373,2,FALSE),IF(_xlpm.x="","",_xlpm.x))</f>
        <v>线条拖拽长度</v>
      </c>
      <c r="D213" s="4" t="str">
        <f>IF(VLOOKUP($B213,spell_header!$B$2:$G$373,3,FALSE)="√","√","")</f>
        <v>√</v>
      </c>
      <c r="E213" s="4" t="str">
        <f>IF(VLOOKUP($B213,spell_header!$B$2:$G$373,4,FALSE)="√","√","")</f>
        <v>√</v>
      </c>
      <c r="F213" t="str">
        <f>_xlfn.LET(_xlpm.x,VLOOKUP($B213,spell_header!$B$2:$G$373,5,FALSE),IF(_xlpm.x="","",_xlpm.x))</f>
        <v/>
      </c>
      <c r="G213">
        <v>141</v>
      </c>
    </row>
    <row r="214" spans="1:7" ht="15" x14ac:dyDescent="0.2">
      <c r="A214">
        <v>212</v>
      </c>
      <c r="B214" s="1" t="s">
        <v>3734</v>
      </c>
      <c r="C214" t="str">
        <f>_xlfn.LET(_xlpm.x,VLOOKUP($B214,spell_header!$B$2:$G$373,2,FALSE),IF(_xlpm.x="","",_xlpm.x))</f>
        <v>海克斯核心键</v>
      </c>
      <c r="D214" s="4" t="str">
        <f>IF(VLOOKUP($B214,spell_header!$B$2:$G$373,3,FALSE)="√","√","")</f>
        <v>√</v>
      </c>
      <c r="E214" s="4" t="str">
        <f>IF(VLOOKUP($B214,spell_header!$B$2:$G$373,4,FALSE)="√","√","")</f>
        <v>√</v>
      </c>
      <c r="F214" t="str">
        <f>_xlfn.LET(_xlpm.x,VLOOKUP($B214,spell_header!$B$2:$G$373,5,FALSE),IF(_xlpm.x="","",_xlpm.x))</f>
        <v/>
      </c>
      <c r="G214">
        <v>362</v>
      </c>
    </row>
    <row r="215" spans="1:7" ht="15" x14ac:dyDescent="0.2">
      <c r="A215">
        <v>213</v>
      </c>
      <c r="B215" s="1" t="s">
        <v>1704</v>
      </c>
      <c r="C215" t="str">
        <f>_xlfn.LET(_xlpm.x,VLOOKUP($B215,spell_header!$B$2:$G$373,2,FALSE),IF(_xlpm.x="","",_xlpm.x))</f>
        <v>资源解析列表</v>
      </c>
      <c r="D215" s="4" t="str">
        <f>IF(VLOOKUP($B215,spell_header!$B$2:$G$373,3,FALSE)="√","√","")</f>
        <v>√</v>
      </c>
      <c r="E215" s="4" t="str">
        <f>IF(VLOOKUP($B215,spell_header!$B$2:$G$373,4,FALSE)="√","√","")</f>
        <v>√</v>
      </c>
      <c r="F215" t="str">
        <f>_xlfn.LET(_xlpm.x,VLOOKUP($B215,spell_header!$B$2:$G$373,5,FALSE),IF(_xlpm.x="","",_xlpm.x))</f>
        <v/>
      </c>
      <c r="G215">
        <v>241</v>
      </c>
    </row>
    <row r="216" spans="1:7" ht="15" x14ac:dyDescent="0.2">
      <c r="A216">
        <v>214</v>
      </c>
      <c r="B216" s="1" t="s">
        <v>3735</v>
      </c>
      <c r="C216" t="str">
        <f>_xlfn.LET(_xlpm.x,VLOOKUP($B216,spell_header!$B$2:$G$373,2,FALSE),IF(_xlpm.x="","",_xlpm.x))</f>
        <v>音频库单元路径列表</v>
      </c>
      <c r="D216" s="4" t="str">
        <f>IF(VLOOKUP($B216,spell_header!$B$2:$G$373,3,FALSE)="√","√","")</f>
        <v>√</v>
      </c>
      <c r="E216" s="4" t="str">
        <f>IF(VLOOKUP($B216,spell_header!$B$2:$G$373,4,FALSE)="√","√","")</f>
        <v>√</v>
      </c>
      <c r="F216" t="str">
        <f>_xlfn.LET(_xlpm.x,VLOOKUP($B216,spell_header!$B$2:$G$373,5,FALSE),IF(_xlpm.x="","",_xlpm.x))</f>
        <v/>
      </c>
      <c r="G216">
        <v>363</v>
      </c>
    </row>
    <row r="217" spans="1:7" ht="15" x14ac:dyDescent="0.2">
      <c r="A217">
        <v>215</v>
      </c>
      <c r="B217" s="1" t="s">
        <v>1705</v>
      </c>
      <c r="C217" t="str">
        <f>_xlfn.LET(_xlpm.x,VLOOKUP($B217,spell_header!$B$2:$G$373,2,FALSE),IF(_xlpm.x="","",_xlpm.x))</f>
        <v>观察策略</v>
      </c>
      <c r="D217" s="4" t="str">
        <f>IF(VLOOKUP($B217,spell_header!$B$2:$G$373,3,FALSE)="√","√","")</f>
        <v>√</v>
      </c>
      <c r="E217" s="4" t="str">
        <f>IF(VLOOKUP($B217,spell_header!$B$2:$G$373,4,FALSE)="√","√","")</f>
        <v>√</v>
      </c>
      <c r="F217" t="str">
        <f>_xlfn.LET(_xlpm.x,VLOOKUP($B217,spell_header!$B$2:$G$373,5,FALSE),IF(_xlpm.x="","",_xlpm.x))</f>
        <v/>
      </c>
      <c r="G217">
        <v>151</v>
      </c>
    </row>
    <row r="218" spans="1:7" ht="15" x14ac:dyDescent="0.2">
      <c r="A218">
        <v>216</v>
      </c>
      <c r="B218" s="1" t="s">
        <v>1706</v>
      </c>
      <c r="C218" t="str">
        <f>_xlfn.LET(_xlpm.x,VLOOKUP($B218,spell_header!$B$2:$G$373,2,FALSE),IF(_xlpm.x="","",_xlpm.x))</f>
        <v>命中效果定向类型</v>
      </c>
      <c r="D218" s="4" t="str">
        <f>IF(VLOOKUP($B218,spell_header!$B$2:$G$373,3,FALSE)="√","√","")</f>
        <v>√</v>
      </c>
      <c r="E218" s="4" t="str">
        <f>IF(VLOOKUP($B218,spell_header!$B$2:$G$373,4,FALSE)="√","√","")</f>
        <v>√</v>
      </c>
      <c r="F218" t="str">
        <f>_xlfn.LET(_xlpm.x,VLOOKUP($B218,spell_header!$B$2:$G$373,5,FALSE),IF(_xlpm.x="","",_xlpm.x))</f>
        <v/>
      </c>
      <c r="G218">
        <v>153</v>
      </c>
    </row>
    <row r="219" spans="1:7" ht="15" x14ac:dyDescent="0.2">
      <c r="A219">
        <v>217</v>
      </c>
      <c r="B219" s="1" t="s">
        <v>1708</v>
      </c>
      <c r="C219" t="str">
        <f>_xlfn.LET(_xlpm.x,VLOOKUP($B219,spell_header!$B$2:$G$373,2,FALSE),IF(_xlpm.x="","",_xlpm.x))</f>
        <v>命中效果键</v>
      </c>
      <c r="D219" s="4" t="str">
        <f>IF(VLOOKUP($B219,spell_header!$B$2:$G$373,3,FALSE)="√","√","")</f>
        <v>√</v>
      </c>
      <c r="E219" s="4" t="str">
        <f>IF(VLOOKUP($B219,spell_header!$B$2:$G$373,4,FALSE)="√","√","")</f>
        <v>√</v>
      </c>
      <c r="F219" t="str">
        <f>_xlfn.LET(_xlpm.x,VLOOKUP($B219,spell_header!$B$2:$G$373,5,FALSE),IF(_xlpm.x="","",_xlpm.x))</f>
        <v/>
      </c>
      <c r="G219">
        <v>155</v>
      </c>
    </row>
    <row r="220" spans="1:7" ht="15" x14ac:dyDescent="0.2">
      <c r="A220">
        <v>218</v>
      </c>
      <c r="B220" s="1" t="s">
        <v>1707</v>
      </c>
      <c r="C220" t="str">
        <f>_xlfn.LET(_xlpm.x,VLOOKUP($B220,spell_header!$B$2:$G$373,2,FALSE),IF(_xlpm.x="","",_xlpm.x))</f>
        <v>命中效果名称</v>
      </c>
      <c r="D220" s="4" t="str">
        <f>IF(VLOOKUP($B220,spell_header!$B$2:$G$373,3,FALSE)="√","√","")</f>
        <v>√</v>
      </c>
      <c r="E220" s="4" t="str">
        <f>IF(VLOOKUP($B220,spell_header!$B$2:$G$373,4,FALSE)="√","√","")</f>
        <v>√</v>
      </c>
      <c r="F220" t="str">
        <f>_xlfn.LET(_xlpm.x,VLOOKUP($B220,spell_header!$B$2:$G$373,5,FALSE),IF(_xlpm.x="","",_xlpm.x))</f>
        <v/>
      </c>
      <c r="G220">
        <v>154</v>
      </c>
    </row>
    <row r="221" spans="1:7" ht="15" x14ac:dyDescent="0.2">
      <c r="A221">
        <v>219</v>
      </c>
      <c r="B221" s="1" t="s">
        <v>3736</v>
      </c>
      <c r="C221" t="str">
        <f>_xlfn.LET(_xlpm.x,VLOOKUP($B221,spell_header!$B$2:$G$373,2,FALSE),IF(_xlpm.x="","",_xlpm.x))</f>
        <v>玩家命中效果键</v>
      </c>
      <c r="D221" s="4" t="str">
        <f>IF(VLOOKUP($B221,spell_header!$B$2:$G$373,3,FALSE)="√","√","")</f>
        <v>√</v>
      </c>
      <c r="E221" s="4" t="str">
        <f>IF(VLOOKUP($B221,spell_header!$B$2:$G$373,4,FALSE)="√","√","")</f>
        <v>√</v>
      </c>
      <c r="F221" t="str">
        <f>_xlfn.LET(_xlpm.x,VLOOKUP($B221,spell_header!$B$2:$G$373,5,FALSE),IF(_xlpm.x="","",_xlpm.x))</f>
        <v/>
      </c>
      <c r="G221">
        <v>360</v>
      </c>
    </row>
    <row r="222" spans="1:7" ht="15" x14ac:dyDescent="0.2">
      <c r="A222">
        <v>220</v>
      </c>
      <c r="B222" s="1" t="s">
        <v>3729</v>
      </c>
      <c r="C222" t="str">
        <f>_xlfn.LET(_xlpm.x,VLOOKUP($B222,spell_header!$B$2:$G$373,2,FALSE),IF(_xlpm.x="","",_xlpm.x))</f>
        <v>玩家命中效果名称</v>
      </c>
      <c r="D222" s="4" t="str">
        <f>IF(VLOOKUP($B222,spell_header!$B$2:$G$373,3,FALSE)="√","√","")</f>
        <v>√</v>
      </c>
      <c r="E222" s="4" t="str">
        <f>IF(VLOOKUP($B222,spell_header!$B$2:$G$373,4,FALSE)="√","√","")</f>
        <v>√</v>
      </c>
      <c r="F222" t="str">
        <f>_xlfn.LET(_xlpm.x,VLOOKUP($B222,spell_header!$B$2:$G$373,5,FALSE),IF(_xlpm.x="","",_xlpm.x))</f>
        <v/>
      </c>
      <c r="G222">
        <v>361</v>
      </c>
    </row>
    <row r="223" spans="1:7" ht="15" x14ac:dyDescent="0.2">
      <c r="A223">
        <v>221</v>
      </c>
      <c r="B223" s="1" t="s">
        <v>1709</v>
      </c>
      <c r="C223" t="str">
        <f>_xlfn.LET(_xlpm.x,VLOOKUP($B223,spell_header!$B$2:$G$373,2,FALSE),IF(_xlpm.x="","",_xlpm.x))</f>
        <v>后续效果键</v>
      </c>
      <c r="D223" s="4" t="str">
        <f>IF(VLOOKUP($B223,spell_header!$B$2:$G$373,3,FALSE)="√","√","")</f>
        <v>√</v>
      </c>
      <c r="E223" s="4" t="str">
        <f>IF(VLOOKUP($B223,spell_header!$B$2:$G$373,4,FALSE)="√","√","")</f>
        <v>√</v>
      </c>
      <c r="F223" t="str">
        <f>_xlfn.LET(_xlpm.x,VLOOKUP($B223,spell_header!$B$2:$G$373,5,FALSE),IF(_xlpm.x="","",_xlpm.x))</f>
        <v/>
      </c>
      <c r="G223">
        <v>156</v>
      </c>
    </row>
    <row r="224" spans="1:7" ht="15" x14ac:dyDescent="0.2">
      <c r="A224">
        <v>222</v>
      </c>
      <c r="B224" s="1" t="s">
        <v>1710</v>
      </c>
      <c r="C224" t="str">
        <f>_xlfn.LET(_xlpm.x,VLOOKUP($B224,spell_header!$B$2:$G$373,2,FALSE),IF(_xlpm.x="","",_xlpm.x))</f>
        <v>后续效果名称</v>
      </c>
      <c r="D224" s="4" t="str">
        <f>IF(VLOOKUP($B224,spell_header!$B$2:$G$373,3,FALSE)="√","√","")</f>
        <v>√</v>
      </c>
      <c r="E224" s="4" t="str">
        <f>IF(VLOOKUP($B224,spell_header!$B$2:$G$373,4,FALSE)="√","√","")</f>
        <v>√</v>
      </c>
      <c r="F224" t="str">
        <f>_xlfn.LET(_xlpm.x,VLOOKUP($B224,spell_header!$B$2:$G$373,5,FALSE),IF(_xlpm.x="","",_xlpm.x))</f>
        <v/>
      </c>
      <c r="G224">
        <v>157</v>
      </c>
    </row>
    <row r="225" spans="1:7" ht="15" x14ac:dyDescent="0.2">
      <c r="A225">
        <v>223</v>
      </c>
      <c r="B225" s="1" t="s">
        <v>1711</v>
      </c>
      <c r="C225" t="str">
        <f>_xlfn.LET(_xlpm.x,VLOOKUP($B225,spell_header!$B$2:$G$373,2,FALSE),IF(_xlpm.x="","",_xlpm.x))</f>
        <v>具有命中骨骼</v>
      </c>
      <c r="D225" s="4" t="str">
        <f>IF(VLOOKUP($B225,spell_header!$B$2:$G$373,3,FALSE)="√","√","")</f>
        <v>√</v>
      </c>
      <c r="E225" s="4" t="str">
        <f>IF(VLOOKUP($B225,spell_header!$B$2:$G$373,4,FALSE)="√","√","")</f>
        <v>√</v>
      </c>
      <c r="F225" t="b">
        <f>_xlfn.LET(_xlpm.x,VLOOKUP($B225,spell_header!$B$2:$G$373,5,FALSE),IF(_xlpm.x="","",_xlpm.x))</f>
        <v>0</v>
      </c>
      <c r="G225">
        <v>296</v>
      </c>
    </row>
    <row r="226" spans="1:7" ht="15" x14ac:dyDescent="0.2">
      <c r="A226">
        <v>224</v>
      </c>
      <c r="B226" s="1" t="s">
        <v>1712</v>
      </c>
      <c r="C226" t="str">
        <f>_xlfn.LET(_xlpm.x,VLOOKUP($B226,spell_header!$B$2:$G$373,2,FALSE),IF(_xlpm.x="","",_xlpm.x))</f>
        <v>命中骨骼名称</v>
      </c>
      <c r="D226" s="4" t="str">
        <f>IF(VLOOKUP($B226,spell_header!$B$2:$G$373,3,FALSE)="√","√","")</f>
        <v>√</v>
      </c>
      <c r="E226" s="4" t="str">
        <f>IF(VLOOKUP($B226,spell_header!$B$2:$G$373,4,FALSE)="√","√","")</f>
        <v>√</v>
      </c>
      <c r="F226" t="str">
        <f>_xlfn.LET(_xlpm.x,VLOOKUP($B226,spell_header!$B$2:$G$373,5,FALSE),IF(_xlpm.x="","",_xlpm.x))</f>
        <v/>
      </c>
      <c r="G226">
        <v>297</v>
      </c>
    </row>
    <row r="227" spans="1:7" ht="15" x14ac:dyDescent="0.2">
      <c r="A227">
        <v>225</v>
      </c>
      <c r="B227" s="1" t="s">
        <v>1713</v>
      </c>
      <c r="C227" t="str">
        <f>_xlfn.LET(_xlpm.x,VLOOKUP($B227,spell_header!$B$2:$G$373,2,FALSE),IF(_xlpm.x="","",_xlpm.x))</f>
        <v>粒子起始偏移量</v>
      </c>
      <c r="D227" s="4" t="str">
        <f>IF(VLOOKUP($B227,spell_header!$B$2:$G$373,3,FALSE)="√","√","")</f>
        <v>√</v>
      </c>
      <c r="E227" s="4" t="str">
        <f>IF(VLOOKUP($B227,spell_header!$B$2:$G$373,4,FALSE)="√","√","")</f>
        <v>√</v>
      </c>
      <c r="F227" t="str">
        <f>_xlfn.LET(_xlpm.x,VLOOKUP($B227,spell_header!$B$2:$G$373,5,FALSE),IF(_xlpm.x="","",_xlpm.x))</f>
        <v/>
      </c>
      <c r="G227">
        <v>158</v>
      </c>
    </row>
    <row r="228" spans="1:7" ht="15" x14ac:dyDescent="0.2">
      <c r="A228">
        <v>226</v>
      </c>
      <c r="B228" s="1" t="s">
        <v>1714</v>
      </c>
      <c r="C228" t="str">
        <f>_xlfn.LET(_xlpm.x,VLOOKUP($B228,spell_header!$B$2:$G$373,2,FALSE),IF(_xlpm.x="","",_xlpm.x))</f>
        <v>浮点数显示精度</v>
      </c>
      <c r="D228" s="4" t="str">
        <f>IF(VLOOKUP($B228,spell_header!$B$2:$G$373,3,FALSE)="√","√","")</f>
        <v>√</v>
      </c>
      <c r="E228" s="4" t="str">
        <f>IF(VLOOKUP($B228,spell_header!$B$2:$G$373,4,FALSE)="√","√","")</f>
        <v>√</v>
      </c>
      <c r="F228" t="str">
        <f>_xlfn.LET(_xlpm.x,VLOOKUP($B228,spell_header!$B$2:$G$373,5,FALSE),IF(_xlpm.x="","",_xlpm.x))</f>
        <v/>
      </c>
      <c r="G228">
        <v>41</v>
      </c>
    </row>
    <row r="229" spans="1:7" ht="15" x14ac:dyDescent="0.2">
      <c r="A229">
        <v>227</v>
      </c>
      <c r="B229" s="1" t="s">
        <v>1715</v>
      </c>
      <c r="C229" t="str">
        <f>_xlfn.LET(_xlpm.x,VLOOKUP($B229,spell_header!$B$2:$G$373,2,FALSE),IF(_xlpm.x="","",_xlpm.x))</f>
        <v>法力值消耗</v>
      </c>
      <c r="D229" s="4" t="str">
        <f>IF(VLOOKUP($B229,spell_header!$B$2:$G$373,3,FALSE)="√","√","")</f>
        <v>√</v>
      </c>
      <c r="E229" s="4" t="str">
        <f>IF(VLOOKUP($B229,spell_header!$B$2:$G$373,4,FALSE)="√","√","")</f>
        <v>√</v>
      </c>
      <c r="F229" t="str">
        <f>_xlfn.LET(_xlpm.x,VLOOKUP($B229,spell_header!$B$2:$G$373,5,FALSE),IF(_xlpm.x="","",_xlpm.x))</f>
        <v/>
      </c>
      <c r="G229">
        <v>19</v>
      </c>
    </row>
    <row r="230" spans="1:7" ht="15" x14ac:dyDescent="0.2">
      <c r="A230">
        <v>228</v>
      </c>
      <c r="B230" s="1" t="s">
        <v>1716</v>
      </c>
      <c r="C230" t="str">
        <f>_xlfn.LET(_xlpm.x,VLOOKUP($B230,spell_header!$B$2:$G$373,2,FALSE),IF(_xlpm.x="","",_xlpm.x))</f>
        <v>显示法力值消耗</v>
      </c>
      <c r="D230" s="4" t="str">
        <f>IF(VLOOKUP($B230,spell_header!$B$2:$G$373,3,FALSE)="√","√","")</f>
        <v>√</v>
      </c>
      <c r="E230" s="4" t="str">
        <f>IF(VLOOKUP($B230,spell_header!$B$2:$G$373,4,FALSE)="√","√","")</f>
        <v>√</v>
      </c>
      <c r="F230" t="str">
        <f>_xlfn.LET(_xlpm.x,VLOOKUP($B230,spell_header!$B$2:$G$373,5,FALSE),IF(_xlpm.x="","",_xlpm.x))</f>
        <v/>
      </c>
      <c r="G230">
        <v>23</v>
      </c>
    </row>
    <row r="231" spans="1:7" ht="15" x14ac:dyDescent="0.2">
      <c r="A231">
        <v>229</v>
      </c>
      <c r="B231" s="1" t="s">
        <v>3772</v>
      </c>
      <c r="C231" t="str">
        <f>_xlfn.LET(_xlpm.x,VLOOKUP($B231,spell_header!$B$2:$G$373,2,FALSE),IF(_xlpm.x="","",_xlpm.x))</f>
        <v>法力值消耗值</v>
      </c>
      <c r="D231" s="4" t="str">
        <f>IF(VLOOKUP($B231,spell_header!$B$2:$G$373,3,FALSE)="√","√","")</f>
        <v>√</v>
      </c>
      <c r="E231" s="4" t="str">
        <f>IF(VLOOKUP($B231,spell_header!$B$2:$G$373,4,FALSE)="√","√","")</f>
        <v/>
      </c>
      <c r="F231" t="str">
        <f>_xlfn.LET(_xlpm.x,VLOOKUP($B231,spell_header!$B$2:$G$373,5,FALSE),IF(_xlpm.x="","",_xlpm.x))</f>
        <v/>
      </c>
      <c r="G231">
        <v>20</v>
      </c>
    </row>
    <row r="232" spans="1:7" ht="15" x14ac:dyDescent="0.2">
      <c r="A232">
        <v>230</v>
      </c>
      <c r="B232" s="1" t="s">
        <v>3773</v>
      </c>
      <c r="C232" t="str">
        <f>_xlfn.LET(_xlpm.x,VLOOKUP($B232,spell_header!$B$2:$G$373,2,FALSE),IF(_xlpm.x="","",_xlpm.x))</f>
        <v>法力值消耗值简化表示</v>
      </c>
      <c r="D232" s="4" t="str">
        <f>IF(VLOOKUP($B232,spell_header!$B$2:$G$373,3,FALSE)="√","√","")</f>
        <v>√</v>
      </c>
      <c r="E232" s="4" t="str">
        <f>IF(VLOOKUP($B232,spell_header!$B$2:$G$373,4,FALSE)="√","√","")</f>
        <v>√</v>
      </c>
      <c r="F232" t="str">
        <f>_xlfn.LET(_xlpm.x,VLOOKUP($B232,spell_header!$B$2:$G$373,5,FALSE),IF(_xlpm.x="","",_xlpm.x))</f>
        <v/>
      </c>
      <c r="G232">
        <v>21</v>
      </c>
    </row>
    <row r="233" spans="1:7" ht="15" x14ac:dyDescent="0.2">
      <c r="A233">
        <v>231</v>
      </c>
      <c r="B233" s="1" t="s">
        <v>1717</v>
      </c>
      <c r="C233" t="str">
        <f>_xlfn.LET(_xlpm.x,VLOOKUP($B233,spell_header!$B$2:$G$373,2,FALSE),IF(_xlpm.x="","",_xlpm.x))</f>
        <v>选择优先级</v>
      </c>
      <c r="D233" s="4" t="str">
        <f>IF(VLOOKUP($B233,spell_header!$B$2:$G$373,3,FALSE)="√","√","")</f>
        <v>√</v>
      </c>
      <c r="E233" s="4" t="str">
        <f>IF(VLOOKUP($B233,spell_header!$B$2:$G$373,4,FALSE)="√","√","")</f>
        <v>√</v>
      </c>
      <c r="F233" t="str">
        <f>_xlfn.LET(_xlpm.x,VLOOKUP($B233,spell_header!$B$2:$G$373,5,FALSE),IF(_xlpm.x="","",_xlpm.x))</f>
        <v/>
      </c>
      <c r="G233">
        <v>44</v>
      </c>
    </row>
    <row r="234" spans="1:7" ht="15" x14ac:dyDescent="0.2">
      <c r="A234">
        <v>232</v>
      </c>
      <c r="B234" s="1" t="s">
        <v>1998</v>
      </c>
      <c r="C234" t="str">
        <f>_xlfn.LET(_xlpm.x,VLOOKUP($B234,spell_header!$B$2:$G$373,2,FALSE),IF(_xlpm.x="","",_xlpm.x))</f>
        <v/>
      </c>
      <c r="D234" s="4" t="str">
        <f>IF(VLOOKUP($B234,spell_header!$B$2:$G$373,3,FALSE)="√","√","")</f>
        <v>√</v>
      </c>
      <c r="E234" s="4" t="str">
        <f>IF(VLOOKUP($B234,spell_header!$B$2:$G$373,4,FALSE)="√","√","")</f>
        <v>√</v>
      </c>
      <c r="F234" t="b">
        <f>_xlfn.LET(_xlpm.x,VLOOKUP($B234,spell_header!$B$2:$G$373,5,FALSE),IF(_xlpm.x="","",_xlpm.x))</f>
        <v>0</v>
      </c>
      <c r="G234">
        <v>124</v>
      </c>
    </row>
    <row r="235" spans="1:7" ht="15" x14ac:dyDescent="0.2">
      <c r="A235">
        <v>233</v>
      </c>
      <c r="B235" s="1" t="s">
        <v>1999</v>
      </c>
      <c r="C235" t="str">
        <f>_xlfn.LET(_xlpm.x,VLOOKUP($B235,spell_header!$B$2:$G$373,2,FALSE),IF(_xlpm.x="","",_xlpm.x))</f>
        <v>目标类型数据：在目标消失时可完成施法</v>
      </c>
      <c r="D235" s="4" t="str">
        <f>IF(VLOOKUP($B235,spell_header!$B$2:$G$373,3,FALSE)="√","√","")</f>
        <v>√</v>
      </c>
      <c r="E235" s="4" t="str">
        <f>IF(VLOOKUP($B235,spell_header!$B$2:$G$373,4,FALSE)="√","√","")</f>
        <v>√</v>
      </c>
      <c r="F235" t="b">
        <f>_xlfn.LET(_xlpm.x,VLOOKUP($B235,spell_header!$B$2:$G$373,5,FALSE),IF(_xlpm.x="","",_xlpm.x))</f>
        <v>0</v>
      </c>
      <c r="G235">
        <v>125</v>
      </c>
    </row>
    <row r="236" spans="1:7" ht="15" x14ac:dyDescent="0.2">
      <c r="A236">
        <v>234</v>
      </c>
      <c r="B236" s="1" t="s">
        <v>2000</v>
      </c>
      <c r="C236" t="str">
        <f>_xlfn.LET(_xlpm.x,VLOOKUP($B236,spell_header!$B$2:$G$373,2,FALSE),IF(_xlpm.x="","",_xlpm.x))</f>
        <v>目标类型数据：目标检测距离</v>
      </c>
      <c r="D236" s="4" t="str">
        <f>IF(VLOOKUP($B236,spell_header!$B$2:$G$373,3,FALSE)="√","√","")</f>
        <v>√</v>
      </c>
      <c r="E236" s="4" t="str">
        <f>IF(VLOOKUP($B236,spell_header!$B$2:$G$373,4,FALSE)="√","√","")</f>
        <v>√</v>
      </c>
      <c r="F236" t="str">
        <f>_xlfn.LET(_xlpm.x,VLOOKUP($B236,spell_header!$B$2:$G$373,5,FALSE),IF(_xlpm.x="","",_xlpm.x))</f>
        <v/>
      </c>
      <c r="G236">
        <v>126</v>
      </c>
    </row>
    <row r="237" spans="1:7" ht="15" x14ac:dyDescent="0.2">
      <c r="A237">
        <v>235</v>
      </c>
      <c r="B237" s="1" t="s">
        <v>2001</v>
      </c>
      <c r="C237" t="str">
        <f>_xlfn.LET(_xlpm.x,VLOOKUP($B237,spell_header!$B$2:$G$373,2,FALSE),IF(_xlpm.x="","",_xlpm.x))</f>
        <v>目标类型数据：草丛指针方案</v>
      </c>
      <c r="D237" s="4" t="str">
        <f>IF(VLOOKUP($B237,spell_header!$B$2:$G$373,3,FALSE)="√","√","")</f>
        <v>√</v>
      </c>
      <c r="E237" s="4" t="str">
        <f>IF(VLOOKUP($B237,spell_header!$B$2:$G$373,4,FALSE)="√","√","")</f>
        <v>√</v>
      </c>
      <c r="F237" t="str">
        <f>_xlfn.LET(_xlpm.x,VLOOKUP($B237,spell_header!$B$2:$G$373,5,FALSE),IF(_xlpm.x="","",_xlpm.x))</f>
        <v/>
      </c>
      <c r="G237">
        <v>127</v>
      </c>
    </row>
    <row r="238" spans="1:7" ht="15" x14ac:dyDescent="0.2">
      <c r="A238">
        <v>236</v>
      </c>
      <c r="B238" s="1" t="s">
        <v>2002</v>
      </c>
      <c r="C238" t="str">
        <f>_xlfn.LET(_xlpm.x,VLOOKUP($B238,spell_header!$B$2:$G$373,2,FALSE),IF(_xlpm.x="","",_xlpm.x))</f>
        <v>目标类型数据：河流指针方案</v>
      </c>
      <c r="D238" s="4" t="str">
        <f>IF(VLOOKUP($B238,spell_header!$B$2:$G$373,3,FALSE)="√","√","")</f>
        <v>√</v>
      </c>
      <c r="E238" s="4" t="str">
        <f>IF(VLOOKUP($B238,spell_header!$B$2:$G$373,4,FALSE)="√","√","")</f>
        <v>√</v>
      </c>
      <c r="F238" t="str">
        <f>_xlfn.LET(_xlpm.x,VLOOKUP($B238,spell_header!$B$2:$G$373,5,FALSE),IF(_xlpm.x="","",_xlpm.x))</f>
        <v/>
      </c>
      <c r="G238">
        <v>128</v>
      </c>
    </row>
    <row r="239" spans="1:7" ht="15" x14ac:dyDescent="0.2">
      <c r="A239">
        <v>237</v>
      </c>
      <c r="B239" s="1" t="s">
        <v>2003</v>
      </c>
      <c r="C239" t="str">
        <f>_xlfn.LET(_xlpm.x,VLOOKUP($B239,spell_header!$B$2:$G$373,2,FALSE),IF(_xlpm.x="","",_xlpm.x))</f>
        <v>目标类型数据：墙壁指针方案</v>
      </c>
      <c r="D239" s="4" t="str">
        <f>IF(VLOOKUP($B239,spell_header!$B$2:$G$373,3,FALSE)="√","√","")</f>
        <v>√</v>
      </c>
      <c r="E239" s="4" t="str">
        <f>IF(VLOOKUP($B239,spell_header!$B$2:$G$373,4,FALSE)="√","√","")</f>
        <v>√</v>
      </c>
      <c r="F239" t="str">
        <f>_xlfn.LET(_xlpm.x,VLOOKUP($B239,spell_header!$B$2:$G$373,5,FALSE),IF(_xlpm.x="","",_xlpm.x))</f>
        <v/>
      </c>
      <c r="G239">
        <v>129</v>
      </c>
    </row>
    <row r="240" spans="1:7" ht="15" x14ac:dyDescent="0.2">
      <c r="A240">
        <v>238</v>
      </c>
      <c r="B240" s="1" t="s">
        <v>2004</v>
      </c>
      <c r="C240" t="str">
        <f>_xlfn.LET(_xlpm.x,VLOOKUP($B240,spell_header!$B$2:$G$373,2,FALSE),IF(_xlpm.x="","",_xlpm.x))</f>
        <v>目标类型</v>
      </c>
      <c r="D240" s="4" t="str">
        <f>IF(VLOOKUP($B240,spell_header!$B$2:$G$373,3,FALSE)="√","√","")</f>
        <v>√</v>
      </c>
      <c r="E240" s="4" t="str">
        <f>IF(VLOOKUP($B240,spell_header!$B$2:$G$373,4,FALSE)="√","√","")</f>
        <v/>
      </c>
      <c r="F240" t="str">
        <f>_xlfn.LET(_xlpm.x,VLOOKUP($B240,spell_header!$B$2:$G$373,5,FALSE),IF(_xlpm.x="","",_xlpm.x))</f>
        <v/>
      </c>
      <c r="G240">
        <v>130</v>
      </c>
    </row>
    <row r="241" spans="1:7" ht="15" x14ac:dyDescent="0.2">
      <c r="A241">
        <v>239</v>
      </c>
      <c r="B241" s="1" t="s">
        <v>3737</v>
      </c>
      <c r="C241" t="str">
        <f>_xlfn.LET(_xlpm.x,VLOOKUP($B241,spell_header!$B$2:$G$373,2,FALSE),IF(_xlpm.x="","",_xlpm.x))</f>
        <v>人工智能数据：响应速度</v>
      </c>
      <c r="D241" s="4" t="str">
        <f>IF(VLOOKUP($B241,spell_header!$B$2:$G$373,3,FALSE)="√","√","")</f>
        <v>√</v>
      </c>
      <c r="E241" s="4" t="str">
        <f>IF(VLOOKUP($B241,spell_header!$B$2:$G$373,4,FALSE)="√","√","")</f>
        <v>√</v>
      </c>
      <c r="F241" t="str">
        <f>_xlfn.LET(_xlpm.x,VLOOKUP($B241,spell_header!$B$2:$G$373,5,FALSE),IF(_xlpm.x="","",_xlpm.x))</f>
        <v/>
      </c>
      <c r="G241">
        <v>159</v>
      </c>
    </row>
    <row r="242" spans="1:7" ht="15" x14ac:dyDescent="0.2">
      <c r="A242">
        <v>240</v>
      </c>
      <c r="B242" s="1" t="s">
        <v>3738</v>
      </c>
      <c r="C242" t="str">
        <f>_xlfn.LET(_xlpm.x,VLOOKUP($B242,spell_header!$B$2:$G$373,2,FALSE),IF(_xlpm.x="","",_xlpm.x))</f>
        <v>人工智能数据：威胁范围</v>
      </c>
      <c r="D242" s="4" t="str">
        <f>IF(VLOOKUP($B242,spell_header!$B$2:$G$373,3,FALSE)="√","√","")</f>
        <v>√</v>
      </c>
      <c r="E242" s="4" t="str">
        <f>IF(VLOOKUP($B242,spell_header!$B$2:$G$373,4,FALSE)="√","√","")</f>
        <v>√</v>
      </c>
      <c r="F242" t="str">
        <f>_xlfn.LET(_xlpm.x,VLOOKUP($B242,spell_header!$B$2:$G$373,5,FALSE),IF(_xlpm.x="","",_xlpm.x))</f>
        <v/>
      </c>
      <c r="G242">
        <v>364</v>
      </c>
    </row>
    <row r="243" spans="1:7" ht="15" x14ac:dyDescent="0.2">
      <c r="A243">
        <v>241</v>
      </c>
      <c r="B243" s="1" t="s">
        <v>3739</v>
      </c>
      <c r="C243" t="str">
        <f>_xlfn.LET(_xlpm.x,VLOOKUP($B243,spell_header!$B$2:$G$373,2,FALSE),IF(_xlpm.x="","",_xlpm.x))</f>
        <v>人工智能数据：封锁等级</v>
      </c>
      <c r="D243" s="4" t="str">
        <f>IF(VLOOKUP($B243,spell_header!$B$2:$G$373,3,FALSE)="√","√","")</f>
        <v>√</v>
      </c>
      <c r="E243" s="4" t="str">
        <f>IF(VLOOKUP($B243,spell_header!$B$2:$G$373,4,FALSE)="√","√","")</f>
        <v>√</v>
      </c>
      <c r="F243" t="str">
        <f>_xlfn.LET(_xlpm.x,VLOOKUP($B243,spell_header!$B$2:$G$373,5,FALSE),IF(_xlpm.x="","",_xlpm.x))</f>
        <v/>
      </c>
      <c r="G243">
        <v>365</v>
      </c>
    </row>
    <row r="244" spans="1:7" ht="15" x14ac:dyDescent="0.2">
      <c r="A244">
        <v>242</v>
      </c>
      <c r="B244" s="1" t="s">
        <v>3740</v>
      </c>
      <c r="C244" t="str">
        <f>_xlfn.LET(_xlpm.x,VLOOKUP($B244,spell_header!$B$2:$G$373,2,FALSE),IF(_xlpm.x="","",_xlpm.x))</f>
        <v>音频事件类别</v>
      </c>
      <c r="D244" s="4" t="str">
        <f>IF(VLOOKUP($B244,spell_header!$B$2:$G$373,3,FALSE)="√","√","")</f>
        <v>√</v>
      </c>
      <c r="E244" s="4" t="str">
        <f>IF(VLOOKUP($B244,spell_header!$B$2:$G$373,4,FALSE)="√","√","")</f>
        <v>√</v>
      </c>
      <c r="F244" t="str">
        <f>_xlfn.LET(_xlpm.x,VLOOKUP($B244,spell_header!$B$2:$G$373,5,FALSE),IF(_xlpm.x="","",_xlpm.x))</f>
        <v/>
      </c>
      <c r="G244">
        <v>366</v>
      </c>
    </row>
    <row r="245" spans="1:7" ht="15" x14ac:dyDescent="0.2">
      <c r="A245">
        <v>243</v>
      </c>
      <c r="B245" s="1" t="s">
        <v>2011</v>
      </c>
      <c r="C245" t="str">
        <f>_xlfn.LET(_xlpm.x,VLOOKUP($B245,spell_header!$B$2:$G$373,2,FALSE),IF(_xlpm.x="","",_xlpm.x))</f>
        <v/>
      </c>
      <c r="D245" s="4" t="str">
        <f>IF(VLOOKUP($B245,spell_header!$B$2:$G$373,3,FALSE)="√","√","")</f>
        <v>√</v>
      </c>
      <c r="E245" s="4" t="str">
        <f>IF(VLOOKUP($B245,spell_header!$B$2:$G$373,4,FALSE)="√","√","")</f>
        <v>√</v>
      </c>
      <c r="F245" t="str">
        <f>_xlfn.LET(_xlpm.x,VLOOKUP($B245,spell_header!$B$2:$G$373,5,FALSE),IF(_xlpm.x="","",_xlpm.x))</f>
        <v/>
      </c>
      <c r="G245">
        <v>160</v>
      </c>
    </row>
    <row r="246" spans="1:7" ht="15" x14ac:dyDescent="0.2">
      <c r="A246">
        <v>244</v>
      </c>
      <c r="B246" s="1" t="s">
        <v>2012</v>
      </c>
      <c r="C246" t="str">
        <f>_xlfn.LET(_xlpm.x,VLOOKUP($B246,spell_header!$B$2:$G$373,2,FALSE),IF(_xlpm.x="","",_xlpm.x))</f>
        <v/>
      </c>
      <c r="D246" s="4" t="str">
        <f>IF(VLOOKUP($B246,spell_header!$B$2:$G$373,3,FALSE)="√","√","")</f>
        <v>√</v>
      </c>
      <c r="E246" s="4" t="str">
        <f>IF(VLOOKUP($B246,spell_header!$B$2:$G$373,4,FALSE)="√","√","")</f>
        <v>√</v>
      </c>
      <c r="F246" t="str">
        <f>_xlfn.LET(_xlpm.x,VLOOKUP($B246,spell_header!$B$2:$G$373,5,FALSE),IF(_xlpm.x="","",_xlpm.x))</f>
        <v/>
      </c>
      <c r="G246">
        <v>161</v>
      </c>
    </row>
    <row r="247" spans="1:7" ht="15" x14ac:dyDescent="0.2">
      <c r="A247">
        <v>245</v>
      </c>
      <c r="B247" s="1" t="s">
        <v>1718</v>
      </c>
      <c r="C247" t="str">
        <f>_xlfn.LET(_xlpm.x,VLOOKUP($B247,spell_header!$B$2:$G$373,2,FALSE),IF(_xlpm.x="","",_xlpm.x))</f>
        <v>技能触发音效事件映射表</v>
      </c>
      <c r="D247" s="4" t="str">
        <f>IF(VLOOKUP($B247,spell_header!$B$2:$G$373,3,FALSE)="√","√","")</f>
        <v>√</v>
      </c>
      <c r="E247" s="4" t="str">
        <f>IF(VLOOKUP($B247,spell_header!$B$2:$G$373,4,FALSE)="√","√","")</f>
        <v>√</v>
      </c>
      <c r="F247" t="str">
        <f>_xlfn.LET(_xlpm.x,VLOOKUP($B247,spell_header!$B$2:$G$373,5,FALSE),IF(_xlpm.x="","",_xlpm.x))</f>
        <v/>
      </c>
      <c r="G247">
        <v>136</v>
      </c>
    </row>
    <row r="248" spans="1:7" ht="15" x14ac:dyDescent="0.2">
      <c r="A248">
        <v>246</v>
      </c>
      <c r="B248" s="1" t="s">
        <v>1719</v>
      </c>
      <c r="C248" t="str">
        <f>_xlfn.LET(_xlpm.x,VLOOKUP($B248,spell_header!$B$2:$G$373,2,FALSE),IF(_xlpm.x="","",_xlpm.x))</f>
        <v>目标选择容错</v>
      </c>
      <c r="D248" s="4" t="str">
        <f>IF(VLOOKUP($B248,spell_header!$B$2:$G$373,3,FALSE)="√","√","")</f>
        <v>√</v>
      </c>
      <c r="E248" s="4" t="str">
        <f>IF(VLOOKUP($B248,spell_header!$B$2:$G$373,4,FALSE)="√","√","")</f>
        <v>√</v>
      </c>
      <c r="F248" t="str">
        <f>_xlfn.LET(_xlpm.x,VLOOKUP($B248,spell_header!$B$2:$G$373,5,FALSE),IF(_xlpm.x="","",_xlpm.x))</f>
        <v/>
      </c>
      <c r="G248">
        <v>123</v>
      </c>
    </row>
    <row r="249" spans="1:7" ht="15" x14ac:dyDescent="0.2">
      <c r="A249">
        <v>247</v>
      </c>
      <c r="B249" s="1" t="s">
        <v>1720</v>
      </c>
      <c r="C249" t="str">
        <f>_xlfn.LET(_xlpm.x,VLOOKUP($B249,spell_header!$B$2:$G$373,2,FALSE),IF(_xlpm.x="","",_xlpm.x))</f>
        <v>冷却队列阈值</v>
      </c>
      <c r="D249" s="4" t="str">
        <f>IF(VLOOKUP($B249,spell_header!$B$2:$G$373,3,FALSE)="√","√","")</f>
        <v>√</v>
      </c>
      <c r="E249" s="4" t="str">
        <f>IF(VLOOKUP($B249,spell_header!$B$2:$G$373,4,FALSE)="√","√","")</f>
        <v>√</v>
      </c>
      <c r="F249" t="str">
        <f>_xlfn.LET(_xlpm.x,VLOOKUP($B249,spell_header!$B$2:$G$373,5,FALSE),IF(_xlpm.x="","",_xlpm.x))</f>
        <v/>
      </c>
      <c r="G249">
        <v>101</v>
      </c>
    </row>
    <row r="250" spans="1:7" ht="15" x14ac:dyDescent="0.2">
      <c r="A250">
        <v>248</v>
      </c>
      <c r="B250" s="1" t="s">
        <v>1721</v>
      </c>
      <c r="C250" t="str">
        <f>_xlfn.LET(_xlpm.x,VLOOKUP($B250,spell_header!$B$2:$G$373,2,FALSE),IF(_xlpm.x="","",_xlpm.x))</f>
        <v>维度行为</v>
      </c>
      <c r="D250" s="4" t="str">
        <f>IF(VLOOKUP($B250,spell_header!$B$2:$G$373,3,FALSE)="√","√","")</f>
        <v>√</v>
      </c>
      <c r="E250" s="4" t="str">
        <f>IF(VLOOKUP($B250,spell_header!$B$2:$G$373,4,FALSE)="√","√","")</f>
        <v>√</v>
      </c>
      <c r="F250" t="str">
        <f>_xlfn.LET(_xlpm.x,VLOOKUP($B250,spell_header!$B$2:$G$373,5,FALSE),IF(_xlpm.x="","",_xlpm.x))</f>
        <v/>
      </c>
      <c r="G250">
        <v>162</v>
      </c>
    </row>
    <row r="251" spans="1:7" ht="15" x14ac:dyDescent="0.2">
      <c r="A251">
        <v>249</v>
      </c>
      <c r="B251" s="1" t="s">
        <v>1722</v>
      </c>
      <c r="C251" t="str">
        <f>_xlfn.LET(_xlpm.x,VLOOKUP($B251,spell_header!$B$2:$G$373,2,FALSE),IF(_xlpm.x="","",_xlpm.x))</f>
        <v>施法时打破潜行状态</v>
      </c>
      <c r="D251" s="4" t="str">
        <f>IF(VLOOKUP($B251,spell_header!$B$2:$G$373,3,FALSE)="√","√","")</f>
        <v>√</v>
      </c>
      <c r="E251" s="4" t="str">
        <f>IF(VLOOKUP($B251,spell_header!$B$2:$G$373,4,FALSE)="√","√","")</f>
        <v>√</v>
      </c>
      <c r="F251" t="b">
        <f>_xlfn.LET(_xlpm.x,VLOOKUP($B251,spell_header!$B$2:$G$373,5,FALSE),IF(_xlpm.x="","",_xlpm.x))</f>
        <v>0</v>
      </c>
      <c r="G251">
        <v>115</v>
      </c>
    </row>
    <row r="252" spans="1:7" ht="15" x14ac:dyDescent="0.2">
      <c r="A252">
        <v>250</v>
      </c>
      <c r="B252" s="1" t="s">
        <v>1723</v>
      </c>
      <c r="C252" t="str">
        <f>_xlfn.LET(_xlpm.x,VLOOKUP($B252,spell_header!$B$2:$G$373,2,FALSE),IF(_xlpm.x="","",_xlpm.x))</f>
        <v>施法时暴露潜行者视野</v>
      </c>
      <c r="D252" s="4" t="str">
        <f>IF(VLOOKUP($B252,spell_header!$B$2:$G$373,3,FALSE)="√","√","")</f>
        <v>√</v>
      </c>
      <c r="E252" s="4" t="str">
        <f>IF(VLOOKUP($B252,spell_header!$B$2:$G$373,4,FALSE)="√","√","")</f>
        <v>√</v>
      </c>
      <c r="F252" t="b">
        <f>_xlfn.LET(_xlpm.x,VLOOKUP($B252,spell_header!$B$2:$G$373,5,FALSE),IF(_xlpm.x="","",_xlpm.x))</f>
        <v>0</v>
      </c>
      <c r="G252">
        <v>116</v>
      </c>
    </row>
    <row r="253" spans="1:7" ht="15" x14ac:dyDescent="0.2">
      <c r="A253">
        <v>251</v>
      </c>
      <c r="B253" s="1" t="s">
        <v>1724</v>
      </c>
      <c r="C253" t="str">
        <f>_xlfn.LET(_xlpm.x,VLOOKUP($B253,spell_header!$B$2:$G$373,2,FALSE),IF(_xlpm.x="","",_xlpm.x))</f>
        <v>施法附着时打破潜行状态</v>
      </c>
      <c r="D253" s="4" t="str">
        <f>IF(VLOOKUP($B253,spell_header!$B$2:$G$373,3,FALSE)="√","√","")</f>
        <v>√</v>
      </c>
      <c r="E253" s="4" t="str">
        <f>IF(VLOOKUP($B253,spell_header!$B$2:$G$373,4,FALSE)="√","√","")</f>
        <v>√</v>
      </c>
      <c r="F253" t="b">
        <f>_xlfn.LET(_xlpm.x,VLOOKUP($B253,spell_header!$B$2:$G$373,5,FALSE),IF(_xlpm.x="","",_xlpm.x))</f>
        <v>0</v>
      </c>
      <c r="G253">
        <v>117</v>
      </c>
    </row>
    <row r="254" spans="1:7" ht="15" x14ac:dyDescent="0.2">
      <c r="A254">
        <v>252</v>
      </c>
      <c r="B254" s="1" t="s">
        <v>2021</v>
      </c>
      <c r="C254" t="str">
        <f>_xlfn.LET(_xlpm.x,VLOOKUP($B254,spell_header!$B$2:$G$373,2,FALSE),IF(_xlpm.x="","",_xlpm.x))</f>
        <v>其它技能的说明文本</v>
      </c>
      <c r="D254" s="4" t="str">
        <f>IF(VLOOKUP($B254,spell_header!$B$2:$G$373,3,FALSE)="√","√","")</f>
        <v>√</v>
      </c>
      <c r="E254" s="4" t="str">
        <f>IF(VLOOKUP($B254,spell_header!$B$2:$G$373,4,FALSE)="√","√","")</f>
        <v>√</v>
      </c>
      <c r="F254" t="str">
        <f>_xlfn.LET(_xlpm.x,VLOOKUP($B254,spell_header!$B$2:$G$373,5,FALSE),IF(_xlpm.x="","",_xlpm.x))</f>
        <v/>
      </c>
      <c r="G254">
        <v>163</v>
      </c>
    </row>
    <row r="255" spans="1:7" ht="15" x14ac:dyDescent="0.2">
      <c r="A255">
        <v>253</v>
      </c>
      <c r="B255" s="1" t="s">
        <v>2022</v>
      </c>
      <c r="C255" t="str">
        <f>_xlfn.LET(_xlpm.x,VLOOKUP($B255,spell_header!$B$2:$G$373,2,FALSE),IF(_xlpm.x="","",_xlpm.x))</f>
        <v>弹体目标器定义</v>
      </c>
      <c r="D255" s="4" t="str">
        <f>IF(VLOOKUP($B255,spell_header!$B$2:$G$373,3,FALSE)="√","√","")</f>
        <v>√</v>
      </c>
      <c r="E255" s="4" t="str">
        <f>IF(VLOOKUP($B255,spell_header!$B$2:$G$373,4,FALSE)="√","√","")</f>
        <v>√</v>
      </c>
      <c r="F255" t="str">
        <f>_xlfn.LET(_xlpm.x,VLOOKUP($B255,spell_header!$B$2:$G$373,5,FALSE),IF(_xlpm.x="","",_xlpm.x))</f>
        <v/>
      </c>
      <c r="G255">
        <v>165</v>
      </c>
    </row>
    <row r="256" spans="1:7" ht="15" x14ac:dyDescent="0.2">
      <c r="A256">
        <v>254</v>
      </c>
      <c r="B256" s="1" t="s">
        <v>2023</v>
      </c>
      <c r="C256" t="str">
        <f>_xlfn.LET(_xlpm.x,VLOOKUP($B256,spell_header!$B$2:$G$373,2,FALSE),IF(_xlpm.x="","",_xlpm.x))</f>
        <v>其它技能的死亡回放说明文本</v>
      </c>
      <c r="D256" s="4" t="str">
        <f>IF(VLOOKUP($B256,spell_header!$B$2:$G$373,3,FALSE)="√","√","")</f>
        <v>√</v>
      </c>
      <c r="E256" s="4" t="str">
        <f>IF(VLOOKUP($B256,spell_header!$B$2:$G$373,4,FALSE)="√","√","")</f>
        <v>√</v>
      </c>
      <c r="F256" t="str">
        <f>_xlfn.LET(_xlpm.x,VLOOKUP($B256,spell_header!$B$2:$G$373,5,FALSE),IF(_xlpm.x="","",_xlpm.x))</f>
        <v/>
      </c>
      <c r="G256">
        <v>164</v>
      </c>
    </row>
    <row r="257" spans="1:7" ht="15" x14ac:dyDescent="0.2">
      <c r="A257">
        <v>255</v>
      </c>
      <c r="B257" s="1" t="s">
        <v>2032</v>
      </c>
      <c r="C257" t="str">
        <f>_xlfn.LET(_xlpm.x,VLOOKUP($B257,spell_header!$B$2:$G$373,2,FALSE),IF(_xlpm.x="","",_xlpm.x))</f>
        <v>说明文本对象名称</v>
      </c>
      <c r="D257" s="4" t="str">
        <f>IF(VLOOKUP($B257,spell_header!$B$2:$G$373,3,FALSE)="√","√","")</f>
        <v>√</v>
      </c>
      <c r="E257" s="4" t="str">
        <f>IF(VLOOKUP($B257,spell_header!$B$2:$G$373,4,FALSE)="√","√","")</f>
        <v/>
      </c>
      <c r="F257" t="str">
        <f>_xlfn.LET(_xlpm.x,VLOOKUP($B257,spell_header!$B$2:$G$373,5,FALSE),IF(_xlpm.x="","",_xlpm.x))</f>
        <v/>
      </c>
      <c r="G257">
        <v>168</v>
      </c>
    </row>
    <row r="258" spans="1:7" ht="15" x14ac:dyDescent="0.2">
      <c r="A258">
        <v>256</v>
      </c>
      <c r="B258" s="1" t="s">
        <v>2033</v>
      </c>
      <c r="C258" t="str">
        <f>_xlfn.LET(_xlpm.x,VLOOKUP($B258,spell_header!$B$2:$G$373,2,FALSE),IF(_xlpm.x="","",_xlpm.x))</f>
        <v>说明文本格式</v>
      </c>
      <c r="D258" s="4" t="str">
        <f>IF(VLOOKUP($B258,spell_header!$B$2:$G$373,3,FALSE)="√","√","")</f>
        <v>√</v>
      </c>
      <c r="E258" s="4" t="str">
        <f>IF(VLOOKUP($B258,spell_header!$B$2:$G$373,4,FALSE)="√","√","")</f>
        <v/>
      </c>
      <c r="F258" t="str">
        <f>_xlfn.LET(_xlpm.x,VLOOKUP($B258,spell_header!$B$2:$G$373,5,FALSE),IF(_xlpm.x="","",_xlpm.x))</f>
        <v/>
      </c>
      <c r="G258">
        <v>169</v>
      </c>
    </row>
    <row r="259" spans="1:7" ht="15" x14ac:dyDescent="0.2">
      <c r="A259">
        <v>257</v>
      </c>
      <c r="B259" s="1" t="s">
        <v>2034</v>
      </c>
      <c r="C259" t="str">
        <f>_xlfn.LET(_xlpm.x,VLOOKUP($B259,spell_header!$B$2:$G$373,2,FALSE),IF(_xlpm.x="","",_xlpm.x))</f>
        <v>扩展说明文本可用性</v>
      </c>
      <c r="D259" s="4" t="str">
        <f>IF(VLOOKUP($B259,spell_header!$B$2:$G$373,3,FALSE)="√","√","")</f>
        <v>√</v>
      </c>
      <c r="E259" s="4" t="str">
        <f>IF(VLOOKUP($B259,spell_header!$B$2:$G$373,4,FALSE)="√","√","")</f>
        <v>√</v>
      </c>
      <c r="F259" t="b">
        <f>_xlfn.LET(_xlpm.x,VLOOKUP($B259,spell_header!$B$2:$G$373,5,FALSE),IF(_xlpm.x="","",_xlpm.x))</f>
        <v>1</v>
      </c>
      <c r="G259">
        <v>170</v>
      </c>
    </row>
    <row r="260" spans="1:7" ht="15" x14ac:dyDescent="0.2">
      <c r="A260">
        <v>258</v>
      </c>
      <c r="B260" s="1" t="s">
        <v>1424</v>
      </c>
      <c r="C260" t="str">
        <f>_xlfn.LET(_xlpm.x,VLOOKUP($B260,spell_header!$B$2:$G$373,2,FALSE),IF(_xlpm.x="","",_xlpm.x))</f>
        <v>未格式化名称键</v>
      </c>
      <c r="D260" s="4" t="str">
        <f>IF(VLOOKUP($B260,spell_header!$B$2:$G$373,3,FALSE)="√","√","")</f>
        <v>√</v>
      </c>
      <c r="E260" s="4" t="str">
        <f>IF(VLOOKUP($B260,spell_header!$B$2:$G$373,4,FALSE)="√","√","")</f>
        <v>√</v>
      </c>
      <c r="F260" t="str">
        <f>_xlfn.LET(_xlpm.x,VLOOKUP($B260,spell_header!$B$2:$G$373,5,FALSE),IF(_xlpm.x="","",_xlpm.x))</f>
        <v/>
      </c>
      <c r="G260">
        <v>171</v>
      </c>
    </row>
    <row r="261" spans="1:7" ht="15" x14ac:dyDescent="0.2">
      <c r="A261">
        <v>259</v>
      </c>
      <c r="B261" s="1" t="s">
        <v>1425</v>
      </c>
      <c r="C261" t="str">
        <f>_xlfn.LET(_xlpm.x,VLOOKUP($B261,spell_header!$B$2:$G$373,2,FALSE),IF(_xlpm.x="","",_xlpm.x))</f>
        <v>凯隐专用升级类型键</v>
      </c>
      <c r="D261" s="4" t="str">
        <f>IF(VLOOKUP($B261,spell_header!$B$2:$G$373,3,FALSE)="√","√","")</f>
        <v>√</v>
      </c>
      <c r="E261" s="4" t="str">
        <f>IF(VLOOKUP($B261,spell_header!$B$2:$G$373,4,FALSE)="√","√","")</f>
        <v>√</v>
      </c>
      <c r="F261" t="str">
        <f>_xlfn.LET(_xlpm.x,VLOOKUP($B261,spell_header!$B$2:$G$373,5,FALSE),IF(_xlpm.x="","",_xlpm.x))</f>
        <v/>
      </c>
      <c r="G261">
        <v>211</v>
      </c>
    </row>
    <row r="262" spans="1:7" ht="15" x14ac:dyDescent="0.2">
      <c r="A262">
        <v>260</v>
      </c>
      <c r="B262" s="1" t="s">
        <v>1426</v>
      </c>
      <c r="C262" t="str">
        <f>_xlfn.LET(_xlpm.x,VLOOKUP($B262,spell_header!$B$2:$G$373,2,FALSE),IF(_xlpm.x="","",_xlpm.x))</f>
        <v>凯隐专用升级数值键</v>
      </c>
      <c r="D262" s="4" t="str">
        <f>IF(VLOOKUP($B262,spell_header!$B$2:$G$373,3,FALSE)="√","√","")</f>
        <v>√</v>
      </c>
      <c r="E262" s="4" t="str">
        <f>IF(VLOOKUP($B262,spell_header!$B$2:$G$373,4,FALSE)="√","√","")</f>
        <v>√</v>
      </c>
      <c r="F262" t="str">
        <f>_xlfn.LET(_xlpm.x,VLOOKUP($B262,spell_header!$B$2:$G$373,5,FALSE),IF(_xlpm.x="","",_xlpm.x))</f>
        <v/>
      </c>
      <c r="G262">
        <v>216</v>
      </c>
    </row>
    <row r="263" spans="1:7" ht="15" x14ac:dyDescent="0.2">
      <c r="A263">
        <v>261</v>
      </c>
      <c r="B263" s="1" t="s">
        <v>1427</v>
      </c>
      <c r="C263" t="str">
        <f>_xlfn.LET(_xlpm.x,VLOOKUP($B263,spell_header!$B$2:$G$373,2,FALSE),IF(_xlpm.x="","",_xlpm.x))</f>
        <v>名称键</v>
      </c>
      <c r="D263" s="4" t="str">
        <f>IF(VLOOKUP($B263,spell_header!$B$2:$G$373,3,FALSE)="√","√","")</f>
        <v>√</v>
      </c>
      <c r="E263" s="4" t="str">
        <f>IF(VLOOKUP($B263,spell_header!$B$2:$G$373,4,FALSE)="√","√","")</f>
        <v>√</v>
      </c>
      <c r="F263" t="str">
        <f>_xlfn.LET(_xlpm.x,VLOOKUP($B263,spell_header!$B$2:$G$373,5,FALSE),IF(_xlpm.x="","",_xlpm.x))</f>
        <v/>
      </c>
      <c r="G263">
        <v>4</v>
      </c>
    </row>
    <row r="264" spans="1:7" ht="15" x14ac:dyDescent="0.2">
      <c r="A264">
        <v>262</v>
      </c>
      <c r="B264" s="1" t="s">
        <v>1428</v>
      </c>
      <c r="C264" t="str">
        <f>_xlfn.LET(_xlpm.x,VLOOKUP($B264,spell_header!$B$2:$G$373,2,FALSE),IF(_xlpm.x="","",_xlpm.x))</f>
        <v>热键</v>
      </c>
      <c r="D264" s="4" t="str">
        <f>IF(VLOOKUP($B264,spell_header!$B$2:$G$373,3,FALSE)="√","√","")</f>
        <v>√</v>
      </c>
      <c r="E264" s="4" t="str">
        <f>IF(VLOOKUP($B264,spell_header!$B$2:$G$373,4,FALSE)="√","√","")</f>
        <v>√</v>
      </c>
      <c r="F264" t="str">
        <f>_xlfn.LET(_xlpm.x,VLOOKUP($B264,spell_header!$B$2:$G$373,5,FALSE),IF(_xlpm.x="","",_xlpm.x))</f>
        <v/>
      </c>
      <c r="G264">
        <v>174</v>
      </c>
    </row>
    <row r="265" spans="1:7" ht="15" x14ac:dyDescent="0.2">
      <c r="A265">
        <v>263</v>
      </c>
      <c r="B265" s="1" t="s">
        <v>1429</v>
      </c>
      <c r="C265" t="str">
        <f>_xlfn.LET(_xlpm.x,VLOOKUP($B265,spell_header!$B$2:$G$373,2,FALSE),IF(_xlpm.x="","",_xlpm.x))</f>
        <v>厄斐琉斯专用升级文本键</v>
      </c>
      <c r="D265" s="4" t="str">
        <f>IF(VLOOKUP($B265,spell_header!$B$2:$G$373,3,FALSE)="√","√","")</f>
        <v>√</v>
      </c>
      <c r="E265" s="4" t="str">
        <f>IF(VLOOKUP($B265,spell_header!$B$2:$G$373,4,FALSE)="√","√","")</f>
        <v>√</v>
      </c>
      <c r="F265" t="str">
        <f>_xlfn.LET(_xlpm.x,VLOOKUP($B265,spell_header!$B$2:$G$373,5,FALSE),IF(_xlpm.x="","",_xlpm.x))</f>
        <v/>
      </c>
      <c r="G265">
        <v>221</v>
      </c>
    </row>
    <row r="266" spans="1:7" ht="15" x14ac:dyDescent="0.2">
      <c r="A266">
        <v>264</v>
      </c>
      <c r="B266" s="1" t="s">
        <v>1430</v>
      </c>
      <c r="C266" t="str">
        <f>_xlfn.LET(_xlpm.x,VLOOKUP($B266,spell_header!$B$2:$G$373,2,FALSE),IF(_xlpm.x="","",_xlpm.x))</f>
        <v>厄斐琉斯专用升级文本属性名称键</v>
      </c>
      <c r="D266" s="4" t="str">
        <f>IF(VLOOKUP($B266,spell_header!$B$2:$G$373,3,FALSE)="√","√","")</f>
        <v>√</v>
      </c>
      <c r="E266" s="4" t="str">
        <f>IF(VLOOKUP($B266,spell_header!$B$2:$G$373,4,FALSE)="√","√","")</f>
        <v>√</v>
      </c>
      <c r="F266" t="str">
        <f>_xlfn.LET(_xlpm.x,VLOOKUP($B266,spell_header!$B$2:$G$373,5,FALSE),IF(_xlpm.x="","",_xlpm.x))</f>
        <v/>
      </c>
      <c r="G266">
        <v>226</v>
      </c>
    </row>
    <row r="267" spans="1:7" ht="15" x14ac:dyDescent="0.2">
      <c r="A267">
        <v>265</v>
      </c>
      <c r="B267" s="1" t="s">
        <v>1431</v>
      </c>
      <c r="C267" t="str">
        <f>_xlfn.LET(_xlpm.x,VLOOKUP($B267,spell_header!$B$2:$G$373,2,FALSE),IF(_xlpm.x="","",_xlpm.x))</f>
        <v>简介键</v>
      </c>
      <c r="D267" s="4" t="str">
        <f>IF(VLOOKUP($B267,spell_header!$B$2:$G$373,3,FALSE)="√","√","")</f>
        <v>√</v>
      </c>
      <c r="E267" s="4" t="str">
        <f>IF(VLOOKUP($B267,spell_header!$B$2:$G$373,4,FALSE)="√","√","")</f>
        <v>√</v>
      </c>
      <c r="F267" t="str">
        <f>_xlfn.LET(_xlpm.x,VLOOKUP($B267,spell_header!$B$2:$G$373,5,FALSE),IF(_xlpm.x="","",_xlpm.x))</f>
        <v/>
      </c>
      <c r="G267">
        <v>185</v>
      </c>
    </row>
    <row r="268" spans="1:7" ht="15" x14ac:dyDescent="0.2">
      <c r="A268">
        <v>266</v>
      </c>
      <c r="B268" s="1" t="s">
        <v>1432</v>
      </c>
      <c r="C268" t="str">
        <f>_xlfn.LET(_xlpm.x,VLOOKUP($B268,spell_header!$B$2:$G$373,2,FALSE),IF(_xlpm.x="","",_xlpm.x))</f>
        <v>说明文本键</v>
      </c>
      <c r="D268" s="4" t="str">
        <f>IF(VLOOKUP($B268,spell_header!$B$2:$G$373,3,FALSE)="√","√","")</f>
        <v>√</v>
      </c>
      <c r="E268" s="4" t="str">
        <f>IF(VLOOKUP($B268,spell_header!$B$2:$G$373,4,FALSE)="√","√","")</f>
        <v>√</v>
      </c>
      <c r="F268" t="str">
        <f>_xlfn.LET(_xlpm.x,VLOOKUP($B268,spell_header!$B$2:$G$373,5,FALSE),IF(_xlpm.x="","",_xlpm.x))</f>
        <v/>
      </c>
      <c r="G268">
        <v>188</v>
      </c>
    </row>
    <row r="269" spans="1:7" ht="15" x14ac:dyDescent="0.2">
      <c r="A269">
        <v>267</v>
      </c>
      <c r="B269" s="1" t="s">
        <v>1433</v>
      </c>
      <c r="C269" t="str">
        <f>_xlfn.LET(_xlpm.x,VLOOKUP($B269,spell_header!$B$2:$G$373,2,FALSE),IF(_xlpm.x="","",_xlpm.x))</f>
        <v>消耗施法资源</v>
      </c>
      <c r="D269" s="4" t="str">
        <f>IF(VLOOKUP($B269,spell_header!$B$2:$G$373,3,FALSE)="√","√","")</f>
        <v>√</v>
      </c>
      <c r="E269" s="4" t="str">
        <f>IF(VLOOKUP($B269,spell_header!$B$2:$G$373,4,FALSE)="√","√","")</f>
        <v>√</v>
      </c>
      <c r="F269" t="str">
        <f>_xlfn.LET(_xlpm.x,VLOOKUP($B269,spell_header!$B$2:$G$373,5,FALSE),IF(_xlpm.x="","",_xlpm.x))</f>
        <v/>
      </c>
      <c r="G269">
        <v>175</v>
      </c>
    </row>
    <row r="270" spans="1:7" ht="15" x14ac:dyDescent="0.2">
      <c r="A270">
        <v>268</v>
      </c>
      <c r="B270" s="1" t="s">
        <v>1434</v>
      </c>
      <c r="C270" t="str">
        <f>_xlfn.LET(_xlpm.x,VLOOKUP($B270,spell_header!$B$2:$G$373,2,FALSE),IF(_xlpm.x="","",_xlpm.x))</f>
        <v>简要描述键</v>
      </c>
      <c r="D270" s="4" t="str">
        <f>IF(VLOOKUP($B270,spell_header!$B$2:$G$373,3,FALSE)="√","√","")</f>
        <v>√</v>
      </c>
      <c r="E270" s="4" t="str">
        <f>IF(VLOOKUP($B270,spell_header!$B$2:$G$373,4,FALSE)="√","√","")</f>
        <v>√</v>
      </c>
      <c r="F270" t="str">
        <f>_xlfn.LET(_xlpm.x,VLOOKUP($B270,spell_header!$B$2:$G$373,5,FALSE),IF(_xlpm.x="","",_xlpm.x))</f>
        <v/>
      </c>
      <c r="G270">
        <v>193</v>
      </c>
    </row>
    <row r="271" spans="1:7" ht="15" x14ac:dyDescent="0.2">
      <c r="A271">
        <v>269</v>
      </c>
      <c r="B271" s="1" t="s">
        <v>1435</v>
      </c>
      <c r="C271" t="str">
        <f>_xlfn.LET(_xlpm.x,VLOOKUP($B271,spell_header!$B$2:$G$373,2,FALSE),IF(_xlpm.x="","",_xlpm.x))</f>
        <v>详细描述键</v>
      </c>
      <c r="D271" s="4" t="str">
        <f>IF(VLOOKUP($B271,spell_header!$B$2:$G$373,3,FALSE)="√","√","")</f>
        <v>√</v>
      </c>
      <c r="E271" s="4" t="str">
        <f>IF(VLOOKUP($B271,spell_header!$B$2:$G$373,4,FALSE)="√","√","")</f>
        <v>√</v>
      </c>
      <c r="F271" t="str">
        <f>_xlfn.LET(_xlpm.x,VLOOKUP($B271,spell_header!$B$2:$G$373,5,FALSE),IF(_xlpm.x="","",_xlpm.x))</f>
        <v/>
      </c>
      <c r="G271">
        <v>198</v>
      </c>
    </row>
    <row r="272" spans="1:7" ht="15" x14ac:dyDescent="0.2">
      <c r="A272">
        <v>270</v>
      </c>
      <c r="B272" s="1" t="s">
        <v>1436</v>
      </c>
      <c r="C272" t="str">
        <f>_xlfn.LET(_xlpm.x,VLOOKUP($B272,spell_header!$B$2:$G$373,2,FALSE),IF(_xlpm.x="","",_xlpm.x))</f>
        <v>冷却时间键</v>
      </c>
      <c r="D272" s="4" t="str">
        <f>IF(VLOOKUP($B272,spell_header!$B$2:$G$373,3,FALSE)="√","√","")</f>
        <v>√</v>
      </c>
      <c r="E272" s="4" t="str">
        <f>IF(VLOOKUP($B272,spell_header!$B$2:$G$373,4,FALSE)="√","√","")</f>
        <v>√</v>
      </c>
      <c r="F272" t="str">
        <f>_xlfn.LET(_xlpm.x,VLOOKUP($B272,spell_header!$B$2:$G$373,5,FALSE),IF(_xlpm.x="","",_xlpm.x))</f>
        <v/>
      </c>
      <c r="G272">
        <v>180</v>
      </c>
    </row>
    <row r="273" spans="1:7" ht="15" x14ac:dyDescent="0.2">
      <c r="A273">
        <v>271</v>
      </c>
      <c r="B273" s="1" t="s">
        <v>1437</v>
      </c>
      <c r="C273" t="str">
        <f>_xlfn.LET(_xlpm.x,VLOOKUP($B273,spell_header!$B$2:$G$373,2,FALSE),IF(_xlpm.x="","",_xlpm.x))</f>
        <v>附加文本键</v>
      </c>
      <c r="D273" s="4" t="str">
        <f>IF(VLOOKUP($B273,spell_header!$B$2:$G$373,3,FALSE)="√","√","")</f>
        <v>√</v>
      </c>
      <c r="E273" s="4" t="str">
        <f>IF(VLOOKUP($B273,spell_header!$B$2:$G$373,4,FALSE)="√","√","")</f>
        <v>√</v>
      </c>
      <c r="F273" t="str">
        <f>_xlfn.LET(_xlpm.x,VLOOKUP($B273,spell_header!$B$2:$G$373,5,FALSE),IF(_xlpm.x="","",_xlpm.x))</f>
        <v/>
      </c>
      <c r="G273">
        <v>203</v>
      </c>
    </row>
    <row r="274" spans="1:7" ht="15" x14ac:dyDescent="0.2">
      <c r="A274">
        <v>272</v>
      </c>
      <c r="B274" s="1" t="s">
        <v>3741</v>
      </c>
      <c r="C274" t="str">
        <f>_xlfn.LET(_xlpm.x,VLOOKUP($B274,spell_header!$B$2:$G$373,2,FALSE),IF(_xlpm.x="","",_xlpm.x))</f>
        <v>选用名称键</v>
      </c>
      <c r="D274" s="4" t="str">
        <f>IF(VLOOKUP($B274,spell_header!$B$2:$G$373,3,FALSE)="√","√","")</f>
        <v>√</v>
      </c>
      <c r="E274" s="4" t="str">
        <f>IF(VLOOKUP($B274,spell_header!$B$2:$G$373,4,FALSE)="√","√","")</f>
        <v>√</v>
      </c>
      <c r="F274" t="str">
        <f>_xlfn.LET(_xlpm.x,VLOOKUP($B274,spell_header!$B$2:$G$373,5,FALSE),IF(_xlpm.x="","",_xlpm.x))</f>
        <v/>
      </c>
      <c r="G274">
        <v>208</v>
      </c>
    </row>
    <row r="275" spans="1:7" ht="15" x14ac:dyDescent="0.2">
      <c r="A275">
        <v>273</v>
      </c>
      <c r="B275" s="6" t="s">
        <v>1438</v>
      </c>
      <c r="C275" t="str">
        <f>_xlfn.LET(_xlpm.x,VLOOKUP($B275,spell_header!$B$2:$G$373,2,FALSE),IF(_xlpm.x="","",_xlpm.x))</f>
        <v>未格式化名称（中文）</v>
      </c>
      <c r="D275" s="4" t="str">
        <f>IF(VLOOKUP($B275,spell_header!$B$2:$G$373,3,FALSE)="√","√","")</f>
        <v/>
      </c>
      <c r="E275" s="4" t="str">
        <f>IF(VLOOKUP($B275,spell_header!$B$2:$G$373,4,FALSE)="√","√","")</f>
        <v>√</v>
      </c>
      <c r="F275" t="str">
        <f>_xlfn.LET(_xlpm.x,VLOOKUP($B275,spell_header!$B$2:$G$373,5,FALSE),IF(_xlpm.x="","",_xlpm.x))</f>
        <v/>
      </c>
      <c r="G275">
        <v>172</v>
      </c>
    </row>
    <row r="276" spans="1:7" ht="15" x14ac:dyDescent="0.2">
      <c r="A276">
        <v>274</v>
      </c>
      <c r="B276" s="6" t="s">
        <v>1439</v>
      </c>
      <c r="C276" t="str">
        <f>_xlfn.LET(_xlpm.x,VLOOKUP($B276,spell_header!$B$2:$G$373,2,FALSE),IF(_xlpm.x="","",_xlpm.x))</f>
        <v>未格式化名称（英文）</v>
      </c>
      <c r="D276" s="4" t="str">
        <f>IF(VLOOKUP($B276,spell_header!$B$2:$G$373,3,FALSE)="√","√","")</f>
        <v/>
      </c>
      <c r="E276" s="4" t="str">
        <f>IF(VLOOKUP($B276,spell_header!$B$2:$G$373,4,FALSE)="√","√","")</f>
        <v>√</v>
      </c>
      <c r="F276" t="str">
        <f>_xlfn.LET(_xlpm.x,VLOOKUP($B276,spell_header!$B$2:$G$373,5,FALSE),IF(_xlpm.x="","",_xlpm.x))</f>
        <v/>
      </c>
      <c r="G276">
        <v>173</v>
      </c>
    </row>
    <row r="277" spans="1:7" ht="15" x14ac:dyDescent="0.2">
      <c r="A277">
        <v>275</v>
      </c>
      <c r="B277" s="6" t="s">
        <v>1440</v>
      </c>
      <c r="C277" t="str">
        <f>_xlfn.LET(_xlpm.x,VLOOKUP($B277,spell_header!$B$2:$G$373,2,FALSE),IF(_xlpm.x="","",_xlpm.x))</f>
        <v>凯隐特有升级类型（中文）</v>
      </c>
      <c r="D277" s="4" t="str">
        <f>IF(VLOOKUP($B277,spell_header!$B$2:$G$373,3,FALSE)="√","√","")</f>
        <v/>
      </c>
      <c r="E277" s="4" t="str">
        <f>IF(VLOOKUP($B277,spell_header!$B$2:$G$373,4,FALSE)="√","√","")</f>
        <v>√</v>
      </c>
      <c r="F277" t="str">
        <f>_xlfn.LET(_xlpm.x,VLOOKUP($B277,spell_header!$B$2:$G$373,5,FALSE),IF(_xlpm.x="","",_xlpm.x))</f>
        <v/>
      </c>
      <c r="G277">
        <v>212</v>
      </c>
    </row>
    <row r="278" spans="1:7" ht="15" x14ac:dyDescent="0.2">
      <c r="A278">
        <v>276</v>
      </c>
      <c r="B278" s="6" t="s">
        <v>1441</v>
      </c>
      <c r="C278" t="str">
        <f>_xlfn.LET(_xlpm.x,VLOOKUP($B278,spell_header!$B$2:$G$373,2,FALSE),IF(_xlpm.x="","",_xlpm.x))</f>
        <v>凯隐特有升级类型（英文）</v>
      </c>
      <c r="D278" s="4" t="str">
        <f>IF(VLOOKUP($B278,spell_header!$B$2:$G$373,3,FALSE)="√","√","")</f>
        <v/>
      </c>
      <c r="E278" s="4" t="str">
        <f>IF(VLOOKUP($B278,spell_header!$B$2:$G$373,4,FALSE)="√","√","")</f>
        <v>√</v>
      </c>
      <c r="F278" t="str">
        <f>_xlfn.LET(_xlpm.x,VLOOKUP($B278,spell_header!$B$2:$G$373,5,FALSE),IF(_xlpm.x="","",_xlpm.x))</f>
        <v/>
      </c>
      <c r="G278">
        <v>214</v>
      </c>
    </row>
    <row r="279" spans="1:7" ht="15" x14ac:dyDescent="0.2">
      <c r="A279">
        <v>277</v>
      </c>
      <c r="B279" s="6" t="s">
        <v>3650</v>
      </c>
      <c r="C279" t="str">
        <f>_xlfn.LET(_xlpm.x,VLOOKUP($B279,spell_header!$B$2:$G$373,2,FALSE),IF(_xlpm.x="","",_xlpm.x))</f>
        <v>凯隐特有升级类型（中文/数值转换）</v>
      </c>
      <c r="D279" s="4" t="str">
        <f>IF(VLOOKUP($B279,spell_header!$B$2:$G$373,3,FALSE)="√","√","")</f>
        <v/>
      </c>
      <c r="E279" s="4" t="str">
        <f>IF(VLOOKUP($B279,spell_header!$B$2:$G$373,4,FALSE)="√","√","")</f>
        <v>√</v>
      </c>
      <c r="F279" t="str">
        <f>_xlfn.LET(_xlpm.x,VLOOKUP($B279,spell_header!$B$2:$G$373,5,FALSE),IF(_xlpm.x="","",_xlpm.x))</f>
        <v/>
      </c>
      <c r="G279">
        <v>213</v>
      </c>
    </row>
    <row r="280" spans="1:7" ht="15" x14ac:dyDescent="0.2">
      <c r="A280">
        <v>278</v>
      </c>
      <c r="B280" s="6" t="s">
        <v>3651</v>
      </c>
      <c r="C280" t="str">
        <f>_xlfn.LET(_xlpm.x,VLOOKUP($B280,spell_header!$B$2:$G$373,2,FALSE),IF(_xlpm.x="","",_xlpm.x))</f>
        <v>凯隐特有升级类型（英文/数值转换）</v>
      </c>
      <c r="D280" s="4" t="str">
        <f>IF(VLOOKUP($B280,spell_header!$B$2:$G$373,3,FALSE)="√","√","")</f>
        <v/>
      </c>
      <c r="E280" s="4" t="str">
        <f>IF(VLOOKUP($B280,spell_header!$B$2:$G$373,4,FALSE)="√","√","")</f>
        <v>√</v>
      </c>
      <c r="F280" t="str">
        <f>_xlfn.LET(_xlpm.x,VLOOKUP($B280,spell_header!$B$2:$G$373,5,FALSE),IF(_xlpm.x="","",_xlpm.x))</f>
        <v/>
      </c>
      <c r="G280">
        <v>215</v>
      </c>
    </row>
    <row r="281" spans="1:7" ht="15" x14ac:dyDescent="0.2">
      <c r="A281">
        <v>279</v>
      </c>
      <c r="B281" s="6" t="s">
        <v>1442</v>
      </c>
      <c r="C281" t="str">
        <f>_xlfn.LET(_xlpm.x,VLOOKUP($B281,spell_header!$B$2:$G$373,2,FALSE),IF(_xlpm.x="","",_xlpm.x))</f>
        <v>凯隐特有升级数值（中文）</v>
      </c>
      <c r="D281" s="4" t="str">
        <f>IF(VLOOKUP($B281,spell_header!$B$2:$G$373,3,FALSE)="√","√","")</f>
        <v/>
      </c>
      <c r="E281" s="4" t="str">
        <f>IF(VLOOKUP($B281,spell_header!$B$2:$G$373,4,FALSE)="√","√","")</f>
        <v>√</v>
      </c>
      <c r="F281" t="str">
        <f>_xlfn.LET(_xlpm.x,VLOOKUP($B281,spell_header!$B$2:$G$373,5,FALSE),IF(_xlpm.x="","",_xlpm.x))</f>
        <v/>
      </c>
      <c r="G281">
        <v>217</v>
      </c>
    </row>
    <row r="282" spans="1:7" ht="15" x14ac:dyDescent="0.2">
      <c r="A282">
        <v>280</v>
      </c>
      <c r="B282" s="6" t="s">
        <v>1443</v>
      </c>
      <c r="C282" t="str">
        <f>_xlfn.LET(_xlpm.x,VLOOKUP($B282,spell_header!$B$2:$G$373,2,FALSE),IF(_xlpm.x="","",_xlpm.x))</f>
        <v>凯隐特有升级数值（英文）</v>
      </c>
      <c r="D282" s="4" t="str">
        <f>IF(VLOOKUP($B282,spell_header!$B$2:$G$373,3,FALSE)="√","√","")</f>
        <v/>
      </c>
      <c r="E282" s="4" t="str">
        <f>IF(VLOOKUP($B282,spell_header!$B$2:$G$373,4,FALSE)="√","√","")</f>
        <v>√</v>
      </c>
      <c r="F282" t="str">
        <f>_xlfn.LET(_xlpm.x,VLOOKUP($B282,spell_header!$B$2:$G$373,5,FALSE),IF(_xlpm.x="","",_xlpm.x))</f>
        <v/>
      </c>
      <c r="G282">
        <v>219</v>
      </c>
    </row>
    <row r="283" spans="1:7" ht="15" x14ac:dyDescent="0.2">
      <c r="A283">
        <v>281</v>
      </c>
      <c r="B283" s="6" t="s">
        <v>3646</v>
      </c>
      <c r="C283" t="str">
        <f>_xlfn.LET(_xlpm.x,VLOOKUP($B283,spell_header!$B$2:$G$373,2,FALSE),IF(_xlpm.x="","",_xlpm.x))</f>
        <v>凯隐特有升级数值（中文/数值转换）</v>
      </c>
      <c r="D283" s="4" t="str">
        <f>IF(VLOOKUP($B283,spell_header!$B$2:$G$373,3,FALSE)="√","√","")</f>
        <v/>
      </c>
      <c r="E283" s="4" t="str">
        <f>IF(VLOOKUP($B283,spell_header!$B$2:$G$373,4,FALSE)="√","√","")</f>
        <v>√</v>
      </c>
      <c r="F283" t="str">
        <f>_xlfn.LET(_xlpm.x,VLOOKUP($B283,spell_header!$B$2:$G$373,5,FALSE),IF(_xlpm.x="","",_xlpm.x))</f>
        <v/>
      </c>
      <c r="G283">
        <v>218</v>
      </c>
    </row>
    <row r="284" spans="1:7" ht="15" x14ac:dyDescent="0.2">
      <c r="A284">
        <v>282</v>
      </c>
      <c r="B284" s="6" t="s">
        <v>3647</v>
      </c>
      <c r="C284" t="str">
        <f>_xlfn.LET(_xlpm.x,VLOOKUP($B284,spell_header!$B$2:$G$373,2,FALSE),IF(_xlpm.x="","",_xlpm.x))</f>
        <v>凯隐特有升级数值（英文/数值转换）</v>
      </c>
      <c r="D284" s="4" t="str">
        <f>IF(VLOOKUP($B284,spell_header!$B$2:$G$373,3,FALSE)="√","√","")</f>
        <v/>
      </c>
      <c r="E284" s="4" t="str">
        <f>IF(VLOOKUP($B284,spell_header!$B$2:$G$373,4,FALSE)="√","√","")</f>
        <v>√</v>
      </c>
      <c r="F284" t="str">
        <f>_xlfn.LET(_xlpm.x,VLOOKUP($B284,spell_header!$B$2:$G$373,5,FALSE),IF(_xlpm.x="","",_xlpm.x))</f>
        <v/>
      </c>
      <c r="G284">
        <v>220</v>
      </c>
    </row>
    <row r="285" spans="1:7" ht="15" x14ac:dyDescent="0.2">
      <c r="A285">
        <v>283</v>
      </c>
      <c r="B285" s="6" t="s">
        <v>2073</v>
      </c>
      <c r="C285" t="str">
        <f>_xlfn.LET(_xlpm.x,VLOOKUP($B285,spell_header!$B$2:$G$373,2,FALSE),IF(_xlpm.x="","",_xlpm.x))</f>
        <v>名称（中文）</v>
      </c>
      <c r="D285" s="4" t="str">
        <f>IF(VLOOKUP($B285,spell_header!$B$2:$G$373,3,FALSE)="√","√","")</f>
        <v/>
      </c>
      <c r="E285" s="4" t="str">
        <f>IF(VLOOKUP($B285,spell_header!$B$2:$G$373,4,FALSE)="√","√","")</f>
        <v>√</v>
      </c>
      <c r="F285" t="str">
        <f>_xlfn.LET(_xlpm.x,VLOOKUP($B285,spell_header!$B$2:$G$373,5,FALSE),IF(_xlpm.x="","",_xlpm.x))</f>
        <v/>
      </c>
      <c r="G285">
        <v>5</v>
      </c>
    </row>
    <row r="286" spans="1:7" ht="15" x14ac:dyDescent="0.2">
      <c r="A286">
        <v>284</v>
      </c>
      <c r="B286" s="6" t="s">
        <v>2074</v>
      </c>
      <c r="C286" t="str">
        <f>_xlfn.LET(_xlpm.x,VLOOKUP($B286,spell_header!$B$2:$G$373,2,FALSE),IF(_xlpm.x="","",_xlpm.x))</f>
        <v>名称（英文）</v>
      </c>
      <c r="D286" s="4" t="str">
        <f>IF(VLOOKUP($B286,spell_header!$B$2:$G$373,3,FALSE)="√","√","")</f>
        <v/>
      </c>
      <c r="E286" s="4" t="str">
        <f>IF(VLOOKUP($B286,spell_header!$B$2:$G$373,4,FALSE)="√","√","")</f>
        <v>√</v>
      </c>
      <c r="F286" t="str">
        <f>_xlfn.LET(_xlpm.x,VLOOKUP($B286,spell_header!$B$2:$G$373,5,FALSE),IF(_xlpm.x="","",_xlpm.x))</f>
        <v/>
      </c>
      <c r="G286">
        <v>6</v>
      </c>
    </row>
    <row r="287" spans="1:7" ht="15" x14ac:dyDescent="0.2">
      <c r="A287">
        <v>285</v>
      </c>
      <c r="B287" s="6" t="s">
        <v>1444</v>
      </c>
      <c r="C287" t="str">
        <f>_xlfn.LET(_xlpm.x,VLOOKUP($B287,spell_header!$B$2:$G$373,2,FALSE),IF(_xlpm.x="","",_xlpm.x))</f>
        <v>厄斐琉斯专用升级文本（中文）</v>
      </c>
      <c r="D287" s="4" t="str">
        <f>IF(VLOOKUP($B287,spell_header!$B$2:$G$373,3,FALSE)="√","√","")</f>
        <v/>
      </c>
      <c r="E287" s="4" t="str">
        <f>IF(VLOOKUP($B287,spell_header!$B$2:$G$373,4,FALSE)="√","√","")</f>
        <v>√</v>
      </c>
      <c r="F287" t="str">
        <f>_xlfn.LET(_xlpm.x,VLOOKUP($B287,spell_header!$B$2:$G$373,5,FALSE),IF(_xlpm.x="","",_xlpm.x))</f>
        <v/>
      </c>
      <c r="G287">
        <v>222</v>
      </c>
    </row>
    <row r="288" spans="1:7" ht="15" x14ac:dyDescent="0.2">
      <c r="A288">
        <v>286</v>
      </c>
      <c r="B288" s="6" t="s">
        <v>1445</v>
      </c>
      <c r="C288" t="str">
        <f>_xlfn.LET(_xlpm.x,VLOOKUP($B288,spell_header!$B$2:$G$373,2,FALSE),IF(_xlpm.x="","",_xlpm.x))</f>
        <v>厄斐琉斯专用升级文本（英文）</v>
      </c>
      <c r="D288" s="4" t="str">
        <f>IF(VLOOKUP($B288,spell_header!$B$2:$G$373,3,FALSE)="√","√","")</f>
        <v/>
      </c>
      <c r="E288" s="4" t="str">
        <f>IF(VLOOKUP($B288,spell_header!$B$2:$G$373,4,FALSE)="√","√","")</f>
        <v>√</v>
      </c>
      <c r="F288" t="str">
        <f>_xlfn.LET(_xlpm.x,VLOOKUP($B288,spell_header!$B$2:$G$373,5,FALSE),IF(_xlpm.x="","",_xlpm.x))</f>
        <v/>
      </c>
      <c r="G288">
        <v>224</v>
      </c>
    </row>
    <row r="289" spans="1:7" ht="15" x14ac:dyDescent="0.2">
      <c r="A289">
        <v>287</v>
      </c>
      <c r="B289" s="6" t="s">
        <v>1446</v>
      </c>
      <c r="C289" t="str">
        <f>_xlfn.LET(_xlpm.x,VLOOKUP($B289,spell_header!$B$2:$G$373,2,FALSE),IF(_xlpm.x="","",_xlpm.x))</f>
        <v>厄斐琉斯专用升级文本（中文/数值转换）</v>
      </c>
      <c r="D289" s="4" t="str">
        <f>IF(VLOOKUP($B289,spell_header!$B$2:$G$373,3,FALSE)="√","√","")</f>
        <v/>
      </c>
      <c r="E289" s="4" t="str">
        <f>IF(VLOOKUP($B289,spell_header!$B$2:$G$373,4,FALSE)="√","√","")</f>
        <v>√</v>
      </c>
      <c r="F289" t="str">
        <f>_xlfn.LET(_xlpm.x,VLOOKUP($B289,spell_header!$B$2:$G$373,5,FALSE),IF(_xlpm.x="","",_xlpm.x))</f>
        <v/>
      </c>
      <c r="G289">
        <v>223</v>
      </c>
    </row>
    <row r="290" spans="1:7" ht="15" x14ac:dyDescent="0.2">
      <c r="A290">
        <v>288</v>
      </c>
      <c r="B290" s="6" t="s">
        <v>1447</v>
      </c>
      <c r="C290" t="str">
        <f>_xlfn.LET(_xlpm.x,VLOOKUP($B290,spell_header!$B$2:$G$373,2,FALSE),IF(_xlpm.x="","",_xlpm.x))</f>
        <v>厄斐琉斯专用升级文本（英文/数值转换）</v>
      </c>
      <c r="D290" s="4" t="str">
        <f>IF(VLOOKUP($B290,spell_header!$B$2:$G$373,3,FALSE)="√","√","")</f>
        <v/>
      </c>
      <c r="E290" s="4" t="str">
        <f>IF(VLOOKUP($B290,spell_header!$B$2:$G$373,4,FALSE)="√","√","")</f>
        <v>√</v>
      </c>
      <c r="F290" t="str">
        <f>_xlfn.LET(_xlpm.x,VLOOKUP($B290,spell_header!$B$2:$G$373,5,FALSE),IF(_xlpm.x="","",_xlpm.x))</f>
        <v/>
      </c>
      <c r="G290">
        <v>225</v>
      </c>
    </row>
    <row r="291" spans="1:7" ht="15" x14ac:dyDescent="0.2">
      <c r="A291">
        <v>289</v>
      </c>
      <c r="B291" s="6" t="s">
        <v>1448</v>
      </c>
      <c r="C291" t="str">
        <f>_xlfn.LET(_xlpm.x,VLOOKUP($B291,spell_header!$B$2:$G$373,2,FALSE),IF(_xlpm.x="","",_xlpm.x))</f>
        <v>厄斐琉斯专用升级文本属性名称（中文）</v>
      </c>
      <c r="D291" s="4" t="str">
        <f>IF(VLOOKUP($B291,spell_header!$B$2:$G$373,3,FALSE)="√","√","")</f>
        <v/>
      </c>
      <c r="E291" s="4" t="str">
        <f>IF(VLOOKUP($B291,spell_header!$B$2:$G$373,4,FALSE)="√","√","")</f>
        <v>√</v>
      </c>
      <c r="F291" t="str">
        <f>_xlfn.LET(_xlpm.x,VLOOKUP($B291,spell_header!$B$2:$G$373,5,FALSE),IF(_xlpm.x="","",_xlpm.x))</f>
        <v/>
      </c>
      <c r="G291">
        <v>227</v>
      </c>
    </row>
    <row r="292" spans="1:7" ht="15" x14ac:dyDescent="0.2">
      <c r="A292">
        <v>290</v>
      </c>
      <c r="B292" s="6" t="s">
        <v>1449</v>
      </c>
      <c r="C292" t="str">
        <f>_xlfn.LET(_xlpm.x,VLOOKUP($B292,spell_header!$B$2:$G$373,2,FALSE),IF(_xlpm.x="","",_xlpm.x))</f>
        <v>厄斐琉斯专用升级文本属性名称（英文）</v>
      </c>
      <c r="D292" s="4" t="str">
        <f>IF(VLOOKUP($B292,spell_header!$B$2:$G$373,3,FALSE)="√","√","")</f>
        <v/>
      </c>
      <c r="E292" s="4" t="str">
        <f>IF(VLOOKUP($B292,spell_header!$B$2:$G$373,4,FALSE)="√","√","")</f>
        <v>√</v>
      </c>
      <c r="F292" t="str">
        <f>_xlfn.LET(_xlpm.x,VLOOKUP($B292,spell_header!$B$2:$G$373,5,FALSE),IF(_xlpm.x="","",_xlpm.x))</f>
        <v/>
      </c>
      <c r="G292">
        <v>229</v>
      </c>
    </row>
    <row r="293" spans="1:7" ht="15" x14ac:dyDescent="0.2">
      <c r="A293">
        <v>291</v>
      </c>
      <c r="B293" s="6" t="s">
        <v>1450</v>
      </c>
      <c r="C293" t="str">
        <f>_xlfn.LET(_xlpm.x,VLOOKUP($B293,spell_header!$B$2:$G$373,2,FALSE),IF(_xlpm.x="","",_xlpm.x))</f>
        <v>厄斐琉斯专用升级文本属性名称（中文/数值转换）</v>
      </c>
      <c r="D293" s="4" t="str">
        <f>IF(VLOOKUP($B293,spell_header!$B$2:$G$373,3,FALSE)="√","√","")</f>
        <v/>
      </c>
      <c r="E293" s="4" t="str">
        <f>IF(VLOOKUP($B293,spell_header!$B$2:$G$373,4,FALSE)="√","√","")</f>
        <v>√</v>
      </c>
      <c r="F293" t="str">
        <f>_xlfn.LET(_xlpm.x,VLOOKUP($B293,spell_header!$B$2:$G$373,5,FALSE),IF(_xlpm.x="","",_xlpm.x))</f>
        <v/>
      </c>
      <c r="G293">
        <v>228</v>
      </c>
    </row>
    <row r="294" spans="1:7" ht="15" x14ac:dyDescent="0.2">
      <c r="A294">
        <v>292</v>
      </c>
      <c r="B294" s="6" t="s">
        <v>1451</v>
      </c>
      <c r="C294" t="str">
        <f>_xlfn.LET(_xlpm.x,VLOOKUP($B294,spell_header!$B$2:$G$373,2,FALSE),IF(_xlpm.x="","",_xlpm.x))</f>
        <v>厄斐琉斯专用升级文本属性名称（英文/数值转换）</v>
      </c>
      <c r="D294" s="4" t="str">
        <f>IF(VLOOKUP($B294,spell_header!$B$2:$G$373,3,FALSE)="√","√","")</f>
        <v/>
      </c>
      <c r="E294" s="4" t="str">
        <f>IF(VLOOKUP($B294,spell_header!$B$2:$G$373,4,FALSE)="√","√","")</f>
        <v>√</v>
      </c>
      <c r="F294" t="str">
        <f>_xlfn.LET(_xlpm.x,VLOOKUP($B294,spell_header!$B$2:$G$373,5,FALSE),IF(_xlpm.x="","",_xlpm.x))</f>
        <v/>
      </c>
      <c r="G294">
        <v>230</v>
      </c>
    </row>
    <row r="295" spans="1:7" ht="15" x14ac:dyDescent="0.2">
      <c r="A295">
        <v>293</v>
      </c>
      <c r="B295" s="6" t="s">
        <v>1452</v>
      </c>
      <c r="C295" t="str">
        <f>_xlfn.LET(_xlpm.x,VLOOKUP($B295,spell_header!$B$2:$G$373,2,FALSE),IF(_xlpm.x="","",_xlpm.x))</f>
        <v>简介（中文）</v>
      </c>
      <c r="D295" s="4" t="str">
        <f>IF(VLOOKUP($B295,spell_header!$B$2:$G$373,3,FALSE)="√","√","")</f>
        <v/>
      </c>
      <c r="E295" s="4" t="str">
        <f>IF(VLOOKUP($B295,spell_header!$B$2:$G$373,4,FALSE)="√","√","")</f>
        <v>√</v>
      </c>
      <c r="F295" t="str">
        <f>_xlfn.LET(_xlpm.x,VLOOKUP($B295,spell_header!$B$2:$G$373,5,FALSE),IF(_xlpm.x="","",_xlpm.x))</f>
        <v/>
      </c>
      <c r="G295">
        <v>186</v>
      </c>
    </row>
    <row r="296" spans="1:7" ht="15" x14ac:dyDescent="0.2">
      <c r="A296">
        <v>294</v>
      </c>
      <c r="B296" s="6" t="s">
        <v>1453</v>
      </c>
      <c r="C296" t="str">
        <f>_xlfn.LET(_xlpm.x,VLOOKUP($B296,spell_header!$B$2:$G$373,2,FALSE),IF(_xlpm.x="","",_xlpm.x))</f>
        <v>简介（英文）</v>
      </c>
      <c r="D296" s="4" t="str">
        <f>IF(VLOOKUP($B296,spell_header!$B$2:$G$373,3,FALSE)="√","√","")</f>
        <v/>
      </c>
      <c r="E296" s="4" t="str">
        <f>IF(VLOOKUP($B296,spell_header!$B$2:$G$373,4,FALSE)="√","√","")</f>
        <v>√</v>
      </c>
      <c r="F296" t="str">
        <f>_xlfn.LET(_xlpm.x,VLOOKUP($B296,spell_header!$B$2:$G$373,5,FALSE),IF(_xlpm.x="","",_xlpm.x))</f>
        <v/>
      </c>
      <c r="G296">
        <v>187</v>
      </c>
    </row>
    <row r="297" spans="1:7" ht="15" x14ac:dyDescent="0.2">
      <c r="A297">
        <v>295</v>
      </c>
      <c r="B297" s="6" t="s">
        <v>1454</v>
      </c>
      <c r="C297" t="str">
        <f>_xlfn.LET(_xlpm.x,VLOOKUP($B297,spell_header!$B$2:$G$373,2,FALSE),IF(_xlpm.x="","",_xlpm.x))</f>
        <v>说明文本（中文）</v>
      </c>
      <c r="D297" s="4" t="str">
        <f>IF(VLOOKUP($B297,spell_header!$B$2:$G$373,3,FALSE)="√","√","")</f>
        <v/>
      </c>
      <c r="E297" s="4" t="str">
        <f>IF(VLOOKUP($B297,spell_header!$B$2:$G$373,4,FALSE)="√","√","")</f>
        <v>√</v>
      </c>
      <c r="F297" t="str">
        <f>_xlfn.LET(_xlpm.x,VLOOKUP($B297,spell_header!$B$2:$G$373,5,FALSE),IF(_xlpm.x="","",_xlpm.x))</f>
        <v/>
      </c>
      <c r="G297">
        <v>189</v>
      </c>
    </row>
    <row r="298" spans="1:7" ht="15" x14ac:dyDescent="0.2">
      <c r="A298">
        <v>296</v>
      </c>
      <c r="B298" s="6" t="s">
        <v>1455</v>
      </c>
      <c r="C298" t="str">
        <f>_xlfn.LET(_xlpm.x,VLOOKUP($B298,spell_header!$B$2:$G$373,2,FALSE),IF(_xlpm.x="","",_xlpm.x))</f>
        <v>说明文本（英文）</v>
      </c>
      <c r="D298" s="4" t="str">
        <f>IF(VLOOKUP($B298,spell_header!$B$2:$G$373,3,FALSE)="√","√","")</f>
        <v/>
      </c>
      <c r="E298" s="4" t="str">
        <f>IF(VLOOKUP($B298,spell_header!$B$2:$G$373,4,FALSE)="√","√","")</f>
        <v>√</v>
      </c>
      <c r="F298" t="str">
        <f>_xlfn.LET(_xlpm.x,VLOOKUP($B298,spell_header!$B$2:$G$373,5,FALSE),IF(_xlpm.x="","",_xlpm.x))</f>
        <v/>
      </c>
      <c r="G298">
        <v>191</v>
      </c>
    </row>
    <row r="299" spans="1:7" ht="15" x14ac:dyDescent="0.2">
      <c r="A299">
        <v>297</v>
      </c>
      <c r="B299" s="6" t="s">
        <v>1456</v>
      </c>
      <c r="C299" t="str">
        <f>_xlfn.LET(_xlpm.x,VLOOKUP($B299,spell_header!$B$2:$G$373,2,FALSE),IF(_xlpm.x="","",_xlpm.x))</f>
        <v>说明文本（中文/数值转换）</v>
      </c>
      <c r="D299" s="4" t="str">
        <f>IF(VLOOKUP($B299,spell_header!$B$2:$G$373,3,FALSE)="√","√","")</f>
        <v/>
      </c>
      <c r="E299" s="4" t="str">
        <f>IF(VLOOKUP($B299,spell_header!$B$2:$G$373,4,FALSE)="√","√","")</f>
        <v>√</v>
      </c>
      <c r="F299" t="str">
        <f>_xlfn.LET(_xlpm.x,VLOOKUP($B299,spell_header!$B$2:$G$373,5,FALSE),IF(_xlpm.x="","",_xlpm.x))</f>
        <v/>
      </c>
      <c r="G299">
        <v>190</v>
      </c>
    </row>
    <row r="300" spans="1:7" ht="15" x14ac:dyDescent="0.2">
      <c r="A300">
        <v>298</v>
      </c>
      <c r="B300" s="6" t="s">
        <v>1457</v>
      </c>
      <c r="C300" t="str">
        <f>_xlfn.LET(_xlpm.x,VLOOKUP($B300,spell_header!$B$2:$G$373,2,FALSE),IF(_xlpm.x="","",_xlpm.x))</f>
        <v>说明文本（英文/数值转换）</v>
      </c>
      <c r="D300" s="4" t="str">
        <f>IF(VLOOKUP($B300,spell_header!$B$2:$G$373,3,FALSE)="√","√","")</f>
        <v/>
      </c>
      <c r="E300" s="4" t="str">
        <f>IF(VLOOKUP($B300,spell_header!$B$2:$G$373,4,FALSE)="√","√","")</f>
        <v>√</v>
      </c>
      <c r="F300" t="str">
        <f>_xlfn.LET(_xlpm.x,VLOOKUP($B300,spell_header!$B$2:$G$373,5,FALSE),IF(_xlpm.x="","",_xlpm.x))</f>
        <v/>
      </c>
      <c r="G300">
        <v>192</v>
      </c>
    </row>
    <row r="301" spans="1:7" ht="15" x14ac:dyDescent="0.2">
      <c r="A301">
        <v>299</v>
      </c>
      <c r="B301" s="6" t="s">
        <v>1458</v>
      </c>
      <c r="C301" t="str">
        <f>_xlfn.LET(_xlpm.x,VLOOKUP($B301,spell_header!$B$2:$G$373,2,FALSE),IF(_xlpm.x="","",_xlpm.x))</f>
        <v>消耗施法资源（中文）</v>
      </c>
      <c r="D301" s="4" t="str">
        <f>IF(VLOOKUP($B301,spell_header!$B$2:$G$373,3,FALSE)="√","√","")</f>
        <v/>
      </c>
      <c r="E301" s="4" t="str">
        <f>IF(VLOOKUP($B301,spell_header!$B$2:$G$373,4,FALSE)="√","√","")</f>
        <v>√</v>
      </c>
      <c r="F301" t="str">
        <f>_xlfn.LET(_xlpm.x,VLOOKUP($B301,spell_header!$B$2:$G$373,5,FALSE),IF(_xlpm.x="","",_xlpm.x))</f>
        <v/>
      </c>
      <c r="G301">
        <v>176</v>
      </c>
    </row>
    <row r="302" spans="1:7" ht="15" x14ac:dyDescent="0.2">
      <c r="A302">
        <v>300</v>
      </c>
      <c r="B302" s="6" t="s">
        <v>1459</v>
      </c>
      <c r="C302" t="str">
        <f>_xlfn.LET(_xlpm.x,VLOOKUP($B302,spell_header!$B$2:$G$373,2,FALSE),IF(_xlpm.x="","",_xlpm.x))</f>
        <v>消耗施法资源（英文）</v>
      </c>
      <c r="D302" s="4" t="str">
        <f>IF(VLOOKUP($B302,spell_header!$B$2:$G$373,3,FALSE)="√","√","")</f>
        <v/>
      </c>
      <c r="E302" s="4" t="str">
        <f>IF(VLOOKUP($B302,spell_header!$B$2:$G$373,4,FALSE)="√","√","")</f>
        <v>√</v>
      </c>
      <c r="F302" t="str">
        <f>_xlfn.LET(_xlpm.x,VLOOKUP($B302,spell_header!$B$2:$G$373,5,FALSE),IF(_xlpm.x="","",_xlpm.x))</f>
        <v/>
      </c>
      <c r="G302">
        <v>178</v>
      </c>
    </row>
    <row r="303" spans="1:7" ht="15" x14ac:dyDescent="0.2">
      <c r="A303">
        <v>301</v>
      </c>
      <c r="B303" s="6" t="s">
        <v>1460</v>
      </c>
      <c r="C303" t="str">
        <f>_xlfn.LET(_xlpm.x,VLOOKUP($B303,spell_header!$B$2:$G$373,2,FALSE),IF(_xlpm.x="","",_xlpm.x))</f>
        <v>消耗施法资源（中文/数值转换）</v>
      </c>
      <c r="D303" s="4" t="str">
        <f>IF(VLOOKUP($B303,spell_header!$B$2:$G$373,3,FALSE)="√","√","")</f>
        <v/>
      </c>
      <c r="E303" s="4" t="str">
        <f>IF(VLOOKUP($B303,spell_header!$B$2:$G$373,4,FALSE)="√","√","")</f>
        <v>√</v>
      </c>
      <c r="F303" t="str">
        <f>_xlfn.LET(_xlpm.x,VLOOKUP($B303,spell_header!$B$2:$G$373,5,FALSE),IF(_xlpm.x="","",_xlpm.x))</f>
        <v/>
      </c>
      <c r="G303">
        <v>177</v>
      </c>
    </row>
    <row r="304" spans="1:7" ht="15" x14ac:dyDescent="0.2">
      <c r="A304">
        <v>302</v>
      </c>
      <c r="B304" s="6" t="s">
        <v>1461</v>
      </c>
      <c r="C304" t="str">
        <f>_xlfn.LET(_xlpm.x,VLOOKUP($B304,spell_header!$B$2:$G$373,2,FALSE),IF(_xlpm.x="","",_xlpm.x))</f>
        <v>消耗施法资源（英文/数值转换）</v>
      </c>
      <c r="D304" s="4" t="str">
        <f>IF(VLOOKUP($B304,spell_header!$B$2:$G$373,3,FALSE)="√","√","")</f>
        <v/>
      </c>
      <c r="E304" s="4" t="str">
        <f>IF(VLOOKUP($B304,spell_header!$B$2:$G$373,4,FALSE)="√","√","")</f>
        <v>√</v>
      </c>
      <c r="F304" t="str">
        <f>_xlfn.LET(_xlpm.x,VLOOKUP($B304,spell_header!$B$2:$G$373,5,FALSE),IF(_xlpm.x="","",_xlpm.x))</f>
        <v/>
      </c>
      <c r="G304">
        <v>179</v>
      </c>
    </row>
    <row r="305" spans="1:7" ht="15" x14ac:dyDescent="0.2">
      <c r="A305">
        <v>303</v>
      </c>
      <c r="B305" s="6" t="s">
        <v>1462</v>
      </c>
      <c r="C305" t="str">
        <f>_xlfn.LET(_xlpm.x,VLOOKUP($B305,spell_header!$B$2:$G$373,2,FALSE),IF(_xlpm.x="","",_xlpm.x))</f>
        <v>简述（中文）</v>
      </c>
      <c r="D305" s="4" t="str">
        <f>IF(VLOOKUP($B305,spell_header!$B$2:$G$373,3,FALSE)="√","√","")</f>
        <v/>
      </c>
      <c r="E305" s="4" t="str">
        <f>IF(VLOOKUP($B305,spell_header!$B$2:$G$373,4,FALSE)="√","√","")</f>
        <v>√</v>
      </c>
      <c r="F305" t="str">
        <f>_xlfn.LET(_xlpm.x,VLOOKUP($B305,spell_header!$B$2:$G$373,5,FALSE),IF(_xlpm.x="","",_xlpm.x))</f>
        <v/>
      </c>
      <c r="G305">
        <v>194</v>
      </c>
    </row>
    <row r="306" spans="1:7" ht="15" x14ac:dyDescent="0.2">
      <c r="A306">
        <v>304</v>
      </c>
      <c r="B306" s="6" t="s">
        <v>1463</v>
      </c>
      <c r="C306" t="str">
        <f>_xlfn.LET(_xlpm.x,VLOOKUP($B306,spell_header!$B$2:$G$373,2,FALSE),IF(_xlpm.x="","",_xlpm.x))</f>
        <v>简述（英文）</v>
      </c>
      <c r="D306" s="4" t="str">
        <f>IF(VLOOKUP($B306,spell_header!$B$2:$G$373,3,FALSE)="√","√","")</f>
        <v/>
      </c>
      <c r="E306" s="4" t="str">
        <f>IF(VLOOKUP($B306,spell_header!$B$2:$G$373,4,FALSE)="√","√","")</f>
        <v>√</v>
      </c>
      <c r="F306" t="str">
        <f>_xlfn.LET(_xlpm.x,VLOOKUP($B306,spell_header!$B$2:$G$373,5,FALSE),IF(_xlpm.x="","",_xlpm.x))</f>
        <v/>
      </c>
      <c r="G306">
        <v>196</v>
      </c>
    </row>
    <row r="307" spans="1:7" ht="15" x14ac:dyDescent="0.2">
      <c r="A307">
        <v>305</v>
      </c>
      <c r="B307" s="6" t="s">
        <v>1464</v>
      </c>
      <c r="C307" t="str">
        <f>_xlfn.LET(_xlpm.x,VLOOKUP($B307,spell_header!$B$2:$G$373,2,FALSE),IF(_xlpm.x="","",_xlpm.x))</f>
        <v>简述（中文/数值转换）</v>
      </c>
      <c r="D307" s="4" t="str">
        <f>IF(VLOOKUP($B307,spell_header!$B$2:$G$373,3,FALSE)="√","√","")</f>
        <v/>
      </c>
      <c r="E307" s="4" t="str">
        <f>IF(VLOOKUP($B307,spell_header!$B$2:$G$373,4,FALSE)="√","√","")</f>
        <v>√</v>
      </c>
      <c r="F307" t="str">
        <f>_xlfn.LET(_xlpm.x,VLOOKUP($B307,spell_header!$B$2:$G$373,5,FALSE),IF(_xlpm.x="","",_xlpm.x))</f>
        <v/>
      </c>
      <c r="G307">
        <v>195</v>
      </c>
    </row>
    <row r="308" spans="1:7" ht="15" x14ac:dyDescent="0.2">
      <c r="A308">
        <v>306</v>
      </c>
      <c r="B308" s="6" t="s">
        <v>1465</v>
      </c>
      <c r="C308" t="str">
        <f>_xlfn.LET(_xlpm.x,VLOOKUP($B308,spell_header!$B$2:$G$373,2,FALSE),IF(_xlpm.x="","",_xlpm.x))</f>
        <v>简述（英文/数值转换）</v>
      </c>
      <c r="D308" s="4" t="str">
        <f>IF(VLOOKUP($B308,spell_header!$B$2:$G$373,3,FALSE)="√","√","")</f>
        <v/>
      </c>
      <c r="E308" s="4" t="str">
        <f>IF(VLOOKUP($B308,spell_header!$B$2:$G$373,4,FALSE)="√","√","")</f>
        <v>√</v>
      </c>
      <c r="F308" t="str">
        <f>_xlfn.LET(_xlpm.x,VLOOKUP($B308,spell_header!$B$2:$G$373,5,FALSE),IF(_xlpm.x="","",_xlpm.x))</f>
        <v/>
      </c>
      <c r="G308">
        <v>197</v>
      </c>
    </row>
    <row r="309" spans="1:7" ht="15" x14ac:dyDescent="0.2">
      <c r="A309">
        <v>307</v>
      </c>
      <c r="B309" s="6" t="s">
        <v>1466</v>
      </c>
      <c r="C309" t="str">
        <f>_xlfn.LET(_xlpm.x,VLOOKUP($B309,spell_header!$B$2:$G$373,2,FALSE),IF(_xlpm.x="","",_xlpm.x))</f>
        <v>详细描述（中文）</v>
      </c>
      <c r="D309" s="4" t="str">
        <f>IF(VLOOKUP($B309,spell_header!$B$2:$G$373,3,FALSE)="√","√","")</f>
        <v/>
      </c>
      <c r="E309" s="4" t="str">
        <f>IF(VLOOKUP($B309,spell_header!$B$2:$G$373,4,FALSE)="√","√","")</f>
        <v>√</v>
      </c>
      <c r="F309" t="str">
        <f>_xlfn.LET(_xlpm.x,VLOOKUP($B309,spell_header!$B$2:$G$373,5,FALSE),IF(_xlpm.x="","",_xlpm.x))</f>
        <v/>
      </c>
      <c r="G309">
        <v>199</v>
      </c>
    </row>
    <row r="310" spans="1:7" ht="15" x14ac:dyDescent="0.2">
      <c r="A310">
        <v>308</v>
      </c>
      <c r="B310" s="6" t="s">
        <v>1467</v>
      </c>
      <c r="C310" t="str">
        <f>_xlfn.LET(_xlpm.x,VLOOKUP($B310,spell_header!$B$2:$G$373,2,FALSE),IF(_xlpm.x="","",_xlpm.x))</f>
        <v>详细描述（英文）</v>
      </c>
      <c r="D310" s="4" t="str">
        <f>IF(VLOOKUP($B310,spell_header!$B$2:$G$373,3,FALSE)="√","√","")</f>
        <v/>
      </c>
      <c r="E310" s="4" t="str">
        <f>IF(VLOOKUP($B310,spell_header!$B$2:$G$373,4,FALSE)="√","√","")</f>
        <v>√</v>
      </c>
      <c r="F310" t="str">
        <f>_xlfn.LET(_xlpm.x,VLOOKUP($B310,spell_header!$B$2:$G$373,5,FALSE),IF(_xlpm.x="","",_xlpm.x))</f>
        <v/>
      </c>
      <c r="G310">
        <v>201</v>
      </c>
    </row>
    <row r="311" spans="1:7" ht="15" x14ac:dyDescent="0.2">
      <c r="A311">
        <v>309</v>
      </c>
      <c r="B311" s="6" t="s">
        <v>1468</v>
      </c>
      <c r="C311" t="str">
        <f>_xlfn.LET(_xlpm.x,VLOOKUP($B311,spell_header!$B$2:$G$373,2,FALSE),IF(_xlpm.x="","",_xlpm.x))</f>
        <v>详细描述（中文/数值转换）</v>
      </c>
      <c r="D311" s="4" t="str">
        <f>IF(VLOOKUP($B311,spell_header!$B$2:$G$373,3,FALSE)="√","√","")</f>
        <v/>
      </c>
      <c r="E311" s="4" t="str">
        <f>IF(VLOOKUP($B311,spell_header!$B$2:$G$373,4,FALSE)="√","√","")</f>
        <v>√</v>
      </c>
      <c r="F311" t="str">
        <f>_xlfn.LET(_xlpm.x,VLOOKUP($B311,spell_header!$B$2:$G$373,5,FALSE),IF(_xlpm.x="","",_xlpm.x))</f>
        <v/>
      </c>
      <c r="G311">
        <v>200</v>
      </c>
    </row>
    <row r="312" spans="1:7" ht="15" x14ac:dyDescent="0.2">
      <c r="A312">
        <v>310</v>
      </c>
      <c r="B312" s="6" t="s">
        <v>1469</v>
      </c>
      <c r="C312" t="str">
        <f>_xlfn.LET(_xlpm.x,VLOOKUP($B312,spell_header!$B$2:$G$373,2,FALSE),IF(_xlpm.x="","",_xlpm.x))</f>
        <v>详细描述（英文/数值转换）</v>
      </c>
      <c r="D312" s="4" t="str">
        <f>IF(VLOOKUP($B312,spell_header!$B$2:$G$373,3,FALSE)="√","√","")</f>
        <v/>
      </c>
      <c r="E312" s="4" t="str">
        <f>IF(VLOOKUP($B312,spell_header!$B$2:$G$373,4,FALSE)="√","√","")</f>
        <v>√</v>
      </c>
      <c r="F312" t="str">
        <f>_xlfn.LET(_xlpm.x,VLOOKUP($B312,spell_header!$B$2:$G$373,5,FALSE),IF(_xlpm.x="","",_xlpm.x))</f>
        <v/>
      </c>
      <c r="G312">
        <v>202</v>
      </c>
    </row>
    <row r="313" spans="1:7" ht="15" x14ac:dyDescent="0.2">
      <c r="A313">
        <v>311</v>
      </c>
      <c r="B313" s="6" t="s">
        <v>1470</v>
      </c>
      <c r="C313" t="str">
        <f>_xlfn.LET(_xlpm.x,VLOOKUP($B313,spell_header!$B$2:$G$373,2,FALSE),IF(_xlpm.x="","",_xlpm.x))</f>
        <v>冷却时间（中文）</v>
      </c>
      <c r="D313" s="4" t="str">
        <f>IF(VLOOKUP($B313,spell_header!$B$2:$G$373,3,FALSE)="√","√","")</f>
        <v/>
      </c>
      <c r="E313" s="4" t="str">
        <f>IF(VLOOKUP($B313,spell_header!$B$2:$G$373,4,FALSE)="√","√","")</f>
        <v>√</v>
      </c>
      <c r="F313" t="str">
        <f>_xlfn.LET(_xlpm.x,VLOOKUP($B313,spell_header!$B$2:$G$373,5,FALSE),IF(_xlpm.x="","",_xlpm.x))</f>
        <v/>
      </c>
      <c r="G313">
        <v>181</v>
      </c>
    </row>
    <row r="314" spans="1:7" ht="15" x14ac:dyDescent="0.2">
      <c r="A314">
        <v>312</v>
      </c>
      <c r="B314" s="6" t="s">
        <v>1471</v>
      </c>
      <c r="C314" t="str">
        <f>_xlfn.LET(_xlpm.x,VLOOKUP($B314,spell_header!$B$2:$G$373,2,FALSE),IF(_xlpm.x="","",_xlpm.x))</f>
        <v>冷却时间（英文）</v>
      </c>
      <c r="D314" s="4" t="str">
        <f>IF(VLOOKUP($B314,spell_header!$B$2:$G$373,3,FALSE)="√","√","")</f>
        <v/>
      </c>
      <c r="E314" s="4" t="str">
        <f>IF(VLOOKUP($B314,spell_header!$B$2:$G$373,4,FALSE)="√","√","")</f>
        <v>√</v>
      </c>
      <c r="F314" t="str">
        <f>_xlfn.LET(_xlpm.x,VLOOKUP($B314,spell_header!$B$2:$G$373,5,FALSE),IF(_xlpm.x="","",_xlpm.x))</f>
        <v/>
      </c>
      <c r="G314">
        <v>183</v>
      </c>
    </row>
    <row r="315" spans="1:7" ht="15" x14ac:dyDescent="0.2">
      <c r="A315">
        <v>313</v>
      </c>
      <c r="B315" s="6" t="s">
        <v>1472</v>
      </c>
      <c r="C315" t="str">
        <f>_xlfn.LET(_xlpm.x,VLOOKUP($B315,spell_header!$B$2:$G$373,2,FALSE),IF(_xlpm.x="","",_xlpm.x))</f>
        <v>冷却时间（中文/数值转换）</v>
      </c>
      <c r="D315" s="4" t="str">
        <f>IF(VLOOKUP($B315,spell_header!$B$2:$G$373,3,FALSE)="√","√","")</f>
        <v/>
      </c>
      <c r="E315" s="4" t="str">
        <f>IF(VLOOKUP($B315,spell_header!$B$2:$G$373,4,FALSE)="√","√","")</f>
        <v>√</v>
      </c>
      <c r="F315" t="str">
        <f>_xlfn.LET(_xlpm.x,VLOOKUP($B315,spell_header!$B$2:$G$373,5,FALSE),IF(_xlpm.x="","",_xlpm.x))</f>
        <v/>
      </c>
      <c r="G315">
        <v>182</v>
      </c>
    </row>
    <row r="316" spans="1:7" ht="15" x14ac:dyDescent="0.2">
      <c r="A316">
        <v>314</v>
      </c>
      <c r="B316" s="6" t="s">
        <v>1473</v>
      </c>
      <c r="C316" t="str">
        <f>_xlfn.LET(_xlpm.x,VLOOKUP($B316,spell_header!$B$2:$G$373,2,FALSE),IF(_xlpm.x="","",_xlpm.x))</f>
        <v>冷却时间（英文/数值转换）</v>
      </c>
      <c r="D316" s="4" t="str">
        <f>IF(VLOOKUP($B316,spell_header!$B$2:$G$373,3,FALSE)="√","√","")</f>
        <v/>
      </c>
      <c r="E316" s="4" t="str">
        <f>IF(VLOOKUP($B316,spell_header!$B$2:$G$373,4,FALSE)="√","√","")</f>
        <v>√</v>
      </c>
      <c r="F316" t="str">
        <f>_xlfn.LET(_xlpm.x,VLOOKUP($B316,spell_header!$B$2:$G$373,5,FALSE),IF(_xlpm.x="","",_xlpm.x))</f>
        <v/>
      </c>
      <c r="G316">
        <v>184</v>
      </c>
    </row>
    <row r="317" spans="1:7" ht="15" x14ac:dyDescent="0.2">
      <c r="A317">
        <v>315</v>
      </c>
      <c r="B317" s="6" t="s">
        <v>1474</v>
      </c>
      <c r="C317" t="str">
        <f>_xlfn.LET(_xlpm.x,VLOOKUP($B317,spell_header!$B$2:$G$373,2,FALSE),IF(_xlpm.x="","",_xlpm.x))</f>
        <v>附加文本（中文）</v>
      </c>
      <c r="D317" s="4" t="str">
        <f>IF(VLOOKUP($B317,spell_header!$B$2:$G$373,3,FALSE)="√","√","")</f>
        <v/>
      </c>
      <c r="E317" s="4" t="str">
        <f>IF(VLOOKUP($B317,spell_header!$B$2:$G$373,4,FALSE)="√","√","")</f>
        <v>√</v>
      </c>
      <c r="F317" t="str">
        <f>_xlfn.LET(_xlpm.x,VLOOKUP($B317,spell_header!$B$2:$G$373,5,FALSE),IF(_xlpm.x="","",_xlpm.x))</f>
        <v/>
      </c>
      <c r="G317">
        <v>204</v>
      </c>
    </row>
    <row r="318" spans="1:7" ht="15" x14ac:dyDescent="0.2">
      <c r="A318">
        <v>316</v>
      </c>
      <c r="B318" s="6" t="s">
        <v>1475</v>
      </c>
      <c r="C318" t="str">
        <f>_xlfn.LET(_xlpm.x,VLOOKUP($B318,spell_header!$B$2:$G$373,2,FALSE),IF(_xlpm.x="","",_xlpm.x))</f>
        <v>附加文本（英文）</v>
      </c>
      <c r="D318" s="4" t="str">
        <f>IF(VLOOKUP($B318,spell_header!$B$2:$G$373,3,FALSE)="√","√","")</f>
        <v/>
      </c>
      <c r="E318" s="4" t="str">
        <f>IF(VLOOKUP($B318,spell_header!$B$2:$G$373,4,FALSE)="√","√","")</f>
        <v>√</v>
      </c>
      <c r="F318" t="str">
        <f>_xlfn.LET(_xlpm.x,VLOOKUP($B318,spell_header!$B$2:$G$373,5,FALSE),IF(_xlpm.x="","",_xlpm.x))</f>
        <v/>
      </c>
      <c r="G318">
        <v>206</v>
      </c>
    </row>
    <row r="319" spans="1:7" ht="15" x14ac:dyDescent="0.2">
      <c r="A319">
        <v>317</v>
      </c>
      <c r="B319" s="6" t="s">
        <v>1476</v>
      </c>
      <c r="C319" t="str">
        <f>_xlfn.LET(_xlpm.x,VLOOKUP($B319,spell_header!$B$2:$G$373,2,FALSE),IF(_xlpm.x="","",_xlpm.x))</f>
        <v>附加文本（中文/数值转换）</v>
      </c>
      <c r="D319" s="4" t="str">
        <f>IF(VLOOKUP($B319,spell_header!$B$2:$G$373,3,FALSE)="√","√","")</f>
        <v/>
      </c>
      <c r="E319" s="4" t="str">
        <f>IF(VLOOKUP($B319,spell_header!$B$2:$G$373,4,FALSE)="√","√","")</f>
        <v>√</v>
      </c>
      <c r="F319" t="str">
        <f>_xlfn.LET(_xlpm.x,VLOOKUP($B319,spell_header!$B$2:$G$373,5,FALSE),IF(_xlpm.x="","",_xlpm.x))</f>
        <v/>
      </c>
      <c r="G319">
        <v>205</v>
      </c>
    </row>
    <row r="320" spans="1:7" ht="15" x14ac:dyDescent="0.2">
      <c r="A320">
        <v>318</v>
      </c>
      <c r="B320" s="6" t="s">
        <v>1477</v>
      </c>
      <c r="C320" t="str">
        <f>_xlfn.LET(_xlpm.x,VLOOKUP($B320,spell_header!$B$2:$G$373,2,FALSE),IF(_xlpm.x="","",_xlpm.x))</f>
        <v>附加文本（英文/数值转换）</v>
      </c>
      <c r="D320" s="4" t="str">
        <f>IF(VLOOKUP($B320,spell_header!$B$2:$G$373,3,FALSE)="√","√","")</f>
        <v/>
      </c>
      <c r="E320" s="4" t="str">
        <f>IF(VLOOKUP($B320,spell_header!$B$2:$G$373,4,FALSE)="√","√","")</f>
        <v>√</v>
      </c>
      <c r="F320" t="str">
        <f>_xlfn.LET(_xlpm.x,VLOOKUP($B320,spell_header!$B$2:$G$373,5,FALSE),IF(_xlpm.x="","",_xlpm.x))</f>
        <v/>
      </c>
      <c r="G320">
        <v>207</v>
      </c>
    </row>
    <row r="321" spans="1:7" ht="15" x14ac:dyDescent="0.2">
      <c r="A321">
        <v>319</v>
      </c>
      <c r="B321" s="6" t="s">
        <v>3742</v>
      </c>
      <c r="C321" t="str">
        <f>_xlfn.LET(_xlpm.x,VLOOKUP($B321,spell_header!$B$2:$G$373,2,FALSE),IF(_xlpm.x="","",_xlpm.x))</f>
        <v>选用名称（中文）</v>
      </c>
      <c r="D321" s="4" t="str">
        <f>IF(VLOOKUP($B321,spell_header!$B$2:$G$373,3,FALSE)="√","√","")</f>
        <v/>
      </c>
      <c r="E321" s="4" t="str">
        <f>IF(VLOOKUP($B321,spell_header!$B$2:$G$373,4,FALSE)="√","√","")</f>
        <v>√</v>
      </c>
      <c r="F321" t="str">
        <f>_xlfn.LET(_xlpm.x,VLOOKUP($B321,spell_header!$B$2:$G$373,5,FALSE),IF(_xlpm.x="","",_xlpm.x))</f>
        <v/>
      </c>
      <c r="G321">
        <v>209</v>
      </c>
    </row>
    <row r="322" spans="1:7" ht="15" x14ac:dyDescent="0.2">
      <c r="A322">
        <v>320</v>
      </c>
      <c r="B322" s="6" t="s">
        <v>3743</v>
      </c>
      <c r="C322" t="str">
        <f>_xlfn.LET(_xlpm.x,VLOOKUP($B322,spell_header!$B$2:$G$373,2,FALSE),IF(_xlpm.x="","",_xlpm.x))</f>
        <v>选用名称（英文）</v>
      </c>
      <c r="D322" s="4" t="str">
        <f>IF(VLOOKUP($B322,spell_header!$B$2:$G$373,3,FALSE)="√","√","")</f>
        <v/>
      </c>
      <c r="E322" s="4" t="str">
        <f>IF(VLOOKUP($B322,spell_header!$B$2:$G$373,4,FALSE)="√","√","")</f>
        <v>√</v>
      </c>
      <c r="F322" t="str">
        <f>_xlfn.LET(_xlpm.x,VLOOKUP($B322,spell_header!$B$2:$G$373,5,FALSE),IF(_xlpm.x="","",_xlpm.x))</f>
        <v/>
      </c>
      <c r="G322">
        <v>210</v>
      </c>
    </row>
    <row r="323" spans="1:7" ht="15" x14ac:dyDescent="0.2">
      <c r="A323">
        <v>321</v>
      </c>
      <c r="B323" s="1" t="s">
        <v>2038</v>
      </c>
      <c r="C323" t="str">
        <f>_xlfn.LET(_xlpm.x,VLOOKUP($B323,spell_header!$B$2:$G$373,2,FALSE),IF(_xlpm.x="","",_xlpm.x))</f>
        <v>技能等级数量</v>
      </c>
      <c r="D323" s="4" t="str">
        <f>IF(VLOOKUP($B323,spell_header!$B$2:$G$373,3,FALSE)="√","√","")</f>
        <v>√</v>
      </c>
      <c r="E323" s="4" t="str">
        <f>IF(VLOOKUP($B323,spell_header!$B$2:$G$373,4,FALSE)="√","√","")</f>
        <v>√</v>
      </c>
      <c r="F323" t="str">
        <f>_xlfn.LET(_xlpm.x,VLOOKUP($B323,spell_header!$B$2:$G$373,5,FALSE),IF(_xlpm.x="","",_xlpm.x))</f>
        <v/>
      </c>
      <c r="G323">
        <v>166</v>
      </c>
    </row>
    <row r="324" spans="1:7" ht="15" x14ac:dyDescent="0.2">
      <c r="A324">
        <v>322</v>
      </c>
      <c r="B324" s="1" t="s">
        <v>2039</v>
      </c>
      <c r="C324" t="str">
        <f>_xlfn.LET(_xlpm.x,VLOOKUP($B324,spell_header!$B$2:$G$373,2,FALSE),IF(_xlpm.x="","",_xlpm.x))</f>
        <v>技能升级要素</v>
      </c>
      <c r="D324" s="4" t="str">
        <f>IF(VLOOKUP($B324,spell_header!$B$2:$G$373,3,FALSE)="√","√","")</f>
        <v>√</v>
      </c>
      <c r="E324" s="4" t="str">
        <f>IF(VLOOKUP($B324,spell_header!$B$2:$G$373,4,FALSE)="√","√","")</f>
        <v>√</v>
      </c>
      <c r="F324" t="str">
        <f>_xlfn.LET(_xlpm.x,VLOOKUP($B324,spell_header!$B$2:$G$373,5,FALSE),IF(_xlpm.x="","",_xlpm.x))</f>
        <v/>
      </c>
      <c r="G324">
        <v>167</v>
      </c>
    </row>
    <row r="325" spans="1:7" ht="15" x14ac:dyDescent="0.2">
      <c r="A325">
        <v>323</v>
      </c>
      <c r="B325" s="1" t="s">
        <v>2024</v>
      </c>
      <c r="C325" t="str">
        <f>_xlfn.LET(_xlpm.x,VLOOKUP($B325,spell_header!$B$2:$G$373,2,FALSE),IF(_xlpm.x="","",_xlpm.x))</f>
        <v/>
      </c>
      <c r="D325" s="4" t="str">
        <f>IF(VLOOKUP($B325,spell_header!$B$2:$G$373,3,FALSE)="√","√","")</f>
        <v>√</v>
      </c>
      <c r="E325" s="4" t="str">
        <f>IF(VLOOKUP($B325,spell_header!$B$2:$G$373,4,FALSE)="√","√","")</f>
        <v>√</v>
      </c>
      <c r="F325" t="str">
        <f>_xlfn.LET(_xlpm.x,VLOOKUP($B325,spell_header!$B$2:$G$373,5,FALSE),IF(_xlpm.x="","",_xlpm.x))</f>
        <v/>
      </c>
      <c r="G325">
        <v>231</v>
      </c>
    </row>
    <row r="326" spans="1:7" ht="15" x14ac:dyDescent="0.2">
      <c r="A326">
        <v>324</v>
      </c>
      <c r="B326" s="1" t="s">
        <v>2043</v>
      </c>
      <c r="C326" t="str">
        <f>_xlfn.LET(_xlpm.x,VLOOKUP($B326,spell_header!$B$2:$G$373,2,FALSE),IF(_xlpm.x="","",_xlpm.x))</f>
        <v>生成单位管理：增益名称过滤</v>
      </c>
      <c r="D326" s="4" t="str">
        <f>IF(VLOOKUP($B326,spell_header!$B$2:$G$373,3,FALSE)="√","√","")</f>
        <v>√</v>
      </c>
      <c r="E326" s="4" t="str">
        <f>IF(VLOOKUP($B326,spell_header!$B$2:$G$373,4,FALSE)="√","√","")</f>
        <v/>
      </c>
      <c r="F326" t="str">
        <f>_xlfn.LET(_xlpm.x,VLOOKUP($B326,spell_header!$B$2:$G$373,5,FALSE),IF(_xlpm.x="","",_xlpm.x))</f>
        <v/>
      </c>
      <c r="G326">
        <v>232</v>
      </c>
    </row>
    <row r="327" spans="1:7" ht="15" x14ac:dyDescent="0.2">
      <c r="A327">
        <v>325</v>
      </c>
      <c r="B327" s="1" t="s">
        <v>2042</v>
      </c>
      <c r="C327" t="str">
        <f>_xlfn.LET(_xlpm.x,VLOOKUP($B327,spell_header!$B$2:$G$373,2,FALSE),IF(_xlpm.x="","",_xlpm.x))</f>
        <v>生成单位管理：最大单位数</v>
      </c>
      <c r="D327" s="4" t="str">
        <f>IF(VLOOKUP($B327,spell_header!$B$2:$G$373,3,FALSE)="√","√","")</f>
        <v>√</v>
      </c>
      <c r="E327" s="4" t="str">
        <f>IF(VLOOKUP($B327,spell_header!$B$2:$G$373,4,FALSE)="√","√","")</f>
        <v/>
      </c>
      <c r="F327" t="str">
        <f>_xlfn.LET(_xlpm.x,VLOOKUP($B327,spell_header!$B$2:$G$373,5,FALSE),IF(_xlpm.x="","",_xlpm.x))</f>
        <v/>
      </c>
      <c r="G327">
        <v>233</v>
      </c>
    </row>
    <row r="328" spans="1:7" ht="15" x14ac:dyDescent="0.2">
      <c r="A328">
        <v>326</v>
      </c>
      <c r="B328" s="1" t="s">
        <v>2025</v>
      </c>
      <c r="C328" t="str">
        <f>_xlfn.LET(_xlpm.x,VLOOKUP($B328,spell_header!$B$2:$G$373,2,FALSE),IF(_xlpm.x="","",_xlpm.x))</f>
        <v>目标器定义</v>
      </c>
      <c r="D328" s="4" t="str">
        <f>IF(VLOOKUP($B328,spell_header!$B$2:$G$373,3,FALSE)="√","√","")</f>
        <v>√</v>
      </c>
      <c r="E328" s="4" t="str">
        <f>IF(VLOOKUP($B328,spell_header!$B$2:$G$373,4,FALSE)="√","√","")</f>
        <v>√</v>
      </c>
      <c r="F328" t="str">
        <f>_xlfn.LET(_xlpm.x,VLOOKUP($B328,spell_header!$B$2:$G$373,5,FALSE),IF(_xlpm.x="","",_xlpm.x))</f>
        <v/>
      </c>
      <c r="G328">
        <v>234</v>
      </c>
    </row>
    <row r="329" spans="1:7" ht="15" x14ac:dyDescent="0.2">
      <c r="A329">
        <v>327</v>
      </c>
      <c r="B329" s="1" t="s">
        <v>2026</v>
      </c>
      <c r="C329" t="str">
        <f>_xlfn.LET(_xlpm.x,VLOOKUP($B329,spell_header!$B$2:$G$373,2,FALSE),IF(_xlpm.x="","",_xlpm.x))</f>
        <v>个性化目标器定义</v>
      </c>
      <c r="D329" s="4" t="str">
        <f>IF(VLOOKUP($B329,spell_header!$B$2:$G$373,3,FALSE)="√","√","")</f>
        <v>√</v>
      </c>
      <c r="E329" s="4" t="str">
        <f>IF(VLOOKUP($B329,spell_header!$B$2:$G$373,4,FALSE)="√","√","")</f>
        <v>√</v>
      </c>
      <c r="F329" t="str">
        <f>_xlfn.LET(_xlpm.x,VLOOKUP($B329,spell_header!$B$2:$G$373,5,FALSE),IF(_xlpm.x="","",_xlpm.x))</f>
        <v/>
      </c>
      <c r="G329">
        <v>235</v>
      </c>
    </row>
    <row r="330" spans="1:7" ht="15" x14ac:dyDescent="0.2">
      <c r="A330">
        <v>328</v>
      </c>
      <c r="B330" s="1" t="s">
        <v>2027</v>
      </c>
      <c r="C330" t="str">
        <f>_xlfn.LET(_xlpm.x,VLOOKUP($B330,spell_header!$B$2:$G$373,2,FALSE),IF(_xlpm.x="","",_xlpm.x))</f>
        <v>鼠标左键单击动作</v>
      </c>
      <c r="D330" s="4" t="str">
        <f>IF(VLOOKUP($B330,spell_header!$B$2:$G$373,3,FALSE)="√","√","")</f>
        <v>√</v>
      </c>
      <c r="E330" s="4" t="str">
        <f>IF(VLOOKUP($B330,spell_header!$B$2:$G$373,4,FALSE)="√","√","")</f>
        <v>√</v>
      </c>
      <c r="F330" t="str">
        <f>_xlfn.LET(_xlpm.x,VLOOKUP($B330,spell_header!$B$2:$G$373,5,FALSE),IF(_xlpm.x="","",_xlpm.x))</f>
        <v/>
      </c>
      <c r="G330">
        <v>236</v>
      </c>
    </row>
    <row r="331" spans="1:7" ht="15" x14ac:dyDescent="0.2">
      <c r="A331">
        <v>329</v>
      </c>
      <c r="B331" s="1" t="s">
        <v>2028</v>
      </c>
      <c r="C331" t="str">
        <f>_xlfn.LET(_xlpm.x,VLOOKUP($B331,spell_header!$B$2:$G$373,2,FALSE),IF(_xlpm.x="","",_xlpm.x))</f>
        <v>鼠标右键单击动作</v>
      </c>
      <c r="D331" s="4" t="str">
        <f>IF(VLOOKUP($B331,spell_header!$B$2:$G$373,3,FALSE)="√","√","")</f>
        <v>√</v>
      </c>
      <c r="E331" s="4" t="str">
        <f>IF(VLOOKUP($B331,spell_header!$B$2:$G$373,4,FALSE)="√","√","")</f>
        <v>√</v>
      </c>
      <c r="F331" t="str">
        <f>_xlfn.LET(_xlpm.x,VLOOKUP($B331,spell_header!$B$2:$G$373,5,FALSE),IF(_xlpm.x="","",_xlpm.x))</f>
        <v/>
      </c>
      <c r="G331">
        <v>237</v>
      </c>
    </row>
    <row r="332" spans="1:7" ht="15" x14ac:dyDescent="0.2">
      <c r="A332">
        <v>330</v>
      </c>
      <c r="B332" s="1" t="s">
        <v>3744</v>
      </c>
      <c r="C332" t="str">
        <f>_xlfn.LET(_xlpm.x,VLOOKUP($B332,spell_header!$B$2:$G$373,2,FALSE),IF(_xlpm.x="","",_xlpm.x))</f>
        <v>具有模式专属瞄准指示器</v>
      </c>
      <c r="D332" s="4" t="str">
        <f>IF(VLOOKUP($B332,spell_header!$B$2:$G$373,3,FALSE)="√","√","")</f>
        <v>√</v>
      </c>
      <c r="E332" s="4" t="str">
        <f>IF(VLOOKUP($B332,spell_header!$B$2:$G$373,4,FALSE)="√","√","")</f>
        <v>√</v>
      </c>
      <c r="F332" t="b">
        <f>_xlfn.LET(_xlpm.x,VLOOKUP($B332,spell_header!$B$2:$G$373,5,FALSE),IF(_xlpm.x="","",_xlpm.x))</f>
        <v>0</v>
      </c>
      <c r="G332">
        <v>238</v>
      </c>
    </row>
    <row r="333" spans="1:7" ht="15" x14ac:dyDescent="0.2">
      <c r="A333">
        <v>331</v>
      </c>
      <c r="B333" s="1" t="s">
        <v>1725</v>
      </c>
      <c r="C333" t="str">
        <f>_xlfn.LET(_xlpm.x,VLOOKUP($B333,spell_header!$B$2:$G$373,2,FALSE),IF(_xlpm.x="","",_xlpm.x))</f>
        <v/>
      </c>
      <c r="D333" s="4" t="str">
        <f>IF(VLOOKUP($B333,spell_header!$B$2:$G$373,3,FALSE)="√","√","")</f>
        <v>√</v>
      </c>
      <c r="E333" s="4" t="str">
        <f>IF(VLOOKUP($B333,spell_header!$B$2:$G$373,4,FALSE)="√","√","")</f>
        <v>√</v>
      </c>
      <c r="F333" t="str">
        <f>_xlfn.LET(_xlpm.x,VLOOKUP($B333,spell_header!$B$2:$G$373,5,FALSE),IF(_xlpm.x="","",_xlpm.x))</f>
        <v/>
      </c>
      <c r="G333">
        <v>239</v>
      </c>
    </row>
    <row r="334" spans="1:7" ht="15" x14ac:dyDescent="0.2">
      <c r="A334">
        <v>332</v>
      </c>
      <c r="B334" s="1" t="s">
        <v>1726</v>
      </c>
      <c r="C334" t="str">
        <f>_xlfn.LET(_xlpm.x,VLOOKUP($B334,spell_header!$B$2:$G$373,2,FALSE),IF(_xlpm.x="","",_xlpm.x))</f>
        <v/>
      </c>
      <c r="D334" s="4" t="str">
        <f>IF(VLOOKUP($B334,spell_header!$B$2:$G$373,3,FALSE)="√","√","")</f>
        <v>√</v>
      </c>
      <c r="E334" s="4" t="str">
        <f>IF(VLOOKUP($B334,spell_header!$B$2:$G$373,4,FALSE)="√","√","")</f>
        <v>√</v>
      </c>
      <c r="F334" t="b">
        <f>_xlfn.LET(_xlpm.x,VLOOKUP($B334,spell_header!$B$2:$G$373,5,FALSE),IF(_xlpm.x="","",_xlpm.x))</f>
        <v>0</v>
      </c>
      <c r="G334">
        <v>240</v>
      </c>
    </row>
    <row r="335" spans="1:7" ht="15" x14ac:dyDescent="0.2">
      <c r="A335">
        <v>333</v>
      </c>
      <c r="B335" s="1" t="s">
        <v>1478</v>
      </c>
      <c r="C335" t="str">
        <f>_xlfn.LET(_xlpm.x,VLOOKUP($B335,spell_header!$B$2:$G$373,2,FALSE),IF(_xlpm.x="","",_xlpm.x))</f>
        <v>自我控制状态下目标选择优先级列表</v>
      </c>
      <c r="D335" s="4" t="str">
        <f>IF(VLOOKUP($B335,spell_header!$B$2:$G$373,3,FALSE)="√","√","")</f>
        <v>√</v>
      </c>
      <c r="E335" s="4" t="str">
        <f>IF(VLOOKUP($B335,spell_header!$B$2:$G$373,4,FALSE)="√","√","")</f>
        <v/>
      </c>
      <c r="F335" t="str">
        <f>_xlfn.LET(_xlpm.x,VLOOKUP($B335,spell_header!$B$2:$G$373,5,FALSE),IF(_xlpm.x="","",_xlpm.x))</f>
        <v/>
      </c>
      <c r="G335">
        <v>245</v>
      </c>
    </row>
    <row r="336" spans="1:7" ht="15" x14ac:dyDescent="0.2">
      <c r="A336">
        <v>334</v>
      </c>
      <c r="B336" s="1" t="s">
        <v>1479</v>
      </c>
      <c r="C336" t="str">
        <f>_xlfn.LET(_xlpm.x,VLOOKUP($B336,spell_header!$B$2:$G$373,2,FALSE),IF(_xlpm.x="","",_xlpm.x))</f>
        <v>自我控制技能旗标</v>
      </c>
      <c r="D336" s="4" t="str">
        <f>IF(VLOOKUP($B336,spell_header!$B$2:$G$373,3,FALSE)="√","√","")</f>
        <v>√</v>
      </c>
      <c r="E336" s="4" t="str">
        <f>IF(VLOOKUP($B336,spell_header!$B$2:$G$373,4,FALSE)="√","√","")</f>
        <v/>
      </c>
      <c r="F336" t="str">
        <f>_xlfn.LET(_xlpm.x,VLOOKUP($B336,spell_header!$B$2:$G$373,5,FALSE),IF(_xlpm.x="","",_xlpm.x))</f>
        <v/>
      </c>
      <c r="G336">
        <v>246</v>
      </c>
    </row>
    <row r="337" spans="1:7" ht="15" x14ac:dyDescent="0.2">
      <c r="A337">
        <v>335</v>
      </c>
      <c r="B337" s="1" t="s">
        <v>1480</v>
      </c>
      <c r="C337" t="str">
        <f>_xlfn.LET(_xlpm.x,VLOOKUP($B337,spell_header!$B$2:$G$373,2,FALSE),IF(_xlpm.x="","",_xlpm.x))</f>
        <v>增益描述键</v>
      </c>
      <c r="D337" s="4" t="str">
        <f>IF(VLOOKUP($B337,spell_header!$B$2:$G$373,3,FALSE)="√","√","")</f>
        <v>√</v>
      </c>
      <c r="E337" s="4" t="str">
        <f>IF(VLOOKUP($B337,spell_header!$B$2:$G$373,4,FALSE)="√","√","")</f>
        <v>√</v>
      </c>
      <c r="F337" t="str">
        <f>_xlfn.LET(_xlpm.x,VLOOKUP($B337,spell_header!$B$2:$G$373,5,FALSE),IF(_xlpm.x="","",_xlpm.x))</f>
        <v/>
      </c>
      <c r="G337">
        <v>254</v>
      </c>
    </row>
    <row r="338" spans="1:7" ht="15" x14ac:dyDescent="0.2">
      <c r="A338">
        <v>336</v>
      </c>
      <c r="B338" s="1" t="s">
        <v>1481</v>
      </c>
      <c r="C338" t="str">
        <f>_xlfn.LET(_xlpm.x,VLOOKUP($B338,spell_header!$B$2:$G$373,2,FALSE),IF(_xlpm.x="","",_xlpm.x))</f>
        <v>增益说明文本对象名称</v>
      </c>
      <c r="D338" s="4" t="str">
        <f>IF(VLOOKUP($B338,spell_header!$B$2:$G$373,3,FALSE)="√","√","")</f>
        <v>√</v>
      </c>
      <c r="E338" s="4" t="str">
        <f>IF(VLOOKUP($B338,spell_header!$B$2:$G$373,4,FALSE)="√","√","")</f>
        <v/>
      </c>
      <c r="F338" t="str">
        <f>_xlfn.LET(_xlpm.x,VLOOKUP($B338,spell_header!$B$2:$G$373,5,FALSE),IF(_xlpm.x="","",_xlpm.x))</f>
        <v/>
      </c>
      <c r="G338">
        <v>247</v>
      </c>
    </row>
    <row r="339" spans="1:7" ht="15" x14ac:dyDescent="0.2">
      <c r="A339">
        <v>337</v>
      </c>
      <c r="B339" s="1" t="s">
        <v>1482</v>
      </c>
      <c r="C339" t="str">
        <f>_xlfn.LET(_xlpm.x,VLOOKUP($B339,spell_header!$B$2:$G$373,2,FALSE),IF(_xlpm.x="","",_xlpm.x))</f>
        <v>增益说明文本格式</v>
      </c>
      <c r="D339" s="4" t="str">
        <f>IF(VLOOKUP($B339,spell_header!$B$2:$G$373,3,FALSE)="√","√","")</f>
        <v>√</v>
      </c>
      <c r="E339" s="4" t="str">
        <f>IF(VLOOKUP($B339,spell_header!$B$2:$G$373,4,FALSE)="√","√","")</f>
        <v/>
      </c>
      <c r="F339" t="str">
        <f>_xlfn.LET(_xlpm.x,VLOOKUP($B339,spell_header!$B$2:$G$373,5,FALSE),IF(_xlpm.x="","",_xlpm.x))</f>
        <v/>
      </c>
      <c r="G339">
        <v>248</v>
      </c>
    </row>
    <row r="340" spans="1:7" ht="15" x14ac:dyDescent="0.2">
      <c r="A340">
        <v>338</v>
      </c>
      <c r="B340" s="1" t="s">
        <v>3745</v>
      </c>
      <c r="C340" t="str">
        <f>_xlfn.LET(_xlpm.x,VLOOKUP($B340,spell_header!$B$2:$G$373,2,FALSE),IF(_xlpm.x="","",_xlpm.x))</f>
        <v>增益扩展说明文本可用性</v>
      </c>
      <c r="D340" s="4" t="str">
        <f>IF(VLOOKUP($B340,spell_header!$B$2:$G$373,3,FALSE)="√","√","")</f>
        <v>√</v>
      </c>
      <c r="E340" s="4" t="str">
        <f>IF(VLOOKUP($B340,spell_header!$B$2:$G$373,4,FALSE)="√","√","")</f>
        <v>√</v>
      </c>
      <c r="F340" t="b">
        <f>_xlfn.LET(_xlpm.x,VLOOKUP($B340,spell_header!$B$2:$G$373,5,FALSE),IF(_xlpm.x="","",_xlpm.x))</f>
        <v>1</v>
      </c>
      <c r="G340">
        <v>250</v>
      </c>
    </row>
    <row r="341" spans="1:7" ht="15" x14ac:dyDescent="0.2">
      <c r="A341">
        <v>339</v>
      </c>
      <c r="B341" s="1" t="s">
        <v>1483</v>
      </c>
      <c r="C341" t="str">
        <f>_xlfn.LET(_xlpm.x,VLOOKUP($B341,spell_header!$B$2:$G$373,2,FALSE),IF(_xlpm.x="","",_xlpm.x))</f>
        <v>增益名称键</v>
      </c>
      <c r="D341" s="4" t="str">
        <f>IF(VLOOKUP($B341,spell_header!$B$2:$G$373,3,FALSE)="√","√","")</f>
        <v>√</v>
      </c>
      <c r="E341" s="4" t="str">
        <f>IF(VLOOKUP($B341,spell_header!$B$2:$G$373,4,FALSE)="√","√","")</f>
        <v/>
      </c>
      <c r="F341" t="str">
        <f>_xlfn.LET(_xlpm.x,VLOOKUP($B341,spell_header!$B$2:$G$373,5,FALSE),IF(_xlpm.x="","",_xlpm.x))</f>
        <v/>
      </c>
      <c r="G341">
        <v>251</v>
      </c>
    </row>
    <row r="342" spans="1:7" ht="15" x14ac:dyDescent="0.2">
      <c r="A342">
        <v>340</v>
      </c>
      <c r="B342" s="1" t="s">
        <v>3746</v>
      </c>
      <c r="C342" t="str">
        <f>_xlfn.LET(_xlpm.x,VLOOKUP($B342,spell_header!$B$2:$G$373,2,FALSE),IF(_xlpm.x="","",_xlpm.x))</f>
        <v>增益冷却时间键</v>
      </c>
      <c r="D342" s="4" t="str">
        <f>IF(VLOOKUP($B342,spell_header!$B$2:$G$373,3,FALSE)="√","√","")</f>
        <v/>
      </c>
      <c r="E342" s="4" t="str">
        <f>IF(VLOOKUP($B342,spell_header!$B$2:$G$373,4,FALSE)="√","√","")</f>
        <v/>
      </c>
      <c r="F342" t="str">
        <f>_xlfn.LET(_xlpm.x,VLOOKUP($B342,spell_header!$B$2:$G$373,5,FALSE),IF(_xlpm.x="","",_xlpm.x))</f>
        <v/>
      </c>
      <c r="G342">
        <v>269</v>
      </c>
    </row>
    <row r="343" spans="1:7" ht="15" x14ac:dyDescent="0.2">
      <c r="A343">
        <v>341</v>
      </c>
      <c r="B343" s="1" t="s">
        <v>1484</v>
      </c>
      <c r="C343" t="str">
        <f>_xlfn.LET(_xlpm.x,VLOOKUP($B343,spell_header!$B$2:$G$373,2,FALSE),IF(_xlpm.x="","",_xlpm.x))</f>
        <v>增益说明文本键</v>
      </c>
      <c r="D343" s="4" t="str">
        <f>IF(VLOOKUP($B343,spell_header!$B$2:$G$373,3,FALSE)="√","√","")</f>
        <v>√</v>
      </c>
      <c r="E343" s="4" t="str">
        <f>IF(VLOOKUP($B343,spell_header!$B$2:$G$373,4,FALSE)="√","√","")</f>
        <v>√</v>
      </c>
      <c r="F343" t="str">
        <f>_xlfn.LET(_xlpm.x,VLOOKUP($B343,spell_header!$B$2:$G$373,5,FALSE),IF(_xlpm.x="","",_xlpm.x))</f>
        <v/>
      </c>
      <c r="G343">
        <v>259</v>
      </c>
    </row>
    <row r="344" spans="1:7" ht="15" x14ac:dyDescent="0.2">
      <c r="A344">
        <v>342</v>
      </c>
      <c r="B344" s="1" t="s">
        <v>1485</v>
      </c>
      <c r="C344" t="str">
        <f>_xlfn.LET(_xlpm.x,VLOOKUP($B344,spell_header!$B$2:$G$373,2,FALSE),IF(_xlpm.x="","",_xlpm.x))</f>
        <v>增益简述键</v>
      </c>
      <c r="D344" s="4" t="str">
        <f>IF(VLOOKUP($B344,spell_header!$B$2:$G$373,3,FALSE)="√","√","")</f>
        <v>√</v>
      </c>
      <c r="E344" s="4" t="str">
        <f>IF(VLOOKUP($B344,spell_header!$B$2:$G$373,4,FALSE)="√","√","")</f>
        <v>√</v>
      </c>
      <c r="F344" t="str">
        <f>_xlfn.LET(_xlpm.x,VLOOKUP($B344,spell_header!$B$2:$G$373,5,FALSE),IF(_xlpm.x="","",_xlpm.x))</f>
        <v/>
      </c>
      <c r="G344">
        <v>264</v>
      </c>
    </row>
    <row r="345" spans="1:7" ht="15" x14ac:dyDescent="0.2">
      <c r="A345">
        <v>343</v>
      </c>
      <c r="B345" s="1" t="s">
        <v>1486</v>
      </c>
      <c r="C345" t="str">
        <f>_xlfn.LET(_xlpm.x,VLOOKUP($B345,spell_header!$B$2:$G$373,2,FALSE),IF(_xlpm.x="","",_xlpm.x))</f>
        <v>增益持续效果条件</v>
      </c>
      <c r="D345" s="4" t="str">
        <f>IF(VLOOKUP($B345,spell_header!$B$2:$G$373,3,FALSE)="√","√","")</f>
        <v>√</v>
      </c>
      <c r="E345" s="4" t="str">
        <f>IF(VLOOKUP($B345,spell_header!$B$2:$G$373,4,FALSE)="√","√","")</f>
        <v>√</v>
      </c>
      <c r="F345" t="str">
        <f>_xlfn.LET(_xlpm.x,VLOOKUP($B345,spell_header!$B$2:$G$373,5,FALSE),IF(_xlpm.x="","",_xlpm.x))</f>
        <v/>
      </c>
      <c r="G345">
        <v>274</v>
      </c>
    </row>
    <row r="346" spans="1:7" ht="15" x14ac:dyDescent="0.2">
      <c r="A346">
        <v>344</v>
      </c>
      <c r="B346" s="1" t="s">
        <v>1487</v>
      </c>
      <c r="C346" t="str">
        <f>_xlfn.LET(_xlpm.x,VLOOKUP($B346,spell_header!$B$2:$G$373,2,FALSE),IF(_xlpm.x="","",_xlpm.x))</f>
        <v>增益存在持续时间</v>
      </c>
      <c r="D346" s="4" t="str">
        <f>IF(VLOOKUP($B346,spell_header!$B$2:$G$373,3,FALSE)="√","√","")</f>
        <v>√</v>
      </c>
      <c r="E346" s="4" t="str">
        <f>IF(VLOOKUP($B346,spell_header!$B$2:$G$373,4,FALSE)="√","√","")</f>
        <v>√</v>
      </c>
      <c r="F346" t="b">
        <f>_xlfn.LET(_xlpm.x,VLOOKUP($B346,spell_header!$B$2:$G$373,5,FALSE),IF(_xlpm.x="","",_xlpm.x))</f>
        <v>1</v>
      </c>
      <c r="G346">
        <v>275</v>
      </c>
    </row>
    <row r="347" spans="1:7" ht="15" x14ac:dyDescent="0.2">
      <c r="A347">
        <v>345</v>
      </c>
      <c r="B347" s="1" t="s">
        <v>1488</v>
      </c>
      <c r="C347" t="str">
        <f>_xlfn.LET(_xlpm.x,VLOOKUP($B347,spell_header!$B$2:$G$373,2,FALSE),IF(_xlpm.x="","",_xlpm.x))</f>
        <v>增益显示持续时间</v>
      </c>
      <c r="D347" s="4" t="str">
        <f>IF(VLOOKUP($B347,spell_header!$B$2:$G$373,3,FALSE)="√","√","")</f>
        <v>√</v>
      </c>
      <c r="E347" s="4" t="str">
        <f>IF(VLOOKUP($B347,spell_header!$B$2:$G$373,4,FALSE)="√","√","")</f>
        <v>√</v>
      </c>
      <c r="F347" t="b">
        <f>_xlfn.LET(_xlpm.x,VLOOKUP($B347,spell_header!$B$2:$G$373,5,FALSE),IF(_xlpm.x="","",_xlpm.x))</f>
        <v>1</v>
      </c>
      <c r="G347">
        <v>276</v>
      </c>
    </row>
    <row r="348" spans="1:7" ht="15" x14ac:dyDescent="0.2">
      <c r="A348">
        <v>346</v>
      </c>
      <c r="B348" s="1" t="s">
        <v>1489</v>
      </c>
      <c r="C348" t="str">
        <f>_xlfn.LET(_xlpm.x,VLOOKUP($B348,spell_header!$B$2:$G$373,2,FALSE),IF(_xlpm.x="","",_xlpm.x))</f>
        <v>增益显示累积时间</v>
      </c>
      <c r="D348" s="4" t="str">
        <f>IF(VLOOKUP($B348,spell_header!$B$2:$G$373,3,FALSE)="√","√","")</f>
        <v>√</v>
      </c>
      <c r="E348" s="4" t="str">
        <f>IF(VLOOKUP($B348,spell_header!$B$2:$G$373,4,FALSE)="√","√","")</f>
        <v>√</v>
      </c>
      <c r="F348" t="b">
        <f>_xlfn.LET(_xlpm.x,VLOOKUP($B348,spell_header!$B$2:$G$373,5,FALSE),IF(_xlpm.x="","",_xlpm.x))</f>
        <v>1</v>
      </c>
      <c r="G348">
        <v>277</v>
      </c>
    </row>
    <row r="349" spans="1:7" ht="15" x14ac:dyDescent="0.2">
      <c r="A349">
        <v>347</v>
      </c>
      <c r="B349" s="1" t="s">
        <v>1490</v>
      </c>
      <c r="C349" t="str">
        <f>_xlfn.LET(_xlpm.x,VLOOKUP($B349,spell_header!$B$2:$G$373,2,FALSE),IF(_xlpm.x="","",_xlpm.x))</f>
        <v>增益浮点数显示精度</v>
      </c>
      <c r="D349" s="4" t="str">
        <f>IF(VLOOKUP($B349,spell_header!$B$2:$G$373,3,FALSE)="√","√","")</f>
        <v>√</v>
      </c>
      <c r="E349" s="4" t="str">
        <f>IF(VLOOKUP($B349,spell_header!$B$2:$G$373,4,FALSE)="√","√","")</f>
        <v>√</v>
      </c>
      <c r="F349" t="str">
        <f>_xlfn.LET(_xlpm.x,VLOOKUP($B349,spell_header!$B$2:$G$373,5,FALSE),IF(_xlpm.x="","",_xlpm.x))</f>
        <v/>
      </c>
      <c r="G349">
        <v>278</v>
      </c>
    </row>
    <row r="350" spans="1:7" ht="15" x14ac:dyDescent="0.2">
      <c r="A350">
        <v>348</v>
      </c>
      <c r="B350" s="1" t="s">
        <v>1491</v>
      </c>
      <c r="C350" t="str">
        <f>_xlfn.LET(_xlpm.x,VLOOKUP($B350,spell_header!$B$2:$G$373,2,FALSE),IF(_xlpm.x="","",_xlpm.x))</f>
        <v>增益属性旗标</v>
      </c>
      <c r="D350" s="4" t="str">
        <f>IF(VLOOKUP($B350,spell_header!$B$2:$G$373,3,FALSE)="√","√","")</f>
        <v>√</v>
      </c>
      <c r="E350" s="4" t="str">
        <f>IF(VLOOKUP($B350,spell_header!$B$2:$G$373,4,FALSE)="√","√","")</f>
        <v>√</v>
      </c>
      <c r="F350" t="str">
        <f>_xlfn.LET(_xlpm.x,VLOOKUP($B350,spell_header!$B$2:$G$373,5,FALSE),IF(_xlpm.x="","",_xlpm.x))</f>
        <v/>
      </c>
      <c r="G350">
        <v>249</v>
      </c>
    </row>
    <row r="351" spans="1:7" ht="15" x14ac:dyDescent="0.2">
      <c r="A351">
        <v>349</v>
      </c>
      <c r="B351" s="6" t="s">
        <v>1492</v>
      </c>
      <c r="C351" t="str">
        <f>_xlfn.LET(_xlpm.x,VLOOKUP($B351,spell_header!$B$2:$G$373,2,FALSE),IF(_xlpm.x="","",_xlpm.x))</f>
        <v>增益描述（中文）</v>
      </c>
      <c r="D351" s="4" t="str">
        <f>IF(VLOOKUP($B351,spell_header!$B$2:$G$373,3,FALSE)="√","√","")</f>
        <v/>
      </c>
      <c r="E351" s="4" t="str">
        <f>IF(VLOOKUP($B351,spell_header!$B$2:$G$373,4,FALSE)="√","√","")</f>
        <v>√</v>
      </c>
      <c r="F351" t="str">
        <f>_xlfn.LET(_xlpm.x,VLOOKUP($B351,spell_header!$B$2:$G$373,5,FALSE),IF(_xlpm.x="","",_xlpm.x))</f>
        <v/>
      </c>
      <c r="G351">
        <v>255</v>
      </c>
    </row>
    <row r="352" spans="1:7" ht="15" x14ac:dyDescent="0.2">
      <c r="A352">
        <v>350</v>
      </c>
      <c r="B352" s="6" t="s">
        <v>1493</v>
      </c>
      <c r="C352" t="str">
        <f>_xlfn.LET(_xlpm.x,VLOOKUP($B352,spell_header!$B$2:$G$373,2,FALSE),IF(_xlpm.x="","",_xlpm.x))</f>
        <v>增益描述（英文）</v>
      </c>
      <c r="D352" s="4" t="str">
        <f>IF(VLOOKUP($B352,spell_header!$B$2:$G$373,3,FALSE)="√","√","")</f>
        <v/>
      </c>
      <c r="E352" s="4" t="str">
        <f>IF(VLOOKUP($B352,spell_header!$B$2:$G$373,4,FALSE)="√","√","")</f>
        <v>√</v>
      </c>
      <c r="F352" t="str">
        <f>_xlfn.LET(_xlpm.x,VLOOKUP($B352,spell_header!$B$2:$G$373,5,FALSE),IF(_xlpm.x="","",_xlpm.x))</f>
        <v/>
      </c>
      <c r="G352">
        <v>257</v>
      </c>
    </row>
    <row r="353" spans="1:7" ht="15" x14ac:dyDescent="0.2">
      <c r="A353">
        <v>351</v>
      </c>
      <c r="B353" s="6" t="s">
        <v>1494</v>
      </c>
      <c r="C353" t="str">
        <f>_xlfn.LET(_xlpm.x,VLOOKUP($B353,spell_header!$B$2:$G$373,2,FALSE),IF(_xlpm.x="","",_xlpm.x))</f>
        <v>增益描述（中文/数值转换）</v>
      </c>
      <c r="D353" s="4" t="str">
        <f>IF(VLOOKUP($B353,spell_header!$B$2:$G$373,3,FALSE)="√","√","")</f>
        <v/>
      </c>
      <c r="E353" s="4" t="str">
        <f>IF(VLOOKUP($B353,spell_header!$B$2:$G$373,4,FALSE)="√","√","")</f>
        <v>√</v>
      </c>
      <c r="F353" t="str">
        <f>_xlfn.LET(_xlpm.x,VLOOKUP($B353,spell_header!$B$2:$G$373,5,FALSE),IF(_xlpm.x="","",_xlpm.x))</f>
        <v/>
      </c>
      <c r="G353">
        <v>256</v>
      </c>
    </row>
    <row r="354" spans="1:7" ht="15" x14ac:dyDescent="0.2">
      <c r="A354">
        <v>352</v>
      </c>
      <c r="B354" s="6" t="s">
        <v>1495</v>
      </c>
      <c r="C354" t="str">
        <f>_xlfn.LET(_xlpm.x,VLOOKUP($B354,spell_header!$B$2:$G$373,2,FALSE),IF(_xlpm.x="","",_xlpm.x))</f>
        <v>增益描述（英文/数值转换）</v>
      </c>
      <c r="D354" s="4" t="str">
        <f>IF(VLOOKUP($B354,spell_header!$B$2:$G$373,3,FALSE)="√","√","")</f>
        <v/>
      </c>
      <c r="E354" s="4" t="str">
        <f>IF(VLOOKUP($B354,spell_header!$B$2:$G$373,4,FALSE)="√","√","")</f>
        <v>√</v>
      </c>
      <c r="F354" t="str">
        <f>_xlfn.LET(_xlpm.x,VLOOKUP($B354,spell_header!$B$2:$G$373,5,FALSE),IF(_xlpm.x="","",_xlpm.x))</f>
        <v/>
      </c>
      <c r="G354">
        <v>258</v>
      </c>
    </row>
    <row r="355" spans="1:7" ht="15" x14ac:dyDescent="0.2">
      <c r="A355">
        <v>353</v>
      </c>
      <c r="B355" s="6" t="s">
        <v>1496</v>
      </c>
      <c r="C355" t="str">
        <f>_xlfn.LET(_xlpm.x,VLOOKUP($B355,spell_header!$B$2:$G$373,2,FALSE),IF(_xlpm.x="","",_xlpm.x))</f>
        <v>增益名称（中文）</v>
      </c>
      <c r="D355" s="4" t="str">
        <f>IF(VLOOKUP($B355,spell_header!$B$2:$G$373,3,FALSE)="√","√","")</f>
        <v/>
      </c>
      <c r="E355" s="4" t="str">
        <f>IF(VLOOKUP($B355,spell_header!$B$2:$G$373,4,FALSE)="√","√","")</f>
        <v/>
      </c>
      <c r="F355" t="str">
        <f>_xlfn.LET(_xlpm.x,VLOOKUP($B355,spell_header!$B$2:$G$373,5,FALSE),IF(_xlpm.x="","",_xlpm.x))</f>
        <v/>
      </c>
      <c r="G355">
        <v>252</v>
      </c>
    </row>
    <row r="356" spans="1:7" ht="15" x14ac:dyDescent="0.2">
      <c r="A356">
        <v>354</v>
      </c>
      <c r="B356" s="6" t="s">
        <v>1497</v>
      </c>
      <c r="C356" t="str">
        <f>_xlfn.LET(_xlpm.x,VLOOKUP($B356,spell_header!$B$2:$G$373,2,FALSE),IF(_xlpm.x="","",_xlpm.x))</f>
        <v>增益名称（英文）</v>
      </c>
      <c r="D356" s="4" t="str">
        <f>IF(VLOOKUP($B356,spell_header!$B$2:$G$373,3,FALSE)="√","√","")</f>
        <v/>
      </c>
      <c r="E356" s="4" t="str">
        <f>IF(VLOOKUP($B356,spell_header!$B$2:$G$373,4,FALSE)="√","√","")</f>
        <v/>
      </c>
      <c r="F356" t="str">
        <f>_xlfn.LET(_xlpm.x,VLOOKUP($B356,spell_header!$B$2:$G$373,5,FALSE),IF(_xlpm.x="","",_xlpm.x))</f>
        <v/>
      </c>
      <c r="G356">
        <v>253</v>
      </c>
    </row>
    <row r="357" spans="1:7" ht="15" x14ac:dyDescent="0.2">
      <c r="A357">
        <v>355</v>
      </c>
      <c r="B357" s="6" t="s">
        <v>3748</v>
      </c>
      <c r="C357" t="str">
        <f>_xlfn.LET(_xlpm.x,VLOOKUP($B357,spell_header!$B$2:$G$373,2,FALSE),IF(_xlpm.x="","",_xlpm.x))</f>
        <v>增益冷却时间（中文）</v>
      </c>
      <c r="D357" s="4" t="str">
        <f>IF(VLOOKUP($B357,spell_header!$B$2:$G$373,3,FALSE)="√","√","")</f>
        <v/>
      </c>
      <c r="E357" s="4" t="str">
        <f>IF(VLOOKUP($B357,spell_header!$B$2:$G$373,4,FALSE)="√","√","")</f>
        <v>√</v>
      </c>
      <c r="F357" t="str">
        <f>_xlfn.LET(_xlpm.x,VLOOKUP($B357,spell_header!$B$2:$G$373,5,FALSE),IF(_xlpm.x="","",_xlpm.x))</f>
        <v/>
      </c>
      <c r="G357">
        <v>270</v>
      </c>
    </row>
    <row r="358" spans="1:7" ht="15" x14ac:dyDescent="0.2">
      <c r="A358">
        <v>356</v>
      </c>
      <c r="B358" s="6" t="s">
        <v>3747</v>
      </c>
      <c r="C358" t="str">
        <f>_xlfn.LET(_xlpm.x,VLOOKUP($B358,spell_header!$B$2:$G$373,2,FALSE),IF(_xlpm.x="","",_xlpm.x))</f>
        <v>增益冷却时间（英文）</v>
      </c>
      <c r="D358" s="4" t="str">
        <f>IF(VLOOKUP($B358,spell_header!$B$2:$G$373,3,FALSE)="√","√","")</f>
        <v/>
      </c>
      <c r="E358" s="4" t="str">
        <f>IF(VLOOKUP($B358,spell_header!$B$2:$G$373,4,FALSE)="√","√","")</f>
        <v>√</v>
      </c>
      <c r="F358" t="str">
        <f>_xlfn.LET(_xlpm.x,VLOOKUP($B358,spell_header!$B$2:$G$373,5,FALSE),IF(_xlpm.x="","",_xlpm.x))</f>
        <v/>
      </c>
      <c r="G358">
        <v>271</v>
      </c>
    </row>
    <row r="359" spans="1:7" ht="15" x14ac:dyDescent="0.2">
      <c r="A359">
        <v>357</v>
      </c>
      <c r="B359" s="6" t="s">
        <v>3788</v>
      </c>
      <c r="C359" t="str">
        <f>_xlfn.LET(_xlpm.x,VLOOKUP($B359,spell_header!$B$2:$G$373,2,FALSE),IF(_xlpm.x="","",_xlpm.x))</f>
        <v>增益冷却时间（中文/数值转换）</v>
      </c>
      <c r="D359" s="4" t="str">
        <f>IF(VLOOKUP($B359,spell_header!$B$2:$G$373,3,FALSE)="√","√","")</f>
        <v/>
      </c>
      <c r="E359" s="4" t="str">
        <f>IF(VLOOKUP($B359,spell_header!$B$2:$G$373,4,FALSE)="√","√","")</f>
        <v>√</v>
      </c>
      <c r="F359" t="str">
        <f>_xlfn.LET(_xlpm.x,VLOOKUP($B359,spell_header!$B$2:$G$373,5,FALSE),IF(_xlpm.x="","",_xlpm.x))</f>
        <v/>
      </c>
      <c r="G359">
        <v>272</v>
      </c>
    </row>
    <row r="360" spans="1:7" ht="15" x14ac:dyDescent="0.2">
      <c r="A360">
        <v>358</v>
      </c>
      <c r="B360" s="6" t="s">
        <v>3789</v>
      </c>
      <c r="C360" t="str">
        <f>_xlfn.LET(_xlpm.x,VLOOKUP($B360,spell_header!$B$2:$G$373,2,FALSE),IF(_xlpm.x="","",_xlpm.x))</f>
        <v>增益冷却时间（英文/数值转换）</v>
      </c>
      <c r="D360" s="4" t="str">
        <f>IF(VLOOKUP($B360,spell_header!$B$2:$G$373,3,FALSE)="√","√","")</f>
        <v/>
      </c>
      <c r="E360" s="4" t="str">
        <f>IF(VLOOKUP($B360,spell_header!$B$2:$G$373,4,FALSE)="√","√","")</f>
        <v>√</v>
      </c>
      <c r="F360" t="str">
        <f>_xlfn.LET(_xlpm.x,VLOOKUP($B360,spell_header!$B$2:$G$373,5,FALSE),IF(_xlpm.x="","",_xlpm.x))</f>
        <v/>
      </c>
      <c r="G360">
        <v>273</v>
      </c>
    </row>
    <row r="361" spans="1:7" ht="15" x14ac:dyDescent="0.2">
      <c r="A361">
        <v>359</v>
      </c>
      <c r="B361" s="6" t="s">
        <v>1498</v>
      </c>
      <c r="C361" t="str">
        <f>_xlfn.LET(_xlpm.x,VLOOKUP($B361,spell_header!$B$2:$G$373,2,FALSE),IF(_xlpm.x="","",_xlpm.x))</f>
        <v>增益说明文本（中文）</v>
      </c>
      <c r="D361" s="4" t="str">
        <f>IF(VLOOKUP($B361,spell_header!$B$2:$G$373,3,FALSE)="√","√","")</f>
        <v/>
      </c>
      <c r="E361" s="4" t="str">
        <f>IF(VLOOKUP($B361,spell_header!$B$2:$G$373,4,FALSE)="√","√","")</f>
        <v>√</v>
      </c>
      <c r="F361" t="str">
        <f>_xlfn.LET(_xlpm.x,VLOOKUP($B361,spell_header!$B$2:$G$373,5,FALSE),IF(_xlpm.x="","",_xlpm.x))</f>
        <v/>
      </c>
      <c r="G361">
        <v>260</v>
      </c>
    </row>
    <row r="362" spans="1:7" ht="15" x14ac:dyDescent="0.2">
      <c r="A362">
        <v>360</v>
      </c>
      <c r="B362" s="6" t="s">
        <v>1499</v>
      </c>
      <c r="C362" t="str">
        <f>_xlfn.LET(_xlpm.x,VLOOKUP($B362,spell_header!$B$2:$G$373,2,FALSE),IF(_xlpm.x="","",_xlpm.x))</f>
        <v>增益说明文本（英文）</v>
      </c>
      <c r="D362" s="4" t="str">
        <f>IF(VLOOKUP($B362,spell_header!$B$2:$G$373,3,FALSE)="√","√","")</f>
        <v/>
      </c>
      <c r="E362" s="4" t="str">
        <f>IF(VLOOKUP($B362,spell_header!$B$2:$G$373,4,FALSE)="√","√","")</f>
        <v>√</v>
      </c>
      <c r="F362" t="str">
        <f>_xlfn.LET(_xlpm.x,VLOOKUP($B362,spell_header!$B$2:$G$373,5,FALSE),IF(_xlpm.x="","",_xlpm.x))</f>
        <v/>
      </c>
      <c r="G362">
        <v>262</v>
      </c>
    </row>
    <row r="363" spans="1:7" ht="15" x14ac:dyDescent="0.2">
      <c r="A363">
        <v>361</v>
      </c>
      <c r="B363" s="6" t="s">
        <v>1500</v>
      </c>
      <c r="C363" t="str">
        <f>_xlfn.LET(_xlpm.x,VLOOKUP($B363,spell_header!$B$2:$G$373,2,FALSE),IF(_xlpm.x="","",_xlpm.x))</f>
        <v>增益说明文本（中文/数值转换）</v>
      </c>
      <c r="D363" s="4" t="str">
        <f>IF(VLOOKUP($B363,spell_header!$B$2:$G$373,3,FALSE)="√","√","")</f>
        <v/>
      </c>
      <c r="E363" s="4" t="str">
        <f>IF(VLOOKUP($B363,spell_header!$B$2:$G$373,4,FALSE)="√","√","")</f>
        <v>√</v>
      </c>
      <c r="F363" t="str">
        <f>_xlfn.LET(_xlpm.x,VLOOKUP($B363,spell_header!$B$2:$G$373,5,FALSE),IF(_xlpm.x="","",_xlpm.x))</f>
        <v/>
      </c>
      <c r="G363">
        <v>261</v>
      </c>
    </row>
    <row r="364" spans="1:7" ht="15" x14ac:dyDescent="0.2">
      <c r="A364">
        <v>362</v>
      </c>
      <c r="B364" s="6" t="s">
        <v>1501</v>
      </c>
      <c r="C364" t="str">
        <f>_xlfn.LET(_xlpm.x,VLOOKUP($B364,spell_header!$B$2:$G$373,2,FALSE),IF(_xlpm.x="","",_xlpm.x))</f>
        <v>增益说明文本（英文/数值转换）</v>
      </c>
      <c r="D364" s="4" t="str">
        <f>IF(VLOOKUP($B364,spell_header!$B$2:$G$373,3,FALSE)="√","√","")</f>
        <v/>
      </c>
      <c r="E364" s="4" t="str">
        <f>IF(VLOOKUP($B364,spell_header!$B$2:$G$373,4,FALSE)="√","√","")</f>
        <v>√</v>
      </c>
      <c r="F364" t="str">
        <f>_xlfn.LET(_xlpm.x,VLOOKUP($B364,spell_header!$B$2:$G$373,5,FALSE),IF(_xlpm.x="","",_xlpm.x))</f>
        <v/>
      </c>
      <c r="G364">
        <v>263</v>
      </c>
    </row>
    <row r="365" spans="1:7" ht="15" x14ac:dyDescent="0.2">
      <c r="A365">
        <v>363</v>
      </c>
      <c r="B365" s="6" t="s">
        <v>1502</v>
      </c>
      <c r="C365" t="str">
        <f>_xlfn.LET(_xlpm.x,VLOOKUP($B365,spell_header!$B$2:$G$373,2,FALSE),IF(_xlpm.x="","",_xlpm.x))</f>
        <v>增益简述（中文）</v>
      </c>
      <c r="D365" s="4" t="str">
        <f>IF(VLOOKUP($B365,spell_header!$B$2:$G$373,3,FALSE)="√","√","")</f>
        <v/>
      </c>
      <c r="E365" s="4" t="str">
        <f>IF(VLOOKUP($B365,spell_header!$B$2:$G$373,4,FALSE)="√","√","")</f>
        <v>√</v>
      </c>
      <c r="F365" t="str">
        <f>_xlfn.LET(_xlpm.x,VLOOKUP($B365,spell_header!$B$2:$G$373,5,FALSE),IF(_xlpm.x="","",_xlpm.x))</f>
        <v/>
      </c>
      <c r="G365">
        <v>265</v>
      </c>
    </row>
    <row r="366" spans="1:7" ht="15" x14ac:dyDescent="0.2">
      <c r="A366">
        <v>364</v>
      </c>
      <c r="B366" s="6" t="s">
        <v>1503</v>
      </c>
      <c r="C366" t="str">
        <f>_xlfn.LET(_xlpm.x,VLOOKUP($B366,spell_header!$B$2:$G$373,2,FALSE),IF(_xlpm.x="","",_xlpm.x))</f>
        <v>增益简述（英文）</v>
      </c>
      <c r="D366" s="4" t="str">
        <f>IF(VLOOKUP($B366,spell_header!$B$2:$G$373,3,FALSE)="√","√","")</f>
        <v/>
      </c>
      <c r="E366" s="4" t="str">
        <f>IF(VLOOKUP($B366,spell_header!$B$2:$G$373,4,FALSE)="√","√","")</f>
        <v>√</v>
      </c>
      <c r="F366" t="str">
        <f>_xlfn.LET(_xlpm.x,VLOOKUP($B366,spell_header!$B$2:$G$373,5,FALSE),IF(_xlpm.x="","",_xlpm.x))</f>
        <v/>
      </c>
      <c r="G366">
        <v>267</v>
      </c>
    </row>
    <row r="367" spans="1:7" ht="15" x14ac:dyDescent="0.2">
      <c r="A367">
        <v>365</v>
      </c>
      <c r="B367" s="6" t="s">
        <v>1504</v>
      </c>
      <c r="C367" t="str">
        <f>_xlfn.LET(_xlpm.x,VLOOKUP($B367,spell_header!$B$2:$G$373,2,FALSE),IF(_xlpm.x="","",_xlpm.x))</f>
        <v>增益简述（中文/数值转换）</v>
      </c>
      <c r="D367" s="4" t="str">
        <f>IF(VLOOKUP($B367,spell_header!$B$2:$G$373,3,FALSE)="√","√","")</f>
        <v/>
      </c>
      <c r="E367" s="4" t="str">
        <f>IF(VLOOKUP($B367,spell_header!$B$2:$G$373,4,FALSE)="√","√","")</f>
        <v>√</v>
      </c>
      <c r="F367" t="str">
        <f>_xlfn.LET(_xlpm.x,VLOOKUP($B367,spell_header!$B$2:$G$373,5,FALSE),IF(_xlpm.x="","",_xlpm.x))</f>
        <v/>
      </c>
      <c r="G367">
        <v>266</v>
      </c>
    </row>
    <row r="368" spans="1:7" ht="15" x14ac:dyDescent="0.2">
      <c r="A368">
        <v>366</v>
      </c>
      <c r="B368" s="6" t="s">
        <v>1505</v>
      </c>
      <c r="C368" t="str">
        <f>_xlfn.LET(_xlpm.x,VLOOKUP($B368,spell_header!$B$2:$G$373,2,FALSE),IF(_xlpm.x="","",_xlpm.x))</f>
        <v>增益简述（英文/数值转换）</v>
      </c>
      <c r="D368" s="4" t="str">
        <f>IF(VLOOKUP($B368,spell_header!$B$2:$G$373,3,FALSE)="√","√","")</f>
        <v/>
      </c>
      <c r="E368" s="4" t="str">
        <f>IF(VLOOKUP($B368,spell_header!$B$2:$G$373,4,FALSE)="√","√","")</f>
        <v>√</v>
      </c>
      <c r="F368" t="str">
        <f>_xlfn.LET(_xlpm.x,VLOOKUP($B368,spell_header!$B$2:$G$373,5,FALSE),IF(_xlpm.x="","",_xlpm.x))</f>
        <v/>
      </c>
      <c r="G368">
        <v>268</v>
      </c>
    </row>
    <row r="369" spans="1:7" ht="15" x14ac:dyDescent="0.2">
      <c r="A369">
        <v>367</v>
      </c>
      <c r="B369" s="1" t="s">
        <v>3749</v>
      </c>
      <c r="C369" t="str">
        <f>_xlfn.LET(_xlpm.x,VLOOKUP($B369,spell_header!$B$2:$G$373,2,FALSE),IF(_xlpm.x="","",_xlpm.x))</f>
        <v>电脑数据重载 伤害标签</v>
      </c>
      <c r="D369" s="4" t="str">
        <f>IF(VLOOKUP($B369,spell_header!$B$2:$G$373,3,FALSE)="√","√","")</f>
        <v>√</v>
      </c>
      <c r="E369" s="4" t="str">
        <f>IF(VLOOKUP($B369,spell_header!$B$2:$G$373,4,FALSE)="√","√","")</f>
        <v>√</v>
      </c>
      <c r="F369" t="str">
        <f>_xlfn.LET(_xlpm.x,VLOOKUP($B369,spell_header!$B$2:$G$373,5,FALSE),IF(_xlpm.x="","",_xlpm.x))</f>
        <v/>
      </c>
      <c r="G369">
        <v>367</v>
      </c>
    </row>
    <row r="370" spans="1:7" ht="15" x14ac:dyDescent="0.2">
      <c r="A370">
        <v>368</v>
      </c>
      <c r="B370" s="1" t="s">
        <v>3750</v>
      </c>
      <c r="C370" t="str">
        <f>_xlfn.LET(_xlpm.x,VLOOKUP($B370,spell_header!$B$2:$G$373,2,FALSE),IF(_xlpm.x="","",_xlpm.x))</f>
        <v>电脑数据重载 公式计算</v>
      </c>
      <c r="D370" s="4" t="str">
        <f>IF(VLOOKUP($B370,spell_header!$B$2:$G$373,3,FALSE)="√","√","")</f>
        <v>√</v>
      </c>
      <c r="E370" s="4" t="str">
        <f>IF(VLOOKUP($B370,spell_header!$B$2:$G$373,4,FALSE)="√","√","")</f>
        <v>√</v>
      </c>
      <c r="F370" t="str">
        <f>_xlfn.LET(_xlpm.x,VLOOKUP($B370,spell_header!$B$2:$G$373,5,FALSE),IF(_xlpm.x="","",_xlpm.x))</f>
        <v/>
      </c>
      <c r="G370">
        <v>368</v>
      </c>
    </row>
    <row r="371" spans="1:7" ht="15" x14ac:dyDescent="0.2">
      <c r="A371">
        <v>369</v>
      </c>
      <c r="B371" s="1" t="s">
        <v>3751</v>
      </c>
      <c r="C371" t="str">
        <f>_xlfn.LET(_xlpm.x,VLOOKUP($B371,spell_header!$B$2:$G$373,2,FALSE),IF(_xlpm.x="","",_xlpm.x))</f>
        <v>电脑数据重载 效应因子计算</v>
      </c>
      <c r="D371" s="4" t="str">
        <f>IF(VLOOKUP($B371,spell_header!$B$2:$G$373,3,FALSE)="√","√","")</f>
        <v>√</v>
      </c>
      <c r="E371" s="4" t="str">
        <f>IF(VLOOKUP($B371,spell_header!$B$2:$G$373,4,FALSE)="√","√","")</f>
        <v>√</v>
      </c>
      <c r="F371" t="str">
        <f>_xlfn.LET(_xlpm.x,VLOOKUP($B371,spell_header!$B$2:$G$373,5,FALSE),IF(_xlpm.x="","",_xlpm.x))</f>
        <v/>
      </c>
      <c r="G371">
        <v>369</v>
      </c>
    </row>
    <row r="372" spans="1:7" ht="15" x14ac:dyDescent="0.2">
      <c r="A372">
        <v>370</v>
      </c>
      <c r="B372" s="1" t="s">
        <v>3752</v>
      </c>
      <c r="C372" t="str">
        <f>_xlfn.LET(_xlpm.x,VLOOKUP($B372,spell_header!$B$2:$G$373,2,FALSE),IF(_xlpm.x="","",_xlpm.x))</f>
        <v/>
      </c>
      <c r="D372" s="4" t="str">
        <f>IF(VLOOKUP($B372,spell_header!$B$2:$G$373,3,FALSE)="√","√","")</f>
        <v>√</v>
      </c>
      <c r="E372" s="4" t="str">
        <f>IF(VLOOKUP($B372,spell_header!$B$2:$G$373,4,FALSE)="√","√","")</f>
        <v>√</v>
      </c>
      <c r="F372" t="str">
        <f>_xlfn.LET(_xlpm.x,VLOOKUP($B372,spell_header!$B$2:$G$373,5,FALSE),IF(_xlpm.x="","",_xlpm.x))</f>
        <v/>
      </c>
      <c r="G372">
        <v>370</v>
      </c>
    </row>
    <row r="373" spans="1:7" ht="15" x14ac:dyDescent="0.2">
      <c r="A373">
        <v>371</v>
      </c>
      <c r="B373" s="1" t="s">
        <v>3753</v>
      </c>
      <c r="C373" t="str">
        <f>_xlfn.LET(_xlpm.x,VLOOKUP($B373,spell_header!$B$2:$G$373,2,FALSE),IF(_xlpm.x="","",_xlpm.x))</f>
        <v/>
      </c>
      <c r="D373" s="4" t="str">
        <f>IF(VLOOKUP($B373,spell_header!$B$2:$G$373,3,FALSE)="√","√","")</f>
        <v>√</v>
      </c>
      <c r="E373" s="4" t="str">
        <f>IF(VLOOKUP($B373,spell_header!$B$2:$G$373,4,FALSE)="√","√","")</f>
        <v>√</v>
      </c>
      <c r="F373" t="str">
        <f>_xlfn.LET(_xlpm.x,VLOOKUP($B373,spell_header!$B$2:$G$373,5,FALSE),IF(_xlpm.x="","",_xlpm.x))</f>
        <v/>
      </c>
      <c r="G373">
        <v>371</v>
      </c>
    </row>
  </sheetData>
  <sortState xmlns:xlrd2="http://schemas.microsoft.com/office/spreadsheetml/2017/richdata2" ref="A2:G373">
    <sortCondition ref="A1:A373"/>
  </sortState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F4C24-7612-49A7-BA2B-B3643B323BBD}">
  <sheetPr codeName="Sheet17"/>
  <dimension ref="A1:G86"/>
  <sheetViews>
    <sheetView workbookViewId="0">
      <selection activeCell="B23" sqref="B23"/>
    </sheetView>
  </sheetViews>
  <sheetFormatPr defaultRowHeight="14.25" x14ac:dyDescent="0.2"/>
  <cols>
    <col min="2" max="2" width="83.75" bestFit="1" customWidth="1"/>
    <col min="3" max="3" width="55.75" bestFit="1" customWidth="1"/>
    <col min="4" max="4" width="14.375" style="4" bestFit="1" customWidth="1"/>
    <col min="5" max="5" width="9" style="4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G2">
        <v>0</v>
      </c>
    </row>
    <row r="3" spans="1:7" ht="15" x14ac:dyDescent="0.2">
      <c r="A3">
        <v>1</v>
      </c>
      <c r="B3" s="1" t="s">
        <v>2965</v>
      </c>
      <c r="C3" t="s">
        <v>2976</v>
      </c>
      <c r="D3" s="4" t="s">
        <v>22</v>
      </c>
      <c r="G3">
        <v>1</v>
      </c>
    </row>
    <row r="4" spans="1:7" ht="15" x14ac:dyDescent="0.2">
      <c r="A4">
        <v>2</v>
      </c>
      <c r="B4" s="1" t="s">
        <v>2966</v>
      </c>
      <c r="C4" t="s">
        <v>2977</v>
      </c>
      <c r="D4" s="4" t="s">
        <v>22</v>
      </c>
      <c r="G4">
        <v>2</v>
      </c>
    </row>
    <row r="5" spans="1:7" ht="15" x14ac:dyDescent="0.2">
      <c r="A5">
        <v>3</v>
      </c>
      <c r="B5" s="1" t="s">
        <v>2951</v>
      </c>
      <c r="C5" t="s">
        <v>867</v>
      </c>
      <c r="D5" s="4" t="s">
        <v>22</v>
      </c>
      <c r="G5">
        <v>3</v>
      </c>
    </row>
    <row r="6" spans="1:7" ht="15" x14ac:dyDescent="0.2">
      <c r="A6">
        <v>4</v>
      </c>
      <c r="B6" s="1" t="s">
        <v>2952</v>
      </c>
      <c r="C6" t="s">
        <v>443</v>
      </c>
      <c r="D6" s="4" t="s">
        <v>22</v>
      </c>
      <c r="G6">
        <v>7</v>
      </c>
    </row>
    <row r="7" spans="1:7" ht="15" x14ac:dyDescent="0.2">
      <c r="A7">
        <v>5</v>
      </c>
      <c r="B7" s="1" t="s">
        <v>2967</v>
      </c>
      <c r="C7" t="s">
        <v>2980</v>
      </c>
      <c r="D7" s="4" t="s">
        <v>22</v>
      </c>
      <c r="G7">
        <v>71</v>
      </c>
    </row>
    <row r="8" spans="1:7" ht="15" x14ac:dyDescent="0.2">
      <c r="A8">
        <v>6</v>
      </c>
      <c r="B8" s="1" t="s">
        <v>2958</v>
      </c>
      <c r="C8" t="s">
        <v>2981</v>
      </c>
      <c r="D8" s="4" t="s">
        <v>22</v>
      </c>
      <c r="G8">
        <v>80</v>
      </c>
    </row>
    <row r="9" spans="1:7" ht="15" x14ac:dyDescent="0.2">
      <c r="A9">
        <v>7</v>
      </c>
      <c r="B9" s="1" t="s">
        <v>2968</v>
      </c>
      <c r="C9" t="s">
        <v>2982</v>
      </c>
      <c r="D9" s="4" t="s">
        <v>22</v>
      </c>
      <c r="E9" s="4" t="s">
        <v>22</v>
      </c>
      <c r="F9" t="b">
        <v>0</v>
      </c>
      <c r="G9">
        <v>6</v>
      </c>
    </row>
    <row r="10" spans="1:7" ht="15" x14ac:dyDescent="0.2">
      <c r="A10">
        <v>8</v>
      </c>
      <c r="B10" s="1" t="s">
        <v>2969</v>
      </c>
      <c r="C10" t="s">
        <v>2983</v>
      </c>
      <c r="D10" s="4" t="s">
        <v>22</v>
      </c>
      <c r="G10">
        <v>10</v>
      </c>
    </row>
    <row r="11" spans="1:7" ht="15" x14ac:dyDescent="0.2">
      <c r="A11">
        <v>9</v>
      </c>
      <c r="B11" s="1" t="s">
        <v>2970</v>
      </c>
      <c r="C11" t="s">
        <v>2994</v>
      </c>
      <c r="D11" s="4" t="s">
        <v>22</v>
      </c>
      <c r="G11">
        <v>13</v>
      </c>
    </row>
    <row r="12" spans="1:7" ht="15" x14ac:dyDescent="0.2">
      <c r="A12">
        <v>10</v>
      </c>
      <c r="B12" s="1" t="s">
        <v>2995</v>
      </c>
      <c r="C12" t="s">
        <v>2998</v>
      </c>
      <c r="D12" s="4" t="s">
        <v>22</v>
      </c>
      <c r="G12">
        <v>81</v>
      </c>
    </row>
    <row r="13" spans="1:7" ht="15" x14ac:dyDescent="0.2">
      <c r="A13">
        <v>11</v>
      </c>
      <c r="B13" s="1" t="s">
        <v>2996</v>
      </c>
      <c r="C13" t="s">
        <v>2999</v>
      </c>
      <c r="D13" s="4" t="s">
        <v>22</v>
      </c>
      <c r="G13">
        <v>82</v>
      </c>
    </row>
    <row r="14" spans="1:7" ht="15" x14ac:dyDescent="0.2">
      <c r="A14">
        <v>12</v>
      </c>
      <c r="B14" s="1" t="s">
        <v>2997</v>
      </c>
      <c r="C14" t="s">
        <v>3000</v>
      </c>
      <c r="D14" s="4" t="s">
        <v>22</v>
      </c>
      <c r="G14">
        <v>83</v>
      </c>
    </row>
    <row r="15" spans="1:7" ht="15" x14ac:dyDescent="0.2">
      <c r="A15">
        <v>13</v>
      </c>
      <c r="B15" s="1" t="s">
        <v>2971</v>
      </c>
      <c r="C15" t="s">
        <v>3001</v>
      </c>
      <c r="D15" s="4" t="s">
        <v>22</v>
      </c>
      <c r="G15">
        <v>74</v>
      </c>
    </row>
    <row r="16" spans="1:7" ht="15" x14ac:dyDescent="0.2">
      <c r="A16">
        <v>14</v>
      </c>
      <c r="B16" s="1" t="s">
        <v>2972</v>
      </c>
      <c r="C16" t="s">
        <v>3006</v>
      </c>
      <c r="D16" s="4" t="s">
        <v>22</v>
      </c>
      <c r="G16">
        <v>46</v>
      </c>
    </row>
    <row r="17" spans="1:7" ht="15" x14ac:dyDescent="0.2">
      <c r="A17">
        <v>15</v>
      </c>
      <c r="B17" s="1" t="s">
        <v>2973</v>
      </c>
      <c r="C17" t="s">
        <v>3038</v>
      </c>
      <c r="D17" s="4" t="s">
        <v>22</v>
      </c>
      <c r="G17">
        <v>17</v>
      </c>
    </row>
    <row r="18" spans="1:7" ht="15" x14ac:dyDescent="0.2">
      <c r="A18">
        <v>16</v>
      </c>
      <c r="B18" s="1" t="s">
        <v>2974</v>
      </c>
      <c r="C18" t="s">
        <v>3088</v>
      </c>
      <c r="D18" s="4" t="s">
        <v>22</v>
      </c>
      <c r="G18">
        <v>14</v>
      </c>
    </row>
    <row r="19" spans="1:7" ht="15" x14ac:dyDescent="0.2">
      <c r="A19">
        <v>17</v>
      </c>
      <c r="B19" s="1" t="s">
        <v>3091</v>
      </c>
      <c r="C19" t="s">
        <v>3093</v>
      </c>
      <c r="D19" s="4" t="s">
        <v>22</v>
      </c>
      <c r="G19">
        <v>77</v>
      </c>
    </row>
    <row r="20" spans="1:7" ht="15" x14ac:dyDescent="0.2">
      <c r="A20">
        <v>18</v>
      </c>
      <c r="B20" s="1" t="s">
        <v>3092</v>
      </c>
      <c r="C20" t="s">
        <v>2156</v>
      </c>
      <c r="D20" s="4" t="s">
        <v>22</v>
      </c>
      <c r="E20" s="4" t="s">
        <v>22</v>
      </c>
      <c r="G20">
        <v>78</v>
      </c>
    </row>
    <row r="21" spans="1:7" ht="15" x14ac:dyDescent="0.2">
      <c r="A21">
        <v>19</v>
      </c>
      <c r="B21" s="1" t="s">
        <v>2975</v>
      </c>
      <c r="C21" t="s">
        <v>3094</v>
      </c>
      <c r="D21" s="4" t="s">
        <v>22</v>
      </c>
      <c r="G21">
        <v>79</v>
      </c>
    </row>
    <row r="22" spans="1:7" ht="15" x14ac:dyDescent="0.2">
      <c r="A22">
        <v>20</v>
      </c>
      <c r="B22" s="1" t="s">
        <v>3095</v>
      </c>
      <c r="C22" t="s">
        <v>2684</v>
      </c>
      <c r="D22" s="4" t="s">
        <v>22</v>
      </c>
      <c r="E22" s="4" t="s">
        <v>22</v>
      </c>
      <c r="G22">
        <v>84</v>
      </c>
    </row>
    <row r="23" spans="1:7" ht="15" x14ac:dyDescent="0.2">
      <c r="A23">
        <v>21</v>
      </c>
      <c r="B23" s="6" t="s">
        <v>2978</v>
      </c>
      <c r="C23" t="s">
        <v>868</v>
      </c>
      <c r="G23">
        <v>4</v>
      </c>
    </row>
    <row r="24" spans="1:7" ht="15" x14ac:dyDescent="0.2">
      <c r="A24">
        <v>22</v>
      </c>
      <c r="B24" s="6" t="s">
        <v>2979</v>
      </c>
      <c r="C24" t="s">
        <v>869</v>
      </c>
      <c r="G24">
        <v>5</v>
      </c>
    </row>
    <row r="25" spans="1:7" ht="15" x14ac:dyDescent="0.2">
      <c r="A25">
        <v>23</v>
      </c>
      <c r="B25" s="6" t="s">
        <v>2984</v>
      </c>
      <c r="C25" t="s">
        <v>476</v>
      </c>
      <c r="G25">
        <v>8</v>
      </c>
    </row>
    <row r="26" spans="1:7" ht="15" x14ac:dyDescent="0.2">
      <c r="A26">
        <v>24</v>
      </c>
      <c r="B26" s="6" t="s">
        <v>2985</v>
      </c>
      <c r="C26" t="s">
        <v>477</v>
      </c>
      <c r="G26">
        <v>9</v>
      </c>
    </row>
    <row r="27" spans="1:7" ht="15" x14ac:dyDescent="0.2">
      <c r="A27">
        <v>25</v>
      </c>
      <c r="B27" s="6" t="s">
        <v>2986</v>
      </c>
      <c r="C27" t="s">
        <v>2988</v>
      </c>
      <c r="G27">
        <v>72</v>
      </c>
    </row>
    <row r="28" spans="1:7" ht="15" x14ac:dyDescent="0.2">
      <c r="A28">
        <v>26</v>
      </c>
      <c r="B28" s="6" t="s">
        <v>2987</v>
      </c>
      <c r="C28" t="s">
        <v>2989</v>
      </c>
      <c r="G28">
        <v>73</v>
      </c>
    </row>
    <row r="29" spans="1:7" ht="15" x14ac:dyDescent="0.2">
      <c r="A29">
        <v>27</v>
      </c>
      <c r="B29" s="6" t="s">
        <v>2992</v>
      </c>
      <c r="C29" t="s">
        <v>2990</v>
      </c>
      <c r="G29">
        <v>11</v>
      </c>
    </row>
    <row r="30" spans="1:7" ht="15" x14ac:dyDescent="0.2">
      <c r="A30">
        <v>28</v>
      </c>
      <c r="B30" s="6" t="s">
        <v>2991</v>
      </c>
      <c r="C30" t="s">
        <v>2993</v>
      </c>
      <c r="G30">
        <v>12</v>
      </c>
    </row>
    <row r="31" spans="1:7" ht="15" x14ac:dyDescent="0.2">
      <c r="A31">
        <v>29</v>
      </c>
      <c r="B31" s="6" t="s">
        <v>3002</v>
      </c>
      <c r="C31" t="s">
        <v>3004</v>
      </c>
      <c r="G31">
        <v>75</v>
      </c>
    </row>
    <row r="32" spans="1:7" ht="15" x14ac:dyDescent="0.2">
      <c r="A32">
        <v>30</v>
      </c>
      <c r="B32" s="6" t="s">
        <v>3003</v>
      </c>
      <c r="C32" t="s">
        <v>3005</v>
      </c>
      <c r="G32">
        <v>76</v>
      </c>
    </row>
    <row r="33" spans="1:7" ht="15" x14ac:dyDescent="0.2">
      <c r="A33">
        <v>31</v>
      </c>
      <c r="B33" s="6" t="s">
        <v>3123</v>
      </c>
      <c r="C33" t="s">
        <v>3007</v>
      </c>
      <c r="G33">
        <v>47</v>
      </c>
    </row>
    <row r="34" spans="1:7" ht="15" x14ac:dyDescent="0.2">
      <c r="A34">
        <v>32</v>
      </c>
      <c r="B34" s="6" t="s">
        <v>3124</v>
      </c>
      <c r="C34" t="s">
        <v>3008</v>
      </c>
      <c r="G34">
        <v>50</v>
      </c>
    </row>
    <row r="35" spans="1:7" ht="15" x14ac:dyDescent="0.2">
      <c r="A35">
        <v>33</v>
      </c>
      <c r="B35" s="6" t="s">
        <v>3125</v>
      </c>
      <c r="C35" t="s">
        <v>3009</v>
      </c>
      <c r="G35">
        <v>48</v>
      </c>
    </row>
    <row r="36" spans="1:7" ht="15" x14ac:dyDescent="0.2">
      <c r="A36">
        <v>34</v>
      </c>
      <c r="B36" s="6" t="s">
        <v>3126</v>
      </c>
      <c r="C36" t="s">
        <v>3010</v>
      </c>
      <c r="G36">
        <v>49</v>
      </c>
    </row>
    <row r="37" spans="1:7" ht="15" x14ac:dyDescent="0.2">
      <c r="A37">
        <v>35</v>
      </c>
      <c r="B37" s="6" t="s">
        <v>3127</v>
      </c>
      <c r="C37" t="s">
        <v>3011</v>
      </c>
      <c r="G37">
        <v>51</v>
      </c>
    </row>
    <row r="38" spans="1:7" ht="15" x14ac:dyDescent="0.2">
      <c r="A38">
        <v>36</v>
      </c>
      <c r="B38" s="6" t="s">
        <v>3128</v>
      </c>
      <c r="C38" t="s">
        <v>3012</v>
      </c>
      <c r="G38">
        <v>52</v>
      </c>
    </row>
    <row r="39" spans="1:7" ht="15" x14ac:dyDescent="0.2">
      <c r="A39">
        <v>37</v>
      </c>
      <c r="B39" s="6" t="s">
        <v>3129</v>
      </c>
      <c r="C39" t="s">
        <v>3013</v>
      </c>
      <c r="G39">
        <v>53</v>
      </c>
    </row>
    <row r="40" spans="1:7" ht="15" x14ac:dyDescent="0.2">
      <c r="A40">
        <v>38</v>
      </c>
      <c r="B40" s="6" t="s">
        <v>3130</v>
      </c>
      <c r="C40" t="s">
        <v>3014</v>
      </c>
      <c r="G40">
        <v>56</v>
      </c>
    </row>
    <row r="41" spans="1:7" ht="15" x14ac:dyDescent="0.2">
      <c r="A41">
        <v>39</v>
      </c>
      <c r="B41" s="6" t="s">
        <v>3131</v>
      </c>
      <c r="C41" t="s">
        <v>3015</v>
      </c>
      <c r="G41">
        <v>54</v>
      </c>
    </row>
    <row r="42" spans="1:7" ht="15" x14ac:dyDescent="0.2">
      <c r="A42">
        <v>40</v>
      </c>
      <c r="B42" s="6" t="s">
        <v>3132</v>
      </c>
      <c r="C42" t="s">
        <v>3016</v>
      </c>
      <c r="G42">
        <v>55</v>
      </c>
    </row>
    <row r="43" spans="1:7" ht="15" x14ac:dyDescent="0.2">
      <c r="A43">
        <v>41</v>
      </c>
      <c r="B43" s="6" t="s">
        <v>3133</v>
      </c>
      <c r="C43" t="s">
        <v>3017</v>
      </c>
      <c r="G43">
        <v>57</v>
      </c>
    </row>
    <row r="44" spans="1:7" ht="15" x14ac:dyDescent="0.2">
      <c r="A44">
        <v>42</v>
      </c>
      <c r="B44" s="6" t="s">
        <v>3134</v>
      </c>
      <c r="C44" t="s">
        <v>3018</v>
      </c>
      <c r="G44">
        <v>58</v>
      </c>
    </row>
    <row r="45" spans="1:7" ht="15" x14ac:dyDescent="0.2">
      <c r="A45">
        <v>43</v>
      </c>
      <c r="B45" s="6" t="s">
        <v>3135</v>
      </c>
      <c r="C45" t="s">
        <v>3019</v>
      </c>
      <c r="G45">
        <v>59</v>
      </c>
    </row>
    <row r="46" spans="1:7" ht="15" x14ac:dyDescent="0.2">
      <c r="A46">
        <v>44</v>
      </c>
      <c r="B46" s="6" t="s">
        <v>3136</v>
      </c>
      <c r="C46" t="s">
        <v>3020</v>
      </c>
      <c r="G46">
        <v>62</v>
      </c>
    </row>
    <row r="47" spans="1:7" ht="15" x14ac:dyDescent="0.2">
      <c r="A47">
        <v>45</v>
      </c>
      <c r="B47" s="6" t="s">
        <v>3137</v>
      </c>
      <c r="C47" t="s">
        <v>3021</v>
      </c>
      <c r="G47">
        <v>60</v>
      </c>
    </row>
    <row r="48" spans="1:7" ht="15" x14ac:dyDescent="0.2">
      <c r="A48">
        <v>46</v>
      </c>
      <c r="B48" s="6" t="s">
        <v>3138</v>
      </c>
      <c r="C48" t="s">
        <v>3022</v>
      </c>
      <c r="G48">
        <v>61</v>
      </c>
    </row>
    <row r="49" spans="1:7" ht="15" x14ac:dyDescent="0.2">
      <c r="A49">
        <v>47</v>
      </c>
      <c r="B49" s="6" t="s">
        <v>3139</v>
      </c>
      <c r="C49" t="s">
        <v>3023</v>
      </c>
      <c r="G49">
        <v>63</v>
      </c>
    </row>
    <row r="50" spans="1:7" ht="15" x14ac:dyDescent="0.2">
      <c r="A50">
        <v>48</v>
      </c>
      <c r="B50" s="6" t="s">
        <v>3140</v>
      </c>
      <c r="C50" t="s">
        <v>3024</v>
      </c>
      <c r="G50">
        <v>64</v>
      </c>
    </row>
    <row r="51" spans="1:7" ht="15" x14ac:dyDescent="0.2">
      <c r="A51">
        <v>49</v>
      </c>
      <c r="B51" s="6" t="s">
        <v>3141</v>
      </c>
      <c r="C51" t="s">
        <v>3025</v>
      </c>
      <c r="G51">
        <v>65</v>
      </c>
    </row>
    <row r="52" spans="1:7" ht="15" x14ac:dyDescent="0.2">
      <c r="A52">
        <v>50</v>
      </c>
      <c r="B52" s="6" t="s">
        <v>3142</v>
      </c>
      <c r="C52" t="s">
        <v>3026</v>
      </c>
      <c r="G52">
        <v>68</v>
      </c>
    </row>
    <row r="53" spans="1:7" ht="15" x14ac:dyDescent="0.2">
      <c r="A53">
        <v>51</v>
      </c>
      <c r="B53" s="6" t="s">
        <v>3143</v>
      </c>
      <c r="C53" t="s">
        <v>3027</v>
      </c>
      <c r="G53">
        <v>66</v>
      </c>
    </row>
    <row r="54" spans="1:7" ht="15" x14ac:dyDescent="0.2">
      <c r="A54">
        <v>52</v>
      </c>
      <c r="B54" s="6" t="s">
        <v>3144</v>
      </c>
      <c r="C54" t="s">
        <v>3028</v>
      </c>
      <c r="G54">
        <v>67</v>
      </c>
    </row>
    <row r="55" spans="1:7" ht="15" x14ac:dyDescent="0.2">
      <c r="A55">
        <v>53</v>
      </c>
      <c r="B55" s="6" t="s">
        <v>3145</v>
      </c>
      <c r="C55" t="s">
        <v>3029</v>
      </c>
      <c r="G55">
        <v>69</v>
      </c>
    </row>
    <row r="56" spans="1:7" ht="15" x14ac:dyDescent="0.2">
      <c r="A56">
        <v>54</v>
      </c>
      <c r="B56" s="6" t="s">
        <v>3146</v>
      </c>
      <c r="C56" t="s">
        <v>3030</v>
      </c>
      <c r="G56">
        <v>70</v>
      </c>
    </row>
    <row r="57" spans="1:7" ht="15" x14ac:dyDescent="0.2">
      <c r="A57">
        <v>55</v>
      </c>
      <c r="B57" s="6" t="s">
        <v>3031</v>
      </c>
      <c r="C57" t="s">
        <v>3039</v>
      </c>
      <c r="G57">
        <v>18</v>
      </c>
    </row>
    <row r="58" spans="1:7" ht="15" x14ac:dyDescent="0.2">
      <c r="A58">
        <v>56</v>
      </c>
      <c r="B58" s="6" t="s">
        <v>3032</v>
      </c>
      <c r="C58" t="s">
        <v>3040</v>
      </c>
      <c r="G58">
        <v>21</v>
      </c>
    </row>
    <row r="59" spans="1:7" ht="15" x14ac:dyDescent="0.2">
      <c r="A59">
        <v>57</v>
      </c>
      <c r="B59" s="6" t="s">
        <v>3033</v>
      </c>
      <c r="C59" t="s">
        <v>3041</v>
      </c>
      <c r="G59">
        <v>22</v>
      </c>
    </row>
    <row r="60" spans="1:7" ht="15" x14ac:dyDescent="0.2">
      <c r="A60">
        <v>58</v>
      </c>
      <c r="B60" s="6" t="s">
        <v>3034</v>
      </c>
      <c r="C60" t="s">
        <v>3042</v>
      </c>
      <c r="G60">
        <v>19</v>
      </c>
    </row>
    <row r="61" spans="1:7" ht="15" x14ac:dyDescent="0.2">
      <c r="A61">
        <v>59</v>
      </c>
      <c r="B61" s="6" t="s">
        <v>3035</v>
      </c>
      <c r="C61" t="s">
        <v>3043</v>
      </c>
      <c r="G61">
        <v>20</v>
      </c>
    </row>
    <row r="62" spans="1:7" ht="15" x14ac:dyDescent="0.2">
      <c r="A62">
        <v>60</v>
      </c>
      <c r="B62" s="6" t="s">
        <v>3036</v>
      </c>
      <c r="C62" t="s">
        <v>3044</v>
      </c>
      <c r="G62">
        <v>23</v>
      </c>
    </row>
    <row r="63" spans="1:7" ht="15" x14ac:dyDescent="0.2">
      <c r="A63">
        <v>61</v>
      </c>
      <c r="B63" s="6" t="s">
        <v>3037</v>
      </c>
      <c r="C63" t="s">
        <v>3045</v>
      </c>
      <c r="G63">
        <v>24</v>
      </c>
    </row>
    <row r="64" spans="1:7" ht="15" x14ac:dyDescent="0.2">
      <c r="A64">
        <v>62</v>
      </c>
      <c r="B64" s="6" t="s">
        <v>3046</v>
      </c>
      <c r="C64" t="s">
        <v>3047</v>
      </c>
      <c r="G64">
        <v>25</v>
      </c>
    </row>
    <row r="65" spans="1:7" ht="15" x14ac:dyDescent="0.2">
      <c r="A65">
        <v>63</v>
      </c>
      <c r="B65" s="6" t="s">
        <v>3048</v>
      </c>
      <c r="C65" t="s">
        <v>3049</v>
      </c>
      <c r="G65">
        <v>28</v>
      </c>
    </row>
    <row r="66" spans="1:7" ht="15" x14ac:dyDescent="0.2">
      <c r="A66">
        <v>64</v>
      </c>
      <c r="B66" s="6" t="s">
        <v>3050</v>
      </c>
      <c r="C66" t="s">
        <v>3051</v>
      </c>
      <c r="G66">
        <v>29</v>
      </c>
    </row>
    <row r="67" spans="1:7" ht="15" x14ac:dyDescent="0.2">
      <c r="A67">
        <v>65</v>
      </c>
      <c r="B67" s="6" t="s">
        <v>3052</v>
      </c>
      <c r="C67" t="s">
        <v>3053</v>
      </c>
      <c r="G67">
        <v>26</v>
      </c>
    </row>
    <row r="68" spans="1:7" ht="15" x14ac:dyDescent="0.2">
      <c r="A68">
        <v>66</v>
      </c>
      <c r="B68" s="6" t="s">
        <v>3054</v>
      </c>
      <c r="C68" t="s">
        <v>3055</v>
      </c>
      <c r="G68">
        <v>27</v>
      </c>
    </row>
    <row r="69" spans="1:7" ht="15" x14ac:dyDescent="0.2">
      <c r="A69">
        <v>67</v>
      </c>
      <c r="B69" s="6" t="s">
        <v>3056</v>
      </c>
      <c r="C69" t="s">
        <v>3057</v>
      </c>
      <c r="G69">
        <v>30</v>
      </c>
    </row>
    <row r="70" spans="1:7" ht="15" x14ac:dyDescent="0.2">
      <c r="A70">
        <v>68</v>
      </c>
      <c r="B70" s="6" t="s">
        <v>3058</v>
      </c>
      <c r="C70" t="s">
        <v>3059</v>
      </c>
      <c r="G70">
        <v>31</v>
      </c>
    </row>
    <row r="71" spans="1:7" ht="15" x14ac:dyDescent="0.2">
      <c r="A71">
        <v>69</v>
      </c>
      <c r="B71" s="6" t="s">
        <v>3060</v>
      </c>
      <c r="C71" t="s">
        <v>3061</v>
      </c>
      <c r="G71">
        <v>32</v>
      </c>
    </row>
    <row r="72" spans="1:7" ht="15" x14ac:dyDescent="0.2">
      <c r="A72">
        <v>70</v>
      </c>
      <c r="B72" s="6" t="s">
        <v>3062</v>
      </c>
      <c r="C72" t="s">
        <v>3063</v>
      </c>
      <c r="G72">
        <v>35</v>
      </c>
    </row>
    <row r="73" spans="1:7" ht="15" x14ac:dyDescent="0.2">
      <c r="A73">
        <v>71</v>
      </c>
      <c r="B73" s="6" t="s">
        <v>3064</v>
      </c>
      <c r="C73" t="s">
        <v>3065</v>
      </c>
      <c r="G73">
        <v>36</v>
      </c>
    </row>
    <row r="74" spans="1:7" ht="15" x14ac:dyDescent="0.2">
      <c r="A74">
        <v>72</v>
      </c>
      <c r="B74" s="6" t="s">
        <v>3066</v>
      </c>
      <c r="C74" t="s">
        <v>3067</v>
      </c>
      <c r="G74">
        <v>33</v>
      </c>
    </row>
    <row r="75" spans="1:7" ht="15" x14ac:dyDescent="0.2">
      <c r="A75">
        <v>73</v>
      </c>
      <c r="B75" s="6" t="s">
        <v>3068</v>
      </c>
      <c r="C75" t="s">
        <v>3069</v>
      </c>
      <c r="G75">
        <v>34</v>
      </c>
    </row>
    <row r="76" spans="1:7" ht="15" x14ac:dyDescent="0.2">
      <c r="A76">
        <v>74</v>
      </c>
      <c r="B76" s="6" t="s">
        <v>3070</v>
      </c>
      <c r="C76" t="s">
        <v>3071</v>
      </c>
      <c r="G76">
        <v>37</v>
      </c>
    </row>
    <row r="77" spans="1:7" ht="15" x14ac:dyDescent="0.2">
      <c r="A77">
        <v>75</v>
      </c>
      <c r="B77" s="6" t="s">
        <v>3072</v>
      </c>
      <c r="C77" t="s">
        <v>3073</v>
      </c>
      <c r="G77">
        <v>38</v>
      </c>
    </row>
    <row r="78" spans="1:7" ht="15" x14ac:dyDescent="0.2">
      <c r="A78">
        <v>76</v>
      </c>
      <c r="B78" s="6" t="s">
        <v>3074</v>
      </c>
      <c r="C78" t="s">
        <v>3075</v>
      </c>
      <c r="G78">
        <v>39</v>
      </c>
    </row>
    <row r="79" spans="1:7" ht="15" x14ac:dyDescent="0.2">
      <c r="A79">
        <v>77</v>
      </c>
      <c r="B79" s="6" t="s">
        <v>3076</v>
      </c>
      <c r="C79" t="s">
        <v>3077</v>
      </c>
      <c r="G79">
        <v>42</v>
      </c>
    </row>
    <row r="80" spans="1:7" ht="15" x14ac:dyDescent="0.2">
      <c r="A80">
        <v>78</v>
      </c>
      <c r="B80" s="6" t="s">
        <v>3078</v>
      </c>
      <c r="C80" t="s">
        <v>3079</v>
      </c>
      <c r="G80">
        <v>43</v>
      </c>
    </row>
    <row r="81" spans="1:7" ht="15" x14ac:dyDescent="0.2">
      <c r="A81">
        <v>79</v>
      </c>
      <c r="B81" s="6" t="s">
        <v>3080</v>
      </c>
      <c r="C81" t="s">
        <v>3081</v>
      </c>
      <c r="G81">
        <v>40</v>
      </c>
    </row>
    <row r="82" spans="1:7" ht="15" x14ac:dyDescent="0.2">
      <c r="A82">
        <v>80</v>
      </c>
      <c r="B82" s="6" t="s">
        <v>3082</v>
      </c>
      <c r="C82" t="s">
        <v>3083</v>
      </c>
      <c r="G82">
        <v>41</v>
      </c>
    </row>
    <row r="83" spans="1:7" ht="15" x14ac:dyDescent="0.2">
      <c r="A83">
        <v>81</v>
      </c>
      <c r="B83" s="6" t="s">
        <v>3084</v>
      </c>
      <c r="C83" t="s">
        <v>3085</v>
      </c>
      <c r="G83">
        <v>44</v>
      </c>
    </row>
    <row r="84" spans="1:7" ht="15" x14ac:dyDescent="0.2">
      <c r="A84">
        <v>82</v>
      </c>
      <c r="B84" s="6" t="s">
        <v>3086</v>
      </c>
      <c r="C84" t="s">
        <v>3087</v>
      </c>
      <c r="G84">
        <v>45</v>
      </c>
    </row>
    <row r="85" spans="1:7" ht="15" x14ac:dyDescent="0.2">
      <c r="A85">
        <v>83</v>
      </c>
      <c r="B85" s="6" t="s">
        <v>3121</v>
      </c>
      <c r="C85" t="s">
        <v>3089</v>
      </c>
      <c r="G85">
        <v>15</v>
      </c>
    </row>
    <row r="86" spans="1:7" ht="15" x14ac:dyDescent="0.2">
      <c r="A86">
        <v>84</v>
      </c>
      <c r="B86" s="6" t="s">
        <v>3122</v>
      </c>
      <c r="C86" t="s">
        <v>3090</v>
      </c>
      <c r="G86">
        <v>16</v>
      </c>
    </row>
  </sheetData>
  <sortState xmlns:xlrd2="http://schemas.microsoft.com/office/spreadsheetml/2017/richdata2" ref="A2:G86">
    <sortCondition ref="A1:A86"/>
  </sortState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9E21-BBB5-4A35-B254-A9AA06BCF8B0}">
  <sheetPr codeName="Sheet18"/>
  <dimension ref="A1:G44"/>
  <sheetViews>
    <sheetView workbookViewId="0"/>
  </sheetViews>
  <sheetFormatPr defaultRowHeight="14.25" x14ac:dyDescent="0.2"/>
  <cols>
    <col min="2" max="2" width="64.875" bestFit="1" customWidth="1"/>
    <col min="3" max="3" width="27.625" bestFit="1" customWidth="1"/>
    <col min="4" max="4" width="14.375" style="4" bestFit="1" customWidth="1"/>
    <col min="5" max="5" width="9" style="4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G2">
        <v>0</v>
      </c>
    </row>
    <row r="3" spans="1:7" ht="15" x14ac:dyDescent="0.2">
      <c r="A3">
        <v>1</v>
      </c>
      <c r="B3" s="1" t="s">
        <v>2949</v>
      </c>
      <c r="C3" t="s">
        <v>3096</v>
      </c>
      <c r="D3" s="4" t="s">
        <v>22</v>
      </c>
      <c r="G3">
        <v>1</v>
      </c>
    </row>
    <row r="4" spans="1:7" ht="15" x14ac:dyDescent="0.2">
      <c r="A4">
        <v>2</v>
      </c>
      <c r="B4" s="1" t="s">
        <v>2950</v>
      </c>
      <c r="C4" t="s">
        <v>3097</v>
      </c>
      <c r="D4" s="4" t="s">
        <v>22</v>
      </c>
      <c r="G4">
        <v>2</v>
      </c>
    </row>
    <row r="5" spans="1:7" ht="15" x14ac:dyDescent="0.2">
      <c r="A5">
        <v>3</v>
      </c>
      <c r="B5" s="1" t="s">
        <v>2951</v>
      </c>
      <c r="C5" t="s">
        <v>867</v>
      </c>
      <c r="D5" s="4" t="s">
        <v>22</v>
      </c>
      <c r="G5">
        <v>3</v>
      </c>
    </row>
    <row r="6" spans="1:7" ht="15" x14ac:dyDescent="0.2">
      <c r="A6">
        <v>4</v>
      </c>
      <c r="B6" s="1" t="s">
        <v>2952</v>
      </c>
      <c r="C6" t="s">
        <v>443</v>
      </c>
      <c r="D6" s="4" t="s">
        <v>22</v>
      </c>
      <c r="E6" s="4" t="s">
        <v>22</v>
      </c>
      <c r="G6">
        <v>12</v>
      </c>
    </row>
    <row r="7" spans="1:7" ht="15" x14ac:dyDescent="0.2">
      <c r="A7">
        <v>5</v>
      </c>
      <c r="B7" s="1" t="s">
        <v>2953</v>
      </c>
      <c r="C7" t="s">
        <v>3098</v>
      </c>
      <c r="D7" s="4" t="s">
        <v>22</v>
      </c>
      <c r="E7" s="4" t="s">
        <v>22</v>
      </c>
      <c r="G7">
        <v>18</v>
      </c>
    </row>
    <row r="8" spans="1:7" ht="15" x14ac:dyDescent="0.2">
      <c r="A8">
        <v>6</v>
      </c>
      <c r="B8" s="1" t="s">
        <v>2954</v>
      </c>
      <c r="C8" t="s">
        <v>2827</v>
      </c>
      <c r="D8" s="4" t="s">
        <v>22</v>
      </c>
      <c r="E8" s="4" t="s">
        <v>22</v>
      </c>
      <c r="G8">
        <v>21</v>
      </c>
    </row>
    <row r="9" spans="1:7" ht="15" x14ac:dyDescent="0.2">
      <c r="A9">
        <v>7</v>
      </c>
      <c r="B9" s="1" t="s">
        <v>2955</v>
      </c>
      <c r="C9" t="s">
        <v>1082</v>
      </c>
      <c r="D9" s="4" t="s">
        <v>22</v>
      </c>
      <c r="E9" s="4" t="s">
        <v>22</v>
      </c>
      <c r="G9">
        <v>26</v>
      </c>
    </row>
    <row r="10" spans="1:7" ht="15" x14ac:dyDescent="0.2">
      <c r="A10">
        <v>8</v>
      </c>
      <c r="B10" s="1" t="s">
        <v>2956</v>
      </c>
      <c r="C10" t="s">
        <v>3107</v>
      </c>
      <c r="D10" s="4" t="s">
        <v>22</v>
      </c>
      <c r="E10" s="4" t="s">
        <v>22</v>
      </c>
      <c r="G10">
        <v>31</v>
      </c>
    </row>
    <row r="11" spans="1:7" ht="15" x14ac:dyDescent="0.2">
      <c r="A11">
        <v>9</v>
      </c>
      <c r="B11" s="1" t="s">
        <v>2957</v>
      </c>
      <c r="C11" t="s">
        <v>3110</v>
      </c>
      <c r="D11" s="4" t="s">
        <v>22</v>
      </c>
      <c r="E11" s="4" t="s">
        <v>22</v>
      </c>
      <c r="G11">
        <v>17</v>
      </c>
    </row>
    <row r="12" spans="1:7" ht="15" x14ac:dyDescent="0.2">
      <c r="A12">
        <v>10</v>
      </c>
      <c r="B12" s="1" t="s">
        <v>2958</v>
      </c>
      <c r="C12" t="s">
        <v>2981</v>
      </c>
      <c r="D12" s="4" t="s">
        <v>22</v>
      </c>
      <c r="G12">
        <v>40</v>
      </c>
    </row>
    <row r="13" spans="1:7" ht="15" x14ac:dyDescent="0.2">
      <c r="A13">
        <v>11</v>
      </c>
      <c r="B13" s="1" t="s">
        <v>2959</v>
      </c>
      <c r="C13" t="s">
        <v>3111</v>
      </c>
      <c r="D13" s="4" t="s">
        <v>22</v>
      </c>
      <c r="E13" s="4" t="s">
        <v>22</v>
      </c>
      <c r="F13" t="b">
        <v>0</v>
      </c>
      <c r="G13">
        <v>10</v>
      </c>
    </row>
    <row r="14" spans="1:7" ht="15" x14ac:dyDescent="0.2">
      <c r="A14">
        <v>12</v>
      </c>
      <c r="B14" s="1" t="s">
        <v>2960</v>
      </c>
      <c r="C14" t="s">
        <v>448</v>
      </c>
      <c r="D14" s="4" t="s">
        <v>22</v>
      </c>
      <c r="E14" s="4" t="s">
        <v>22</v>
      </c>
      <c r="F14" t="b">
        <v>1</v>
      </c>
      <c r="G14">
        <v>9</v>
      </c>
    </row>
    <row r="15" spans="1:7" ht="15" x14ac:dyDescent="0.2">
      <c r="A15">
        <v>13</v>
      </c>
      <c r="B15" s="1" t="s">
        <v>3091</v>
      </c>
      <c r="C15" t="s">
        <v>3093</v>
      </c>
      <c r="D15" s="4" t="s">
        <v>22</v>
      </c>
      <c r="G15">
        <v>36</v>
      </c>
    </row>
    <row r="16" spans="1:7" ht="15" x14ac:dyDescent="0.2">
      <c r="A16">
        <v>14</v>
      </c>
      <c r="B16" s="1" t="s">
        <v>3092</v>
      </c>
      <c r="C16" t="s">
        <v>2156</v>
      </c>
      <c r="G16">
        <v>37</v>
      </c>
    </row>
    <row r="17" spans="1:7" ht="15" x14ac:dyDescent="0.2">
      <c r="A17">
        <v>15</v>
      </c>
      <c r="B17" s="1" t="s">
        <v>2961</v>
      </c>
      <c r="C17" t="s">
        <v>3112</v>
      </c>
      <c r="D17" s="4" t="s">
        <v>22</v>
      </c>
      <c r="E17" s="4" t="s">
        <v>22</v>
      </c>
      <c r="G17">
        <v>38</v>
      </c>
    </row>
    <row r="18" spans="1:7" ht="15" x14ac:dyDescent="0.2">
      <c r="A18">
        <v>16</v>
      </c>
      <c r="B18" s="1" t="s">
        <v>3113</v>
      </c>
      <c r="C18" t="s">
        <v>2684</v>
      </c>
      <c r="D18" s="4" t="s">
        <v>22</v>
      </c>
      <c r="E18" s="4" t="s">
        <v>22</v>
      </c>
      <c r="G18">
        <v>41</v>
      </c>
    </row>
    <row r="19" spans="1:7" ht="15" x14ac:dyDescent="0.2">
      <c r="A19">
        <v>17</v>
      </c>
      <c r="B19" s="1" t="s">
        <v>3115</v>
      </c>
      <c r="C19" t="s">
        <v>3114</v>
      </c>
      <c r="D19" s="4" t="s">
        <v>22</v>
      </c>
      <c r="E19" s="4" t="s">
        <v>22</v>
      </c>
      <c r="G19">
        <v>34</v>
      </c>
    </row>
    <row r="20" spans="1:7" ht="15" x14ac:dyDescent="0.2">
      <c r="A20">
        <v>18</v>
      </c>
      <c r="B20" s="1" t="s">
        <v>2962</v>
      </c>
      <c r="C20" t="s">
        <v>3116</v>
      </c>
      <c r="D20" s="4" t="s">
        <v>22</v>
      </c>
      <c r="E20" s="4" t="s">
        <v>22</v>
      </c>
      <c r="F20" t="b">
        <v>0</v>
      </c>
      <c r="G20">
        <v>11</v>
      </c>
    </row>
    <row r="21" spans="1:7" ht="15" x14ac:dyDescent="0.2">
      <c r="A21">
        <v>19</v>
      </c>
      <c r="B21" s="1" t="s">
        <v>2963</v>
      </c>
      <c r="C21" t="s">
        <v>3117</v>
      </c>
      <c r="D21" s="4" t="s">
        <v>22</v>
      </c>
      <c r="E21" s="4" t="s">
        <v>22</v>
      </c>
      <c r="G21">
        <v>35</v>
      </c>
    </row>
    <row r="22" spans="1:7" ht="15" x14ac:dyDescent="0.2">
      <c r="A22">
        <v>20</v>
      </c>
      <c r="B22" s="1" t="s">
        <v>2964</v>
      </c>
      <c r="C22" t="s">
        <v>3118</v>
      </c>
      <c r="D22" s="4" t="s">
        <v>22</v>
      </c>
      <c r="E22" s="4" t="s">
        <v>22</v>
      </c>
      <c r="G22">
        <v>39</v>
      </c>
    </row>
    <row r="23" spans="1:7" ht="15" x14ac:dyDescent="0.2">
      <c r="A23">
        <v>21</v>
      </c>
      <c r="B23" s="6" t="s">
        <v>2978</v>
      </c>
      <c r="C23" t="s">
        <v>868</v>
      </c>
      <c r="G23">
        <v>4</v>
      </c>
    </row>
    <row r="24" spans="1:7" ht="15" x14ac:dyDescent="0.2">
      <c r="A24">
        <v>22</v>
      </c>
      <c r="B24" s="6" t="s">
        <v>2979</v>
      </c>
      <c r="C24" t="s">
        <v>869</v>
      </c>
      <c r="G24">
        <v>5</v>
      </c>
    </row>
    <row r="25" spans="1:7" ht="15" x14ac:dyDescent="0.2">
      <c r="A25">
        <v>23</v>
      </c>
      <c r="B25" s="6" t="s">
        <v>2984</v>
      </c>
      <c r="C25" t="s">
        <v>476</v>
      </c>
      <c r="G25">
        <v>13</v>
      </c>
    </row>
    <row r="26" spans="1:7" ht="15" x14ac:dyDescent="0.2">
      <c r="A26">
        <v>24</v>
      </c>
      <c r="B26" s="6" t="s">
        <v>2985</v>
      </c>
      <c r="C26" t="s">
        <v>477</v>
      </c>
      <c r="G26">
        <v>15</v>
      </c>
    </row>
    <row r="27" spans="1:7" ht="15" x14ac:dyDescent="0.2">
      <c r="A27">
        <v>25</v>
      </c>
      <c r="B27" s="6" t="s">
        <v>3147</v>
      </c>
      <c r="C27" t="s">
        <v>482</v>
      </c>
      <c r="G27">
        <v>14</v>
      </c>
    </row>
    <row r="28" spans="1:7" ht="15" x14ac:dyDescent="0.2">
      <c r="A28">
        <v>26</v>
      </c>
      <c r="B28" s="6" t="s">
        <v>3148</v>
      </c>
      <c r="C28" t="s">
        <v>484</v>
      </c>
      <c r="G28">
        <v>16</v>
      </c>
    </row>
    <row r="29" spans="1:7" ht="15" x14ac:dyDescent="0.2">
      <c r="A29">
        <v>27</v>
      </c>
      <c r="B29" s="6" t="s">
        <v>3099</v>
      </c>
      <c r="C29" t="s">
        <v>3101</v>
      </c>
      <c r="G29">
        <v>19</v>
      </c>
    </row>
    <row r="30" spans="1:7" ht="15" x14ac:dyDescent="0.2">
      <c r="A30">
        <v>28</v>
      </c>
      <c r="B30" s="6" t="s">
        <v>3100</v>
      </c>
      <c r="C30" t="s">
        <v>3102</v>
      </c>
      <c r="G30">
        <v>20</v>
      </c>
    </row>
    <row r="31" spans="1:7" ht="15" x14ac:dyDescent="0.2">
      <c r="A31">
        <v>29</v>
      </c>
      <c r="B31" s="6" t="s">
        <v>3103</v>
      </c>
      <c r="C31" t="s">
        <v>2844</v>
      </c>
      <c r="G31">
        <v>22</v>
      </c>
    </row>
    <row r="32" spans="1:7" ht="15" x14ac:dyDescent="0.2">
      <c r="A32">
        <v>30</v>
      </c>
      <c r="B32" s="6" t="s">
        <v>3104</v>
      </c>
      <c r="C32" t="s">
        <v>2845</v>
      </c>
      <c r="G32">
        <v>24</v>
      </c>
    </row>
    <row r="33" spans="1:7" ht="15" x14ac:dyDescent="0.2">
      <c r="A33">
        <v>31</v>
      </c>
      <c r="B33" s="6" t="s">
        <v>3149</v>
      </c>
      <c r="C33" t="s">
        <v>2846</v>
      </c>
      <c r="G33">
        <v>23</v>
      </c>
    </row>
    <row r="34" spans="1:7" ht="15" x14ac:dyDescent="0.2">
      <c r="A34">
        <v>32</v>
      </c>
      <c r="B34" s="6" t="s">
        <v>3150</v>
      </c>
      <c r="C34" t="s">
        <v>2847</v>
      </c>
      <c r="G34">
        <v>25</v>
      </c>
    </row>
    <row r="35" spans="1:7" ht="15" x14ac:dyDescent="0.2">
      <c r="A35">
        <v>33</v>
      </c>
      <c r="B35" s="6" t="s">
        <v>3105</v>
      </c>
      <c r="C35" t="s">
        <v>1312</v>
      </c>
      <c r="G35">
        <v>27</v>
      </c>
    </row>
    <row r="36" spans="1:7" ht="15" x14ac:dyDescent="0.2">
      <c r="A36">
        <v>34</v>
      </c>
      <c r="B36" s="6" t="s">
        <v>3106</v>
      </c>
      <c r="C36" t="s">
        <v>1313</v>
      </c>
      <c r="G36">
        <v>29</v>
      </c>
    </row>
    <row r="37" spans="1:7" ht="15" x14ac:dyDescent="0.2">
      <c r="A37">
        <v>35</v>
      </c>
      <c r="B37" s="6" t="s">
        <v>3151</v>
      </c>
      <c r="C37" t="s">
        <v>3153</v>
      </c>
      <c r="G37">
        <v>28</v>
      </c>
    </row>
    <row r="38" spans="1:7" ht="15" x14ac:dyDescent="0.2">
      <c r="A38">
        <v>36</v>
      </c>
      <c r="B38" s="6" t="s">
        <v>3152</v>
      </c>
      <c r="C38" t="s">
        <v>3154</v>
      </c>
      <c r="G38">
        <v>30</v>
      </c>
    </row>
    <row r="39" spans="1:7" ht="15" x14ac:dyDescent="0.2">
      <c r="A39">
        <v>37</v>
      </c>
      <c r="B39" s="6" t="s">
        <v>3119</v>
      </c>
      <c r="C39" t="s">
        <v>3108</v>
      </c>
      <c r="G39">
        <v>32</v>
      </c>
    </row>
    <row r="40" spans="1:7" ht="15" x14ac:dyDescent="0.2">
      <c r="A40">
        <v>38</v>
      </c>
      <c r="B40" s="6" t="s">
        <v>3120</v>
      </c>
      <c r="C40" t="s">
        <v>3109</v>
      </c>
      <c r="G40">
        <v>33</v>
      </c>
    </row>
    <row r="41" spans="1:7" ht="15" x14ac:dyDescent="0.2">
      <c r="A41">
        <v>39</v>
      </c>
      <c r="B41" s="6" t="s">
        <v>3799</v>
      </c>
      <c r="C41" t="s">
        <v>3802</v>
      </c>
    </row>
    <row r="42" spans="1:7" ht="15" x14ac:dyDescent="0.2">
      <c r="A42">
        <v>40</v>
      </c>
      <c r="B42" s="6" t="s">
        <v>3800</v>
      </c>
      <c r="C42" t="s">
        <v>3803</v>
      </c>
      <c r="G42">
        <v>6</v>
      </c>
    </row>
    <row r="43" spans="1:7" ht="15" x14ac:dyDescent="0.2">
      <c r="A43">
        <v>41</v>
      </c>
      <c r="B43" s="6" t="s">
        <v>3801</v>
      </c>
      <c r="C43" t="s">
        <v>3804</v>
      </c>
      <c r="G43">
        <v>7</v>
      </c>
    </row>
    <row r="44" spans="1:7" ht="15" x14ac:dyDescent="0.2">
      <c r="A44">
        <v>42</v>
      </c>
      <c r="B44" s="6" t="s">
        <v>3805</v>
      </c>
      <c r="C44" t="s">
        <v>3806</v>
      </c>
      <c r="G44">
        <v>8</v>
      </c>
    </row>
  </sheetData>
  <sortState xmlns:xlrd2="http://schemas.microsoft.com/office/spreadsheetml/2017/richdata2" ref="A2:G44">
    <sortCondition ref="A1:A44"/>
  </sortState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422D-A988-4661-9783-F20637ADBF6E}">
  <sheetPr codeName="Sheet5"/>
  <dimension ref="A1:K271"/>
  <sheetViews>
    <sheetView zoomScaleNormal="100" workbookViewId="0"/>
  </sheetViews>
  <sheetFormatPr defaultRowHeight="14.25" x14ac:dyDescent="0.2"/>
  <cols>
    <col min="2" max="2" width="104.875" bestFit="1" customWidth="1"/>
    <col min="3" max="3" width="58.75" bestFit="1" customWidth="1"/>
    <col min="4" max="4" width="14.375" style="4" bestFit="1" customWidth="1"/>
    <col min="5" max="6" width="9" style="4"/>
  </cols>
  <sheetData>
    <row r="1" spans="1:11" x14ac:dyDescent="0.2">
      <c r="A1" t="s">
        <v>16</v>
      </c>
      <c r="B1" t="s">
        <v>18</v>
      </c>
      <c r="C1" t="s">
        <v>19</v>
      </c>
      <c r="D1" s="4" t="s">
        <v>20</v>
      </c>
      <c r="E1" s="4" t="s">
        <v>1331</v>
      </c>
      <c r="F1" s="4" t="s">
        <v>1332</v>
      </c>
      <c r="G1" t="s">
        <v>881</v>
      </c>
      <c r="H1" t="s">
        <v>3223</v>
      </c>
      <c r="I1" t="s">
        <v>3224</v>
      </c>
      <c r="J1" t="s">
        <v>3225</v>
      </c>
      <c r="K1" t="s">
        <v>3226</v>
      </c>
    </row>
    <row r="2" spans="1:11" ht="15" x14ac:dyDescent="0.2">
      <c r="A2">
        <v>0</v>
      </c>
      <c r="B2" s="1" t="s">
        <v>855</v>
      </c>
      <c r="C2" t="s">
        <v>856</v>
      </c>
      <c r="D2" s="4" t="s">
        <v>22</v>
      </c>
      <c r="H2">
        <v>0</v>
      </c>
      <c r="I2">
        <v>0</v>
      </c>
      <c r="J2">
        <v>0</v>
      </c>
      <c r="K2">
        <v>0</v>
      </c>
    </row>
    <row r="3" spans="1:11" ht="15" x14ac:dyDescent="0.2">
      <c r="A3">
        <v>1</v>
      </c>
      <c r="B3" s="6" t="s">
        <v>875</v>
      </c>
      <c r="C3" t="s">
        <v>876</v>
      </c>
      <c r="E3" s="4" t="s">
        <v>1333</v>
      </c>
      <c r="F3" s="4" t="s">
        <v>1333</v>
      </c>
      <c r="H3">
        <v>1</v>
      </c>
      <c r="I3">
        <v>1</v>
      </c>
      <c r="J3">
        <v>1</v>
      </c>
      <c r="K3">
        <v>1</v>
      </c>
    </row>
    <row r="4" spans="1:11" ht="15" x14ac:dyDescent="0.2">
      <c r="A4">
        <v>2</v>
      </c>
      <c r="B4" s="1" t="s">
        <v>489</v>
      </c>
      <c r="C4" t="s">
        <v>571</v>
      </c>
      <c r="D4" s="4" t="s">
        <v>22</v>
      </c>
      <c r="H4">
        <v>2</v>
      </c>
      <c r="I4">
        <v>2</v>
      </c>
      <c r="J4">
        <v>2</v>
      </c>
      <c r="K4">
        <v>2</v>
      </c>
    </row>
    <row r="5" spans="1:11" ht="15" x14ac:dyDescent="0.2">
      <c r="A5">
        <v>3</v>
      </c>
      <c r="B5" s="1" t="s">
        <v>570</v>
      </c>
      <c r="C5" t="s">
        <v>572</v>
      </c>
      <c r="D5" s="4" t="s">
        <v>22</v>
      </c>
      <c r="E5" s="4" t="s">
        <v>22</v>
      </c>
      <c r="F5" s="4" t="s">
        <v>1333</v>
      </c>
      <c r="H5">
        <v>6</v>
      </c>
      <c r="I5">
        <v>6</v>
      </c>
      <c r="J5">
        <v>6</v>
      </c>
      <c r="K5">
        <v>6</v>
      </c>
    </row>
    <row r="6" spans="1:11" ht="15" x14ac:dyDescent="0.2">
      <c r="A6">
        <v>4</v>
      </c>
      <c r="B6" s="1" t="s">
        <v>569</v>
      </c>
      <c r="C6" t="s">
        <v>573</v>
      </c>
      <c r="D6" s="4" t="s">
        <v>22</v>
      </c>
      <c r="E6" s="4" t="s">
        <v>22</v>
      </c>
      <c r="F6" s="4" t="s">
        <v>1333</v>
      </c>
      <c r="H6">
        <v>143</v>
      </c>
      <c r="I6">
        <v>143</v>
      </c>
      <c r="J6">
        <v>143</v>
      </c>
      <c r="K6">
        <v>143</v>
      </c>
    </row>
    <row r="7" spans="1:11" ht="15" x14ac:dyDescent="0.2">
      <c r="A7">
        <v>5</v>
      </c>
      <c r="B7" s="1" t="s">
        <v>567</v>
      </c>
      <c r="C7" t="s">
        <v>574</v>
      </c>
      <c r="D7" s="4" t="s">
        <v>22</v>
      </c>
      <c r="E7" s="4" t="s">
        <v>22</v>
      </c>
      <c r="F7" s="4" t="s">
        <v>1333</v>
      </c>
      <c r="H7">
        <v>192</v>
      </c>
      <c r="I7">
        <v>192</v>
      </c>
      <c r="J7">
        <v>192</v>
      </c>
      <c r="K7">
        <v>192</v>
      </c>
    </row>
    <row r="8" spans="1:11" ht="15" x14ac:dyDescent="0.2">
      <c r="A8">
        <v>6</v>
      </c>
      <c r="B8" s="1" t="s">
        <v>557</v>
      </c>
      <c r="C8" t="s">
        <v>575</v>
      </c>
      <c r="D8" s="4" t="s">
        <v>22</v>
      </c>
      <c r="E8" s="4" t="s">
        <v>22</v>
      </c>
      <c r="F8" s="4" t="s">
        <v>1333</v>
      </c>
      <c r="H8">
        <v>193</v>
      </c>
      <c r="I8">
        <v>193</v>
      </c>
      <c r="J8">
        <v>193</v>
      </c>
      <c r="K8">
        <v>193</v>
      </c>
    </row>
    <row r="9" spans="1:11" ht="15" x14ac:dyDescent="0.2">
      <c r="A9">
        <v>7</v>
      </c>
      <c r="B9" s="1" t="s">
        <v>1334</v>
      </c>
      <c r="C9" t="s">
        <v>1398</v>
      </c>
      <c r="D9" s="4" t="s">
        <v>1337</v>
      </c>
      <c r="F9" s="4" t="s">
        <v>1337</v>
      </c>
      <c r="H9">
        <v>157</v>
      </c>
      <c r="I9">
        <v>157</v>
      </c>
      <c r="J9">
        <v>157</v>
      </c>
      <c r="K9">
        <v>157</v>
      </c>
    </row>
    <row r="10" spans="1:11" ht="15" x14ac:dyDescent="0.2">
      <c r="A10">
        <v>8</v>
      </c>
      <c r="B10" s="1" t="s">
        <v>490</v>
      </c>
      <c r="C10" t="s">
        <v>576</v>
      </c>
      <c r="D10" s="4" t="s">
        <v>22</v>
      </c>
      <c r="F10" s="4" t="s">
        <v>1333</v>
      </c>
      <c r="H10">
        <v>51</v>
      </c>
      <c r="I10">
        <v>51</v>
      </c>
    </row>
    <row r="11" spans="1:11" ht="15" x14ac:dyDescent="0.2">
      <c r="A11">
        <v>9</v>
      </c>
      <c r="B11" s="1" t="s">
        <v>491</v>
      </c>
      <c r="C11" t="s">
        <v>577</v>
      </c>
      <c r="D11" s="4" t="s">
        <v>22</v>
      </c>
      <c r="F11" s="4" t="s">
        <v>1333</v>
      </c>
      <c r="H11">
        <v>52</v>
      </c>
      <c r="I11">
        <v>52</v>
      </c>
    </row>
    <row r="12" spans="1:11" ht="15" x14ac:dyDescent="0.2">
      <c r="A12">
        <v>10</v>
      </c>
      <c r="B12" s="1" t="s">
        <v>492</v>
      </c>
      <c r="C12" t="s">
        <v>578</v>
      </c>
      <c r="D12" s="4" t="s">
        <v>22</v>
      </c>
      <c r="E12" s="4" t="s">
        <v>22</v>
      </c>
      <c r="F12" s="4" t="s">
        <v>1333</v>
      </c>
      <c r="H12">
        <v>63</v>
      </c>
      <c r="I12">
        <v>63</v>
      </c>
    </row>
    <row r="13" spans="1:11" ht="15" x14ac:dyDescent="0.2">
      <c r="A13">
        <v>11</v>
      </c>
      <c r="B13" s="1" t="s">
        <v>493</v>
      </c>
      <c r="C13" t="s">
        <v>579</v>
      </c>
      <c r="D13" s="4" t="s">
        <v>22</v>
      </c>
      <c r="E13" s="4" t="s">
        <v>22</v>
      </c>
      <c r="F13" s="4" t="s">
        <v>1333</v>
      </c>
      <c r="H13">
        <v>64</v>
      </c>
      <c r="I13">
        <v>64</v>
      </c>
    </row>
    <row r="14" spans="1:11" ht="15" x14ac:dyDescent="0.2">
      <c r="A14">
        <v>12</v>
      </c>
      <c r="B14" s="1" t="s">
        <v>566</v>
      </c>
      <c r="C14" t="s">
        <v>580</v>
      </c>
      <c r="D14" s="4" t="s">
        <v>22</v>
      </c>
      <c r="E14" s="4" t="s">
        <v>22</v>
      </c>
      <c r="F14" s="4" t="s">
        <v>1333</v>
      </c>
      <c r="G14" t="b">
        <v>0</v>
      </c>
      <c r="H14">
        <v>110</v>
      </c>
      <c r="I14">
        <v>110</v>
      </c>
      <c r="J14">
        <v>110</v>
      </c>
      <c r="K14">
        <v>110</v>
      </c>
    </row>
    <row r="15" spans="1:11" ht="15" x14ac:dyDescent="0.2">
      <c r="A15">
        <v>13</v>
      </c>
      <c r="B15" s="1" t="s">
        <v>494</v>
      </c>
      <c r="C15" t="s">
        <v>581</v>
      </c>
      <c r="D15" s="4" t="s">
        <v>22</v>
      </c>
      <c r="E15" s="4" t="s">
        <v>22</v>
      </c>
      <c r="F15" s="4" t="s">
        <v>1333</v>
      </c>
      <c r="H15">
        <v>115</v>
      </c>
      <c r="I15">
        <v>115</v>
      </c>
      <c r="J15">
        <v>115</v>
      </c>
      <c r="K15">
        <v>115</v>
      </c>
    </row>
    <row r="16" spans="1:11" ht="15" x14ac:dyDescent="0.2">
      <c r="A16">
        <v>14</v>
      </c>
      <c r="B16" s="1" t="s">
        <v>553</v>
      </c>
      <c r="C16" t="s">
        <v>582</v>
      </c>
      <c r="D16" s="4" t="s">
        <v>22</v>
      </c>
      <c r="E16" s="4" t="s">
        <v>22</v>
      </c>
      <c r="F16" s="4" t="s">
        <v>1333</v>
      </c>
      <c r="H16">
        <v>111</v>
      </c>
      <c r="I16">
        <v>111</v>
      </c>
      <c r="J16">
        <v>111</v>
      </c>
      <c r="K16">
        <v>111</v>
      </c>
    </row>
    <row r="17" spans="1:11" ht="15" x14ac:dyDescent="0.2">
      <c r="A17">
        <v>15</v>
      </c>
      <c r="B17" s="1" t="s">
        <v>554</v>
      </c>
      <c r="C17" t="s">
        <v>583</v>
      </c>
      <c r="D17" s="4" t="s">
        <v>22</v>
      </c>
      <c r="E17" s="4" t="s">
        <v>22</v>
      </c>
      <c r="F17" s="4" t="s">
        <v>1333</v>
      </c>
      <c r="H17">
        <v>112</v>
      </c>
      <c r="I17">
        <v>112</v>
      </c>
      <c r="J17">
        <v>112</v>
      </c>
      <c r="K17">
        <v>112</v>
      </c>
    </row>
    <row r="18" spans="1:11" ht="15" x14ac:dyDescent="0.2">
      <c r="A18">
        <v>16</v>
      </c>
      <c r="B18" s="1" t="s">
        <v>555</v>
      </c>
      <c r="C18" t="s">
        <v>584</v>
      </c>
      <c r="D18" s="4" t="s">
        <v>22</v>
      </c>
      <c r="E18" s="4" t="s">
        <v>22</v>
      </c>
      <c r="F18" s="4" t="s">
        <v>1333</v>
      </c>
      <c r="H18">
        <v>113</v>
      </c>
      <c r="I18">
        <v>113</v>
      </c>
      <c r="J18">
        <v>113</v>
      </c>
      <c r="K18">
        <v>113</v>
      </c>
    </row>
    <row r="19" spans="1:11" ht="15" x14ac:dyDescent="0.2">
      <c r="A19">
        <v>17</v>
      </c>
      <c r="B19" s="1" t="s">
        <v>556</v>
      </c>
      <c r="C19" t="s">
        <v>585</v>
      </c>
      <c r="D19" s="4" t="s">
        <v>22</v>
      </c>
      <c r="E19" s="4" t="s">
        <v>22</v>
      </c>
      <c r="F19" s="4" t="s">
        <v>1333</v>
      </c>
      <c r="H19">
        <v>114</v>
      </c>
      <c r="I19">
        <v>114</v>
      </c>
      <c r="J19">
        <v>114</v>
      </c>
      <c r="K19">
        <v>114</v>
      </c>
    </row>
    <row r="20" spans="1:11" ht="15" x14ac:dyDescent="0.2">
      <c r="A20">
        <v>18</v>
      </c>
      <c r="B20" s="1" t="s">
        <v>1335</v>
      </c>
      <c r="C20" t="s">
        <v>1336</v>
      </c>
      <c r="D20" s="4" t="s">
        <v>1337</v>
      </c>
      <c r="F20" s="4" t="s">
        <v>1337</v>
      </c>
      <c r="G20" t="b">
        <v>0</v>
      </c>
      <c r="H20">
        <v>116</v>
      </c>
      <c r="I20">
        <v>116</v>
      </c>
      <c r="J20">
        <v>116</v>
      </c>
      <c r="K20">
        <v>116</v>
      </c>
    </row>
    <row r="21" spans="1:11" ht="15" x14ac:dyDescent="0.2">
      <c r="A21">
        <v>19</v>
      </c>
      <c r="B21" s="1" t="s">
        <v>495</v>
      </c>
      <c r="C21" t="s">
        <v>586</v>
      </c>
      <c r="D21" s="4" t="s">
        <v>22</v>
      </c>
      <c r="F21" s="4" t="s">
        <v>1333</v>
      </c>
      <c r="H21">
        <v>15</v>
      </c>
      <c r="I21">
        <v>15</v>
      </c>
      <c r="J21">
        <v>15</v>
      </c>
      <c r="K21">
        <v>15</v>
      </c>
    </row>
    <row r="22" spans="1:11" ht="15" x14ac:dyDescent="0.2">
      <c r="A22">
        <v>20</v>
      </c>
      <c r="B22" s="1" t="s">
        <v>496</v>
      </c>
      <c r="C22" t="s">
        <v>587</v>
      </c>
      <c r="D22" s="4" t="s">
        <v>22</v>
      </c>
      <c r="E22" s="4" t="s">
        <v>22</v>
      </c>
      <c r="F22" s="4" t="s">
        <v>1333</v>
      </c>
      <c r="H22">
        <v>28</v>
      </c>
      <c r="I22">
        <v>28</v>
      </c>
      <c r="J22">
        <v>28</v>
      </c>
      <c r="K22">
        <v>28</v>
      </c>
    </row>
    <row r="23" spans="1:11" ht="15" x14ac:dyDescent="0.2">
      <c r="A23">
        <v>21</v>
      </c>
      <c r="B23" s="1" t="s">
        <v>497</v>
      </c>
      <c r="C23" t="s">
        <v>588</v>
      </c>
      <c r="D23" s="4" t="s">
        <v>22</v>
      </c>
      <c r="F23" s="4" t="s">
        <v>1333</v>
      </c>
      <c r="H23">
        <v>53</v>
      </c>
      <c r="I23">
        <v>53</v>
      </c>
    </row>
    <row r="24" spans="1:11" ht="15" x14ac:dyDescent="0.2">
      <c r="A24">
        <v>22</v>
      </c>
      <c r="B24" s="1" t="s">
        <v>498</v>
      </c>
      <c r="C24" t="s">
        <v>589</v>
      </c>
      <c r="D24" s="4" t="s">
        <v>22</v>
      </c>
      <c r="E24" s="4" t="s">
        <v>22</v>
      </c>
      <c r="F24" s="4" t="s">
        <v>1333</v>
      </c>
      <c r="H24">
        <v>54</v>
      </c>
      <c r="I24">
        <v>54</v>
      </c>
    </row>
    <row r="25" spans="1:11" ht="15" x14ac:dyDescent="0.2">
      <c r="A25">
        <v>23</v>
      </c>
      <c r="B25" s="1" t="s">
        <v>499</v>
      </c>
      <c r="C25" t="s">
        <v>590</v>
      </c>
      <c r="D25" s="4" t="s">
        <v>22</v>
      </c>
      <c r="F25" s="4" t="s">
        <v>1333</v>
      </c>
      <c r="H25">
        <v>55</v>
      </c>
      <c r="I25">
        <v>55</v>
      </c>
    </row>
    <row r="26" spans="1:11" ht="15" x14ac:dyDescent="0.2">
      <c r="A26">
        <v>24</v>
      </c>
      <c r="B26" s="1" t="s">
        <v>500</v>
      </c>
      <c r="C26" t="s">
        <v>591</v>
      </c>
      <c r="D26" s="4" t="s">
        <v>22</v>
      </c>
      <c r="E26" s="4" t="s">
        <v>22</v>
      </c>
      <c r="F26" s="4" t="s">
        <v>1333</v>
      </c>
      <c r="H26">
        <v>56</v>
      </c>
      <c r="I26">
        <v>56</v>
      </c>
    </row>
    <row r="27" spans="1:11" ht="15" x14ac:dyDescent="0.2">
      <c r="A27">
        <v>25</v>
      </c>
      <c r="B27" s="1" t="s">
        <v>1338</v>
      </c>
      <c r="C27" t="s">
        <v>1339</v>
      </c>
      <c r="D27" s="4" t="s">
        <v>1337</v>
      </c>
      <c r="F27" s="4" t="s">
        <v>1337</v>
      </c>
      <c r="H27">
        <v>67</v>
      </c>
      <c r="I27">
        <v>67</v>
      </c>
      <c r="J27">
        <v>67</v>
      </c>
      <c r="K27">
        <v>67</v>
      </c>
    </row>
    <row r="28" spans="1:11" ht="15" x14ac:dyDescent="0.2">
      <c r="A28">
        <v>26</v>
      </c>
      <c r="B28" s="1" t="s">
        <v>501</v>
      </c>
      <c r="C28" t="s">
        <v>592</v>
      </c>
      <c r="D28" s="4" t="s">
        <v>22</v>
      </c>
      <c r="F28" s="4" t="s">
        <v>1333</v>
      </c>
      <c r="H28">
        <v>57</v>
      </c>
      <c r="I28">
        <v>57</v>
      </c>
    </row>
    <row r="29" spans="1:11" ht="15" x14ac:dyDescent="0.2">
      <c r="A29">
        <v>27</v>
      </c>
      <c r="B29" s="1" t="s">
        <v>1340</v>
      </c>
      <c r="C29" t="s">
        <v>1341</v>
      </c>
      <c r="D29" s="4" t="s">
        <v>1337</v>
      </c>
      <c r="F29" s="4" t="s">
        <v>1337</v>
      </c>
      <c r="H29">
        <v>66</v>
      </c>
      <c r="I29">
        <v>66</v>
      </c>
      <c r="J29">
        <v>66</v>
      </c>
      <c r="K29">
        <v>66</v>
      </c>
    </row>
    <row r="30" spans="1:11" ht="15" x14ac:dyDescent="0.2">
      <c r="A30">
        <v>28</v>
      </c>
      <c r="B30" s="1" t="s">
        <v>502</v>
      </c>
      <c r="C30" t="s">
        <v>593</v>
      </c>
      <c r="D30" s="4" t="s">
        <v>22</v>
      </c>
      <c r="E30" s="4" t="s">
        <v>22</v>
      </c>
      <c r="F30" s="4" t="s">
        <v>1333</v>
      </c>
      <c r="H30">
        <v>58</v>
      </c>
      <c r="I30">
        <v>58</v>
      </c>
    </row>
    <row r="31" spans="1:11" ht="15" x14ac:dyDescent="0.2">
      <c r="A31">
        <v>29</v>
      </c>
      <c r="B31" s="1" t="s">
        <v>551</v>
      </c>
      <c r="C31" t="s">
        <v>594</v>
      </c>
      <c r="D31" s="4" t="s">
        <v>22</v>
      </c>
      <c r="E31" s="4" t="s">
        <v>22</v>
      </c>
      <c r="F31" s="4" t="s">
        <v>1333</v>
      </c>
      <c r="H31">
        <v>68</v>
      </c>
      <c r="I31">
        <v>68</v>
      </c>
      <c r="J31">
        <v>68</v>
      </c>
      <c r="K31">
        <v>68</v>
      </c>
    </row>
    <row r="32" spans="1:11" ht="15" x14ac:dyDescent="0.2">
      <c r="A32">
        <v>30</v>
      </c>
      <c r="B32" s="1" t="s">
        <v>503</v>
      </c>
      <c r="C32" t="s">
        <v>595</v>
      </c>
      <c r="D32" s="4" t="s">
        <v>22</v>
      </c>
      <c r="F32" s="4" t="s">
        <v>1333</v>
      </c>
      <c r="H32">
        <v>62</v>
      </c>
      <c r="I32">
        <v>62</v>
      </c>
    </row>
    <row r="33" spans="1:11" ht="15" x14ac:dyDescent="0.2">
      <c r="A33">
        <v>31</v>
      </c>
      <c r="B33" s="1" t="s">
        <v>1342</v>
      </c>
      <c r="C33" t="s">
        <v>1343</v>
      </c>
      <c r="D33" s="4" t="s">
        <v>1337</v>
      </c>
      <c r="F33" s="4" t="s">
        <v>1337</v>
      </c>
      <c r="H33">
        <v>141</v>
      </c>
      <c r="I33">
        <v>141</v>
      </c>
      <c r="J33">
        <v>141</v>
      </c>
      <c r="K33">
        <v>141</v>
      </c>
    </row>
    <row r="34" spans="1:11" ht="15" x14ac:dyDescent="0.2">
      <c r="A34">
        <v>32</v>
      </c>
      <c r="B34" s="1" t="s">
        <v>504</v>
      </c>
      <c r="C34" t="s">
        <v>596</v>
      </c>
      <c r="D34" s="4" t="s">
        <v>22</v>
      </c>
      <c r="F34" s="4" t="s">
        <v>1333</v>
      </c>
      <c r="H34">
        <v>65</v>
      </c>
      <c r="I34">
        <v>65</v>
      </c>
    </row>
    <row r="35" spans="1:11" ht="15" x14ac:dyDescent="0.2">
      <c r="A35">
        <v>33</v>
      </c>
      <c r="B35" s="1" t="s">
        <v>505</v>
      </c>
      <c r="C35" t="s">
        <v>872</v>
      </c>
      <c r="D35" s="4" t="s">
        <v>22</v>
      </c>
      <c r="F35" s="4" t="s">
        <v>1333</v>
      </c>
      <c r="H35">
        <v>59</v>
      </c>
      <c r="I35">
        <v>59</v>
      </c>
    </row>
    <row r="36" spans="1:11" ht="15" x14ac:dyDescent="0.2">
      <c r="A36">
        <v>34</v>
      </c>
      <c r="B36" s="1" t="s">
        <v>506</v>
      </c>
      <c r="C36" t="s">
        <v>597</v>
      </c>
      <c r="D36" s="4" t="s">
        <v>22</v>
      </c>
      <c r="F36" s="4" t="s">
        <v>1333</v>
      </c>
      <c r="H36">
        <v>61</v>
      </c>
      <c r="I36">
        <v>61</v>
      </c>
    </row>
    <row r="37" spans="1:11" ht="15" x14ac:dyDescent="0.2">
      <c r="A37">
        <v>35</v>
      </c>
      <c r="B37" s="1" t="s">
        <v>507</v>
      </c>
      <c r="C37" t="s">
        <v>598</v>
      </c>
      <c r="D37" s="4" t="s">
        <v>22</v>
      </c>
      <c r="E37" s="4" t="s">
        <v>22</v>
      </c>
      <c r="F37" s="4" t="s">
        <v>1333</v>
      </c>
      <c r="H37">
        <v>60</v>
      </c>
      <c r="I37">
        <v>60</v>
      </c>
    </row>
    <row r="38" spans="1:11" ht="15" x14ac:dyDescent="0.2">
      <c r="A38">
        <v>36</v>
      </c>
      <c r="B38" s="1" t="s">
        <v>558</v>
      </c>
      <c r="C38" t="s">
        <v>599</v>
      </c>
      <c r="D38" s="4" t="s">
        <v>22</v>
      </c>
      <c r="E38" s="4" t="s">
        <v>22</v>
      </c>
      <c r="F38" s="4" t="s">
        <v>1333</v>
      </c>
      <c r="H38">
        <v>137</v>
      </c>
      <c r="I38">
        <v>137</v>
      </c>
      <c r="J38">
        <v>137</v>
      </c>
      <c r="K38">
        <v>137</v>
      </c>
    </row>
    <row r="39" spans="1:11" ht="15" x14ac:dyDescent="0.2">
      <c r="A39">
        <v>37</v>
      </c>
      <c r="B39" s="1" t="s">
        <v>508</v>
      </c>
      <c r="C39" t="s">
        <v>600</v>
      </c>
      <c r="D39" s="4" t="s">
        <v>22</v>
      </c>
      <c r="E39" s="4" t="s">
        <v>22</v>
      </c>
      <c r="F39" s="4" t="s">
        <v>1333</v>
      </c>
      <c r="H39">
        <v>69</v>
      </c>
      <c r="I39">
        <v>69</v>
      </c>
      <c r="J39">
        <v>69</v>
      </c>
      <c r="K39">
        <v>69</v>
      </c>
    </row>
    <row r="40" spans="1:11" ht="15" x14ac:dyDescent="0.2">
      <c r="A40">
        <v>38</v>
      </c>
      <c r="B40" s="1" t="s">
        <v>509</v>
      </c>
      <c r="C40" t="s">
        <v>603</v>
      </c>
      <c r="D40" s="4" t="s">
        <v>22</v>
      </c>
      <c r="E40" s="4" t="s">
        <v>22</v>
      </c>
      <c r="F40" s="4" t="s">
        <v>1333</v>
      </c>
      <c r="H40">
        <v>121</v>
      </c>
      <c r="I40">
        <v>121</v>
      </c>
      <c r="J40">
        <v>121</v>
      </c>
      <c r="K40">
        <v>121</v>
      </c>
    </row>
    <row r="41" spans="1:11" ht="15" x14ac:dyDescent="0.2">
      <c r="A41">
        <v>39</v>
      </c>
      <c r="B41" s="1" t="s">
        <v>510</v>
      </c>
      <c r="C41" t="s">
        <v>744</v>
      </c>
      <c r="D41" s="4" t="s">
        <v>22</v>
      </c>
      <c r="F41" s="4" t="s">
        <v>1333</v>
      </c>
      <c r="H41">
        <v>126</v>
      </c>
      <c r="I41">
        <v>126</v>
      </c>
      <c r="J41">
        <v>126</v>
      </c>
      <c r="K41">
        <v>126</v>
      </c>
    </row>
    <row r="42" spans="1:11" ht="15" x14ac:dyDescent="0.2">
      <c r="A42">
        <v>40</v>
      </c>
      <c r="B42" s="1" t="s">
        <v>511</v>
      </c>
      <c r="C42" t="s">
        <v>745</v>
      </c>
      <c r="D42" s="4" t="s">
        <v>22</v>
      </c>
      <c r="E42" s="4" t="s">
        <v>22</v>
      </c>
      <c r="F42" s="4" t="s">
        <v>1333</v>
      </c>
      <c r="H42">
        <v>134</v>
      </c>
      <c r="I42">
        <v>134</v>
      </c>
      <c r="J42">
        <v>134</v>
      </c>
      <c r="K42">
        <v>134</v>
      </c>
    </row>
    <row r="43" spans="1:11" ht="15" x14ac:dyDescent="0.2">
      <c r="A43">
        <v>41</v>
      </c>
      <c r="B43" s="1" t="s">
        <v>512</v>
      </c>
      <c r="C43" t="s">
        <v>746</v>
      </c>
      <c r="D43" s="4" t="s">
        <v>22</v>
      </c>
      <c r="E43" s="4" t="s">
        <v>22</v>
      </c>
      <c r="F43" s="4" t="s">
        <v>1333</v>
      </c>
      <c r="H43">
        <v>135</v>
      </c>
      <c r="I43">
        <v>135</v>
      </c>
      <c r="J43">
        <v>135</v>
      </c>
      <c r="K43">
        <v>135</v>
      </c>
    </row>
    <row r="44" spans="1:11" ht="15" x14ac:dyDescent="0.2">
      <c r="A44">
        <v>42</v>
      </c>
      <c r="B44" s="1" t="s">
        <v>541</v>
      </c>
      <c r="C44" t="s">
        <v>601</v>
      </c>
      <c r="D44" s="4" t="s">
        <v>22</v>
      </c>
      <c r="E44" s="4" t="s">
        <v>22</v>
      </c>
      <c r="F44" s="4" t="s">
        <v>1333</v>
      </c>
      <c r="H44">
        <v>107</v>
      </c>
      <c r="I44">
        <v>107</v>
      </c>
      <c r="J44">
        <v>107</v>
      </c>
      <c r="K44">
        <v>107</v>
      </c>
    </row>
    <row r="45" spans="1:11" ht="15" x14ac:dyDescent="0.2">
      <c r="A45">
        <v>43</v>
      </c>
      <c r="B45" s="1" t="s">
        <v>542</v>
      </c>
      <c r="C45" t="s">
        <v>602</v>
      </c>
      <c r="D45" s="4" t="s">
        <v>22</v>
      </c>
      <c r="E45" s="4" t="s">
        <v>22</v>
      </c>
      <c r="F45" s="4" t="s">
        <v>1333</v>
      </c>
      <c r="H45">
        <v>108</v>
      </c>
      <c r="I45">
        <v>108</v>
      </c>
      <c r="J45">
        <v>108</v>
      </c>
      <c r="K45">
        <v>108</v>
      </c>
    </row>
    <row r="46" spans="1:11" ht="15" x14ac:dyDescent="0.2">
      <c r="A46">
        <v>44</v>
      </c>
      <c r="B46" s="1" t="s">
        <v>543</v>
      </c>
      <c r="C46" t="s">
        <v>1349</v>
      </c>
      <c r="D46" s="4" t="s">
        <v>22</v>
      </c>
      <c r="E46" s="4" t="s">
        <v>22</v>
      </c>
      <c r="F46" s="4" t="s">
        <v>1333</v>
      </c>
      <c r="H46">
        <v>122</v>
      </c>
      <c r="I46">
        <v>122</v>
      </c>
      <c r="J46">
        <v>122</v>
      </c>
      <c r="K46">
        <v>122</v>
      </c>
    </row>
    <row r="47" spans="1:11" ht="15" x14ac:dyDescent="0.2">
      <c r="A47">
        <v>45</v>
      </c>
      <c r="B47" s="1" t="s">
        <v>513</v>
      </c>
      <c r="C47" t="s">
        <v>748</v>
      </c>
      <c r="D47" s="4" t="s">
        <v>22</v>
      </c>
      <c r="F47" s="4" t="s">
        <v>1333</v>
      </c>
      <c r="H47">
        <v>181</v>
      </c>
      <c r="I47">
        <v>181</v>
      </c>
      <c r="J47">
        <v>181</v>
      </c>
      <c r="K47">
        <v>181</v>
      </c>
    </row>
    <row r="48" spans="1:11" ht="15" x14ac:dyDescent="0.2">
      <c r="A48">
        <v>46</v>
      </c>
      <c r="B48" s="1" t="s">
        <v>514</v>
      </c>
      <c r="C48" t="s">
        <v>749</v>
      </c>
      <c r="D48" s="4" t="s">
        <v>22</v>
      </c>
      <c r="F48" s="4" t="s">
        <v>1333</v>
      </c>
      <c r="H48">
        <v>182</v>
      </c>
      <c r="I48">
        <v>182</v>
      </c>
      <c r="J48">
        <v>182</v>
      </c>
      <c r="K48">
        <v>182</v>
      </c>
    </row>
    <row r="49" spans="1:11" ht="15" x14ac:dyDescent="0.2">
      <c r="A49">
        <v>47</v>
      </c>
      <c r="B49" s="1" t="s">
        <v>515</v>
      </c>
      <c r="C49" t="s">
        <v>750</v>
      </c>
      <c r="D49" s="4" t="s">
        <v>22</v>
      </c>
      <c r="E49" s="4" t="s">
        <v>22</v>
      </c>
      <c r="F49" s="4" t="s">
        <v>1333</v>
      </c>
      <c r="H49">
        <v>189</v>
      </c>
      <c r="I49">
        <v>189</v>
      </c>
      <c r="J49">
        <v>189</v>
      </c>
      <c r="K49">
        <v>189</v>
      </c>
    </row>
    <row r="50" spans="1:11" ht="15" x14ac:dyDescent="0.2">
      <c r="A50">
        <v>48</v>
      </c>
      <c r="B50" s="1" t="s">
        <v>516</v>
      </c>
      <c r="C50" t="s">
        <v>751</v>
      </c>
      <c r="D50" s="4" t="s">
        <v>22</v>
      </c>
      <c r="E50" s="4" t="s">
        <v>22</v>
      </c>
      <c r="F50" s="4" t="s">
        <v>1333</v>
      </c>
      <c r="H50">
        <v>190</v>
      </c>
      <c r="I50">
        <v>190</v>
      </c>
      <c r="J50">
        <v>190</v>
      </c>
      <c r="K50">
        <v>190</v>
      </c>
    </row>
    <row r="51" spans="1:11" ht="15" x14ac:dyDescent="0.2">
      <c r="A51">
        <v>49</v>
      </c>
      <c r="B51" s="1" t="s">
        <v>517</v>
      </c>
      <c r="C51" t="s">
        <v>747</v>
      </c>
      <c r="D51" s="4" t="s">
        <v>22</v>
      </c>
      <c r="F51" s="4" t="s">
        <v>1333</v>
      </c>
      <c r="H51">
        <v>177</v>
      </c>
      <c r="I51">
        <v>177</v>
      </c>
      <c r="J51">
        <v>177</v>
      </c>
      <c r="K51">
        <v>177</v>
      </c>
    </row>
    <row r="52" spans="1:11" ht="15" x14ac:dyDescent="0.2">
      <c r="A52">
        <v>50</v>
      </c>
      <c r="B52" s="1" t="s">
        <v>547</v>
      </c>
      <c r="C52" t="s">
        <v>604</v>
      </c>
      <c r="D52" s="4" t="s">
        <v>22</v>
      </c>
      <c r="E52" s="4" t="s">
        <v>22</v>
      </c>
      <c r="F52" s="4" t="s">
        <v>1333</v>
      </c>
      <c r="H52">
        <v>136</v>
      </c>
      <c r="I52">
        <v>136</v>
      </c>
      <c r="J52">
        <v>136</v>
      </c>
      <c r="K52">
        <v>136</v>
      </c>
    </row>
    <row r="53" spans="1:11" ht="15" x14ac:dyDescent="0.2">
      <c r="A53">
        <v>51</v>
      </c>
      <c r="B53" s="1" t="s">
        <v>518</v>
      </c>
      <c r="C53" t="s">
        <v>605</v>
      </c>
      <c r="D53" s="4" t="s">
        <v>22</v>
      </c>
      <c r="E53" s="4" t="s">
        <v>22</v>
      </c>
      <c r="F53" s="4" t="s">
        <v>1333</v>
      </c>
      <c r="H53">
        <v>162</v>
      </c>
      <c r="I53">
        <v>162</v>
      </c>
      <c r="J53">
        <v>162</v>
      </c>
      <c r="K53">
        <v>162</v>
      </c>
    </row>
    <row r="54" spans="1:11" ht="15" x14ac:dyDescent="0.2">
      <c r="A54">
        <v>52</v>
      </c>
      <c r="B54" s="1" t="s">
        <v>519</v>
      </c>
      <c r="C54" t="s">
        <v>606</v>
      </c>
      <c r="D54" s="4" t="s">
        <v>22</v>
      </c>
      <c r="E54" s="4" t="s">
        <v>22</v>
      </c>
      <c r="F54" s="4" t="s">
        <v>1333</v>
      </c>
      <c r="H54">
        <v>165</v>
      </c>
      <c r="I54">
        <v>165</v>
      </c>
      <c r="J54">
        <v>165</v>
      </c>
      <c r="K54">
        <v>165</v>
      </c>
    </row>
    <row r="55" spans="1:11" ht="15" x14ac:dyDescent="0.2">
      <c r="A55">
        <v>53</v>
      </c>
      <c r="B55" s="1" t="s">
        <v>520</v>
      </c>
      <c r="C55" t="s">
        <v>873</v>
      </c>
      <c r="D55" s="4" t="s">
        <v>22</v>
      </c>
      <c r="E55" s="4" t="s">
        <v>22</v>
      </c>
      <c r="F55" s="4" t="s">
        <v>1333</v>
      </c>
      <c r="H55">
        <v>170</v>
      </c>
      <c r="I55">
        <v>170</v>
      </c>
      <c r="J55">
        <v>170</v>
      </c>
      <c r="K55">
        <v>170</v>
      </c>
    </row>
    <row r="56" spans="1:11" ht="15" x14ac:dyDescent="0.2">
      <c r="A56">
        <v>54</v>
      </c>
      <c r="B56" s="1" t="s">
        <v>548</v>
      </c>
      <c r="C56" t="s">
        <v>607</v>
      </c>
      <c r="D56" s="4" t="s">
        <v>22</v>
      </c>
      <c r="E56" s="4" t="s">
        <v>22</v>
      </c>
      <c r="F56" s="4" t="s">
        <v>1333</v>
      </c>
      <c r="H56">
        <v>166</v>
      </c>
      <c r="I56">
        <v>166</v>
      </c>
      <c r="J56">
        <v>166</v>
      </c>
      <c r="K56">
        <v>166</v>
      </c>
    </row>
    <row r="57" spans="1:11" ht="15" x14ac:dyDescent="0.2">
      <c r="A57">
        <v>55</v>
      </c>
      <c r="B57" s="1" t="s">
        <v>521</v>
      </c>
      <c r="C57" t="s">
        <v>874</v>
      </c>
      <c r="D57" s="4" t="s">
        <v>22</v>
      </c>
      <c r="E57" s="4" t="s">
        <v>22</v>
      </c>
      <c r="F57" s="4" t="s">
        <v>1333</v>
      </c>
      <c r="H57">
        <v>168</v>
      </c>
      <c r="I57">
        <v>168</v>
      </c>
      <c r="J57">
        <v>168</v>
      </c>
      <c r="K57">
        <v>168</v>
      </c>
    </row>
    <row r="58" spans="1:11" ht="15" x14ac:dyDescent="0.2">
      <c r="A58">
        <v>56</v>
      </c>
      <c r="B58" s="1" t="s">
        <v>522</v>
      </c>
      <c r="C58" t="s">
        <v>609</v>
      </c>
      <c r="D58" s="4" t="s">
        <v>22</v>
      </c>
      <c r="F58" s="4" t="s">
        <v>1333</v>
      </c>
      <c r="H58">
        <v>176</v>
      </c>
      <c r="I58">
        <v>176</v>
      </c>
      <c r="J58">
        <v>176</v>
      </c>
      <c r="K58">
        <v>176</v>
      </c>
    </row>
    <row r="59" spans="1:11" ht="15" x14ac:dyDescent="0.2">
      <c r="A59">
        <v>57</v>
      </c>
      <c r="B59" s="1" t="s">
        <v>1344</v>
      </c>
      <c r="C59" t="s">
        <v>1345</v>
      </c>
      <c r="D59" s="4" t="s">
        <v>1337</v>
      </c>
      <c r="F59" s="4" t="s">
        <v>1337</v>
      </c>
      <c r="H59">
        <v>124</v>
      </c>
      <c r="I59">
        <v>124</v>
      </c>
      <c r="J59">
        <v>124</v>
      </c>
      <c r="K59">
        <v>124</v>
      </c>
    </row>
    <row r="60" spans="1:11" ht="15" x14ac:dyDescent="0.2">
      <c r="A60">
        <v>58</v>
      </c>
      <c r="B60" s="1" t="s">
        <v>1346</v>
      </c>
      <c r="C60" t="s">
        <v>1347</v>
      </c>
      <c r="D60" s="4" t="s">
        <v>1337</v>
      </c>
      <c r="F60" s="4" t="s">
        <v>1337</v>
      </c>
      <c r="H60">
        <v>125</v>
      </c>
      <c r="I60">
        <v>125</v>
      </c>
      <c r="J60">
        <v>125</v>
      </c>
      <c r="K60">
        <v>125</v>
      </c>
    </row>
    <row r="61" spans="1:11" ht="15" x14ac:dyDescent="0.2">
      <c r="A61">
        <v>59</v>
      </c>
      <c r="B61" s="1" t="s">
        <v>561</v>
      </c>
      <c r="C61" t="s">
        <v>862</v>
      </c>
      <c r="D61" s="4" t="s">
        <v>22</v>
      </c>
      <c r="E61" s="4" t="s">
        <v>22</v>
      </c>
      <c r="F61" s="4" t="s">
        <v>1333</v>
      </c>
      <c r="H61">
        <v>207</v>
      </c>
      <c r="I61">
        <v>207</v>
      </c>
      <c r="J61">
        <v>207</v>
      </c>
      <c r="K61">
        <v>207</v>
      </c>
    </row>
    <row r="62" spans="1:11" ht="15" x14ac:dyDescent="0.2">
      <c r="A62">
        <v>60</v>
      </c>
      <c r="B62" s="1" t="s">
        <v>562</v>
      </c>
      <c r="C62" t="s">
        <v>863</v>
      </c>
      <c r="D62" s="4" t="s">
        <v>22</v>
      </c>
      <c r="E62" s="4" t="s">
        <v>22</v>
      </c>
      <c r="F62" s="4" t="s">
        <v>1333</v>
      </c>
      <c r="H62">
        <v>210</v>
      </c>
      <c r="I62">
        <v>210</v>
      </c>
      <c r="J62">
        <v>210</v>
      </c>
      <c r="K62">
        <v>210</v>
      </c>
    </row>
    <row r="63" spans="1:11" ht="15" x14ac:dyDescent="0.2">
      <c r="A63">
        <v>61</v>
      </c>
      <c r="B63" s="1" t="s">
        <v>1348</v>
      </c>
      <c r="C63" t="s">
        <v>1403</v>
      </c>
      <c r="D63" s="4" t="s">
        <v>1337</v>
      </c>
      <c r="F63" s="4" t="s">
        <v>1337</v>
      </c>
      <c r="H63">
        <v>7</v>
      </c>
      <c r="I63">
        <v>7</v>
      </c>
      <c r="J63">
        <v>7</v>
      </c>
      <c r="K63">
        <v>7</v>
      </c>
    </row>
    <row r="64" spans="1:11" ht="15" x14ac:dyDescent="0.2">
      <c r="A64">
        <v>62</v>
      </c>
      <c r="B64" s="1" t="s">
        <v>523</v>
      </c>
      <c r="C64" t="s">
        <v>867</v>
      </c>
      <c r="D64" s="4" t="s">
        <v>22</v>
      </c>
      <c r="F64" s="4" t="s">
        <v>1333</v>
      </c>
      <c r="H64">
        <v>3</v>
      </c>
      <c r="I64">
        <v>3</v>
      </c>
      <c r="J64">
        <v>3</v>
      </c>
      <c r="K64">
        <v>3</v>
      </c>
    </row>
    <row r="65" spans="1:11" ht="15" x14ac:dyDescent="0.2">
      <c r="A65">
        <v>63</v>
      </c>
      <c r="B65" s="1" t="s">
        <v>560</v>
      </c>
      <c r="C65" t="s">
        <v>610</v>
      </c>
      <c r="D65" s="4" t="s">
        <v>22</v>
      </c>
      <c r="E65" s="4" t="s">
        <v>22</v>
      </c>
      <c r="F65" s="4" t="s">
        <v>1333</v>
      </c>
      <c r="H65">
        <v>139</v>
      </c>
      <c r="I65">
        <v>139</v>
      </c>
      <c r="J65">
        <v>139</v>
      </c>
      <c r="K65">
        <v>139</v>
      </c>
    </row>
    <row r="66" spans="1:11" ht="15" x14ac:dyDescent="0.2">
      <c r="A66">
        <v>64</v>
      </c>
      <c r="B66" s="1" t="s">
        <v>546</v>
      </c>
      <c r="C66" t="s">
        <v>611</v>
      </c>
      <c r="D66" s="4" t="s">
        <v>22</v>
      </c>
      <c r="E66" s="4" t="s">
        <v>22</v>
      </c>
      <c r="F66" s="4" t="s">
        <v>1333</v>
      </c>
      <c r="H66">
        <v>48</v>
      </c>
      <c r="I66">
        <v>48</v>
      </c>
      <c r="J66">
        <v>48</v>
      </c>
      <c r="K66">
        <v>48</v>
      </c>
    </row>
    <row r="67" spans="1:11" ht="15" x14ac:dyDescent="0.2">
      <c r="A67">
        <v>65</v>
      </c>
      <c r="B67" s="1" t="s">
        <v>538</v>
      </c>
      <c r="C67" t="s">
        <v>612</v>
      </c>
      <c r="D67" s="4" t="s">
        <v>22</v>
      </c>
      <c r="E67" s="4" t="s">
        <v>22</v>
      </c>
      <c r="F67" s="4" t="s">
        <v>1333</v>
      </c>
      <c r="H67">
        <v>138</v>
      </c>
      <c r="I67">
        <v>138</v>
      </c>
      <c r="J67">
        <v>138</v>
      </c>
      <c r="K67">
        <v>138</v>
      </c>
    </row>
    <row r="68" spans="1:11" ht="15" x14ac:dyDescent="0.2">
      <c r="A68">
        <v>66</v>
      </c>
      <c r="B68" s="1" t="s">
        <v>550</v>
      </c>
      <c r="C68" t="s">
        <v>613</v>
      </c>
      <c r="D68" s="4" t="s">
        <v>22</v>
      </c>
      <c r="E68" s="4" t="s">
        <v>22</v>
      </c>
      <c r="F68" s="4" t="s">
        <v>1333</v>
      </c>
      <c r="H68">
        <v>123</v>
      </c>
      <c r="I68">
        <v>123</v>
      </c>
      <c r="J68">
        <v>123</v>
      </c>
      <c r="K68">
        <v>123</v>
      </c>
    </row>
    <row r="69" spans="1:11" ht="15" x14ac:dyDescent="0.2">
      <c r="A69">
        <v>67</v>
      </c>
      <c r="B69" s="1" t="s">
        <v>549</v>
      </c>
      <c r="C69" t="s">
        <v>614</v>
      </c>
      <c r="D69" s="4" t="s">
        <v>22</v>
      </c>
      <c r="E69" s="4" t="s">
        <v>22</v>
      </c>
      <c r="F69" s="4" t="s">
        <v>1333</v>
      </c>
      <c r="H69">
        <v>191</v>
      </c>
      <c r="I69">
        <v>191</v>
      </c>
      <c r="J69">
        <v>191</v>
      </c>
      <c r="K69">
        <v>191</v>
      </c>
    </row>
    <row r="70" spans="1:11" ht="15" x14ac:dyDescent="0.2">
      <c r="A70">
        <v>68</v>
      </c>
      <c r="B70" s="1" t="s">
        <v>524</v>
      </c>
      <c r="C70" t="s">
        <v>777</v>
      </c>
      <c r="D70" s="4" t="s">
        <v>22</v>
      </c>
      <c r="E70" s="4" t="s">
        <v>22</v>
      </c>
      <c r="F70" s="4" t="s">
        <v>1333</v>
      </c>
      <c r="G70" t="b">
        <v>0</v>
      </c>
      <c r="H70">
        <v>140</v>
      </c>
      <c r="I70">
        <v>140</v>
      </c>
      <c r="J70">
        <v>140</v>
      </c>
      <c r="K70">
        <v>140</v>
      </c>
    </row>
    <row r="71" spans="1:11" ht="15" x14ac:dyDescent="0.2">
      <c r="A71">
        <v>69</v>
      </c>
      <c r="B71" s="1" t="s">
        <v>525</v>
      </c>
      <c r="C71" t="s">
        <v>616</v>
      </c>
      <c r="D71" s="4" t="s">
        <v>22</v>
      </c>
      <c r="F71" s="4" t="s">
        <v>1333</v>
      </c>
      <c r="H71">
        <v>117</v>
      </c>
      <c r="I71">
        <v>117</v>
      </c>
      <c r="J71">
        <v>117</v>
      </c>
      <c r="K71">
        <v>117</v>
      </c>
    </row>
    <row r="72" spans="1:11" ht="15" x14ac:dyDescent="0.2">
      <c r="A72">
        <v>70</v>
      </c>
      <c r="B72" s="1" t="s">
        <v>526</v>
      </c>
      <c r="C72" t="s">
        <v>617</v>
      </c>
      <c r="D72" s="4" t="s">
        <v>22</v>
      </c>
      <c r="F72" s="4" t="s">
        <v>1333</v>
      </c>
      <c r="H72">
        <v>118</v>
      </c>
      <c r="I72">
        <v>118</v>
      </c>
      <c r="J72">
        <v>118</v>
      </c>
      <c r="K72">
        <v>118</v>
      </c>
    </row>
    <row r="73" spans="1:11" ht="15" x14ac:dyDescent="0.2">
      <c r="A73">
        <v>71</v>
      </c>
      <c r="B73" s="1" t="s">
        <v>527</v>
      </c>
      <c r="C73" t="s">
        <v>615</v>
      </c>
      <c r="D73" s="4" t="s">
        <v>22</v>
      </c>
      <c r="F73" s="4" t="s">
        <v>1333</v>
      </c>
      <c r="H73">
        <v>119</v>
      </c>
      <c r="I73">
        <v>119</v>
      </c>
      <c r="J73">
        <v>119</v>
      </c>
      <c r="K73">
        <v>119</v>
      </c>
    </row>
    <row r="74" spans="1:11" ht="15" x14ac:dyDescent="0.2">
      <c r="A74">
        <v>72</v>
      </c>
      <c r="B74" s="1" t="s">
        <v>528</v>
      </c>
      <c r="C74" t="s">
        <v>618</v>
      </c>
      <c r="D74" s="4" t="s">
        <v>22</v>
      </c>
      <c r="E74" s="4" t="s">
        <v>22</v>
      </c>
      <c r="F74" s="4" t="s">
        <v>1333</v>
      </c>
      <c r="H74">
        <v>120</v>
      </c>
      <c r="I74">
        <v>120</v>
      </c>
      <c r="J74">
        <v>120</v>
      </c>
      <c r="K74">
        <v>120</v>
      </c>
    </row>
    <row r="75" spans="1:11" ht="15" x14ac:dyDescent="0.2">
      <c r="A75">
        <v>73</v>
      </c>
      <c r="B75" s="1" t="s">
        <v>529</v>
      </c>
      <c r="C75" t="s">
        <v>619</v>
      </c>
      <c r="D75" s="4" t="s">
        <v>22</v>
      </c>
      <c r="F75" s="4" t="s">
        <v>1333</v>
      </c>
      <c r="H75">
        <v>13</v>
      </c>
      <c r="I75">
        <v>13</v>
      </c>
      <c r="J75">
        <v>13</v>
      </c>
      <c r="K75">
        <v>13</v>
      </c>
    </row>
    <row r="76" spans="1:11" ht="15" x14ac:dyDescent="0.2">
      <c r="A76">
        <v>74</v>
      </c>
      <c r="B76" s="1" t="s">
        <v>563</v>
      </c>
      <c r="C76" t="s">
        <v>620</v>
      </c>
      <c r="D76" s="4" t="s">
        <v>22</v>
      </c>
      <c r="E76" s="4" t="s">
        <v>22</v>
      </c>
      <c r="F76" s="4" t="s">
        <v>1333</v>
      </c>
      <c r="H76">
        <v>213</v>
      </c>
      <c r="I76">
        <v>213</v>
      </c>
      <c r="J76">
        <v>213</v>
      </c>
      <c r="K76">
        <v>213</v>
      </c>
    </row>
    <row r="77" spans="1:11" ht="15" x14ac:dyDescent="0.2">
      <c r="A77">
        <v>75</v>
      </c>
      <c r="B77" s="1" t="s">
        <v>564</v>
      </c>
      <c r="C77" t="s">
        <v>621</v>
      </c>
      <c r="D77" s="4" t="s">
        <v>22</v>
      </c>
      <c r="E77" s="4" t="s">
        <v>22</v>
      </c>
      <c r="F77" s="4" t="s">
        <v>1333</v>
      </c>
      <c r="H77">
        <v>214</v>
      </c>
      <c r="I77">
        <v>214</v>
      </c>
      <c r="J77">
        <v>214</v>
      </c>
      <c r="K77">
        <v>214</v>
      </c>
    </row>
    <row r="78" spans="1:11" ht="15" x14ac:dyDescent="0.2">
      <c r="A78">
        <v>76</v>
      </c>
      <c r="B78" s="1" t="s">
        <v>565</v>
      </c>
      <c r="C78" t="s">
        <v>622</v>
      </c>
      <c r="D78" s="4" t="s">
        <v>22</v>
      </c>
      <c r="E78" s="4" t="s">
        <v>22</v>
      </c>
      <c r="F78" s="4" t="s">
        <v>1333</v>
      </c>
      <c r="H78">
        <v>215</v>
      </c>
      <c r="I78">
        <v>215</v>
      </c>
      <c r="J78">
        <v>215</v>
      </c>
      <c r="K78">
        <v>215</v>
      </c>
    </row>
    <row r="79" spans="1:11" ht="15" x14ac:dyDescent="0.2">
      <c r="A79">
        <v>77</v>
      </c>
      <c r="B79" s="1" t="s">
        <v>530</v>
      </c>
      <c r="C79" t="s">
        <v>623</v>
      </c>
      <c r="D79" s="4" t="s">
        <v>22</v>
      </c>
      <c r="E79" s="4" t="s">
        <v>22</v>
      </c>
      <c r="F79" s="4" t="s">
        <v>1333</v>
      </c>
      <c r="H79">
        <v>204</v>
      </c>
      <c r="I79">
        <v>204</v>
      </c>
      <c r="J79">
        <v>204</v>
      </c>
      <c r="K79">
        <v>204</v>
      </c>
    </row>
    <row r="80" spans="1:11" ht="15" x14ac:dyDescent="0.2">
      <c r="A80">
        <v>78</v>
      </c>
      <c r="B80" s="1" t="s">
        <v>539</v>
      </c>
      <c r="C80" t="s">
        <v>624</v>
      </c>
      <c r="D80" s="4" t="s">
        <v>22</v>
      </c>
      <c r="E80" s="4" t="s">
        <v>22</v>
      </c>
      <c r="F80" s="4" t="s">
        <v>1333</v>
      </c>
      <c r="H80">
        <v>178</v>
      </c>
      <c r="I80">
        <v>178</v>
      </c>
      <c r="J80">
        <v>178</v>
      </c>
      <c r="K80">
        <v>178</v>
      </c>
    </row>
    <row r="81" spans="1:11" ht="15" x14ac:dyDescent="0.2">
      <c r="A81">
        <v>79</v>
      </c>
      <c r="B81" s="1" t="s">
        <v>531</v>
      </c>
      <c r="C81" t="s">
        <v>625</v>
      </c>
      <c r="D81" s="4" t="s">
        <v>22</v>
      </c>
      <c r="F81" s="4" t="s">
        <v>1333</v>
      </c>
      <c r="H81">
        <v>71</v>
      </c>
      <c r="I81">
        <v>71</v>
      </c>
      <c r="J81">
        <v>71</v>
      </c>
      <c r="K81">
        <v>71</v>
      </c>
    </row>
    <row r="82" spans="1:11" ht="15" x14ac:dyDescent="0.2">
      <c r="A82">
        <v>80</v>
      </c>
      <c r="B82" s="1" t="s">
        <v>532</v>
      </c>
      <c r="C82" t="s">
        <v>626</v>
      </c>
      <c r="D82" s="4" t="s">
        <v>22</v>
      </c>
      <c r="F82" s="4" t="s">
        <v>1333</v>
      </c>
      <c r="G82" t="b">
        <v>0</v>
      </c>
      <c r="H82">
        <v>9</v>
      </c>
      <c r="I82">
        <v>9</v>
      </c>
      <c r="J82">
        <v>9</v>
      </c>
      <c r="K82">
        <v>9</v>
      </c>
    </row>
    <row r="83" spans="1:11" ht="15" x14ac:dyDescent="0.2">
      <c r="A83">
        <v>81</v>
      </c>
      <c r="B83" s="1" t="s">
        <v>552</v>
      </c>
      <c r="C83" t="s">
        <v>627</v>
      </c>
      <c r="D83" s="4" t="s">
        <v>22</v>
      </c>
      <c r="E83" s="4" t="s">
        <v>22</v>
      </c>
      <c r="F83" s="4" t="s">
        <v>1333</v>
      </c>
      <c r="H83">
        <v>179</v>
      </c>
      <c r="I83">
        <v>179</v>
      </c>
      <c r="J83">
        <v>179</v>
      </c>
      <c r="K83">
        <v>179</v>
      </c>
    </row>
    <row r="84" spans="1:11" ht="15" x14ac:dyDescent="0.2">
      <c r="A84">
        <v>82</v>
      </c>
      <c r="B84" s="1" t="s">
        <v>559</v>
      </c>
      <c r="C84" t="s">
        <v>628</v>
      </c>
      <c r="D84" s="4" t="s">
        <v>22</v>
      </c>
      <c r="E84" s="4" t="s">
        <v>22</v>
      </c>
      <c r="F84" s="4" t="s">
        <v>1333</v>
      </c>
      <c r="H84">
        <v>180</v>
      </c>
      <c r="I84">
        <v>180</v>
      </c>
      <c r="J84">
        <v>180</v>
      </c>
      <c r="K84">
        <v>180</v>
      </c>
    </row>
    <row r="85" spans="1:11" ht="15" x14ac:dyDescent="0.2">
      <c r="A85">
        <v>83</v>
      </c>
      <c r="B85" s="1" t="s">
        <v>544</v>
      </c>
      <c r="C85" t="s">
        <v>629</v>
      </c>
      <c r="D85" s="4" t="s">
        <v>22</v>
      </c>
      <c r="E85" s="4" t="s">
        <v>22</v>
      </c>
      <c r="F85" s="4" t="s">
        <v>1333</v>
      </c>
      <c r="G85" t="b">
        <v>0</v>
      </c>
      <c r="H85">
        <v>142</v>
      </c>
      <c r="I85">
        <v>142</v>
      </c>
      <c r="J85">
        <v>142</v>
      </c>
      <c r="K85">
        <v>142</v>
      </c>
    </row>
    <row r="86" spans="1:11" ht="15" x14ac:dyDescent="0.2">
      <c r="A86">
        <v>84</v>
      </c>
      <c r="B86" s="1" t="s">
        <v>540</v>
      </c>
      <c r="C86" t="s">
        <v>630</v>
      </c>
      <c r="D86" s="4" t="s">
        <v>22</v>
      </c>
      <c r="E86" s="4" t="s">
        <v>22</v>
      </c>
      <c r="F86" s="4" t="s">
        <v>1333</v>
      </c>
      <c r="H86">
        <v>14</v>
      </c>
      <c r="I86">
        <v>14</v>
      </c>
      <c r="J86">
        <v>14</v>
      </c>
      <c r="K86">
        <v>14</v>
      </c>
    </row>
    <row r="87" spans="1:11" ht="15" x14ac:dyDescent="0.2">
      <c r="A87">
        <v>85</v>
      </c>
      <c r="B87" s="1" t="s">
        <v>533</v>
      </c>
      <c r="C87" t="s">
        <v>631</v>
      </c>
      <c r="D87" s="4" t="s">
        <v>22</v>
      </c>
      <c r="F87" s="4" t="s">
        <v>1333</v>
      </c>
      <c r="H87">
        <v>109</v>
      </c>
      <c r="I87">
        <v>109</v>
      </c>
      <c r="J87">
        <v>109</v>
      </c>
      <c r="K87">
        <v>109</v>
      </c>
    </row>
    <row r="88" spans="1:11" ht="15" x14ac:dyDescent="0.2">
      <c r="A88">
        <v>86</v>
      </c>
      <c r="B88" s="1" t="s">
        <v>534</v>
      </c>
      <c r="C88" t="s">
        <v>632</v>
      </c>
      <c r="D88" s="4" t="s">
        <v>22</v>
      </c>
      <c r="F88" s="4" t="s">
        <v>1333</v>
      </c>
      <c r="H88">
        <v>105</v>
      </c>
      <c r="I88">
        <v>105</v>
      </c>
      <c r="J88">
        <v>105</v>
      </c>
      <c r="K88">
        <v>105</v>
      </c>
    </row>
    <row r="89" spans="1:11" ht="15" x14ac:dyDescent="0.2">
      <c r="A89">
        <v>87</v>
      </c>
      <c r="B89" s="1" t="s">
        <v>568</v>
      </c>
      <c r="C89" t="s">
        <v>633</v>
      </c>
      <c r="D89" s="4" t="s">
        <v>22</v>
      </c>
      <c r="E89" s="4" t="s">
        <v>22</v>
      </c>
      <c r="F89" s="4" t="s">
        <v>1333</v>
      </c>
      <c r="H89">
        <v>216</v>
      </c>
      <c r="I89">
        <v>216</v>
      </c>
      <c r="J89">
        <v>216</v>
      </c>
      <c r="K89">
        <v>216</v>
      </c>
    </row>
    <row r="90" spans="1:11" ht="15" x14ac:dyDescent="0.2">
      <c r="A90">
        <v>88</v>
      </c>
      <c r="B90" s="1" t="s">
        <v>82</v>
      </c>
      <c r="C90" t="s">
        <v>83</v>
      </c>
      <c r="D90" s="4" t="s">
        <v>22</v>
      </c>
      <c r="E90" s="4" t="s">
        <v>22</v>
      </c>
      <c r="F90" s="4" t="s">
        <v>1333</v>
      </c>
      <c r="H90">
        <v>106</v>
      </c>
      <c r="I90">
        <v>106</v>
      </c>
      <c r="J90">
        <v>106</v>
      </c>
      <c r="K90">
        <v>106</v>
      </c>
    </row>
    <row r="91" spans="1:11" ht="15" x14ac:dyDescent="0.2">
      <c r="A91">
        <v>89</v>
      </c>
      <c r="B91" s="1" t="s">
        <v>535</v>
      </c>
      <c r="C91" t="s">
        <v>608</v>
      </c>
      <c r="D91" s="4" t="s">
        <v>22</v>
      </c>
      <c r="F91" s="4" t="s">
        <v>1333</v>
      </c>
      <c r="H91">
        <v>167</v>
      </c>
      <c r="I91">
        <v>167</v>
      </c>
      <c r="J91">
        <v>167</v>
      </c>
      <c r="K91">
        <v>167</v>
      </c>
    </row>
    <row r="92" spans="1:11" ht="15" x14ac:dyDescent="0.2">
      <c r="A92">
        <v>90</v>
      </c>
      <c r="B92" s="1" t="s">
        <v>536</v>
      </c>
      <c r="C92" t="s">
        <v>634</v>
      </c>
      <c r="D92" s="4" t="s">
        <v>22</v>
      </c>
      <c r="F92" s="4" t="s">
        <v>1333</v>
      </c>
      <c r="H92">
        <v>175</v>
      </c>
      <c r="I92">
        <v>175</v>
      </c>
      <c r="J92">
        <v>175</v>
      </c>
      <c r="K92">
        <v>175</v>
      </c>
    </row>
    <row r="93" spans="1:11" ht="15" x14ac:dyDescent="0.2">
      <c r="A93">
        <v>91</v>
      </c>
      <c r="B93" s="1" t="s">
        <v>545</v>
      </c>
      <c r="C93" t="s">
        <v>635</v>
      </c>
      <c r="D93" s="4" t="s">
        <v>22</v>
      </c>
      <c r="E93" s="4" t="s">
        <v>22</v>
      </c>
      <c r="F93" s="4" t="s">
        <v>1333</v>
      </c>
      <c r="H93">
        <v>70</v>
      </c>
      <c r="I93">
        <v>70</v>
      </c>
      <c r="J93">
        <v>70</v>
      </c>
      <c r="K93">
        <v>70</v>
      </c>
    </row>
    <row r="94" spans="1:11" ht="15" x14ac:dyDescent="0.2">
      <c r="A94">
        <v>92</v>
      </c>
      <c r="B94" s="1" t="s">
        <v>537</v>
      </c>
      <c r="D94" s="4" t="s">
        <v>22</v>
      </c>
      <c r="E94" s="4" t="s">
        <v>22</v>
      </c>
      <c r="F94" s="4" t="s">
        <v>1333</v>
      </c>
      <c r="H94">
        <v>217</v>
      </c>
      <c r="I94">
        <v>217</v>
      </c>
      <c r="J94">
        <v>217</v>
      </c>
      <c r="K94">
        <v>217</v>
      </c>
    </row>
    <row r="95" spans="1:11" ht="15" x14ac:dyDescent="0.2">
      <c r="A95">
        <v>93</v>
      </c>
      <c r="B95" s="1" t="s">
        <v>1350</v>
      </c>
      <c r="C95" t="s">
        <v>1375</v>
      </c>
      <c r="D95" s="4" t="s">
        <v>22</v>
      </c>
      <c r="F95" s="4" t="s">
        <v>22</v>
      </c>
      <c r="I95">
        <v>221</v>
      </c>
      <c r="K95">
        <v>221</v>
      </c>
    </row>
    <row r="96" spans="1:11" ht="15" x14ac:dyDescent="0.2">
      <c r="A96">
        <v>94</v>
      </c>
      <c r="B96" s="1" t="s">
        <v>1351</v>
      </c>
      <c r="C96" t="s">
        <v>1416</v>
      </c>
      <c r="D96" s="4" t="s">
        <v>22</v>
      </c>
      <c r="F96" s="4" t="s">
        <v>22</v>
      </c>
      <c r="I96">
        <v>222</v>
      </c>
      <c r="K96">
        <v>222</v>
      </c>
    </row>
    <row r="97" spans="1:11" ht="15" x14ac:dyDescent="0.2">
      <c r="A97">
        <v>95</v>
      </c>
      <c r="B97" s="1" t="s">
        <v>1352</v>
      </c>
      <c r="C97" t="s">
        <v>1377</v>
      </c>
      <c r="D97" s="4" t="s">
        <v>22</v>
      </c>
      <c r="F97" s="4" t="s">
        <v>22</v>
      </c>
      <c r="I97">
        <v>223</v>
      </c>
      <c r="K97">
        <v>223</v>
      </c>
    </row>
    <row r="98" spans="1:11" ht="15" x14ac:dyDescent="0.2">
      <c r="A98">
        <v>96</v>
      </c>
      <c r="B98" s="1" t="s">
        <v>1353</v>
      </c>
      <c r="C98" t="s">
        <v>1378</v>
      </c>
      <c r="D98" s="4" t="s">
        <v>22</v>
      </c>
      <c r="F98" s="4" t="s">
        <v>22</v>
      </c>
      <c r="I98">
        <v>224</v>
      </c>
      <c r="K98">
        <v>224</v>
      </c>
    </row>
    <row r="99" spans="1:11" ht="15" x14ac:dyDescent="0.2">
      <c r="A99">
        <v>97</v>
      </c>
      <c r="B99" s="1" t="s">
        <v>1354</v>
      </c>
      <c r="C99" t="s">
        <v>1376</v>
      </c>
      <c r="D99" s="4" t="s">
        <v>22</v>
      </c>
      <c r="F99" s="4" t="s">
        <v>22</v>
      </c>
      <c r="I99">
        <v>225</v>
      </c>
      <c r="K99">
        <v>225</v>
      </c>
    </row>
    <row r="100" spans="1:11" ht="15" x14ac:dyDescent="0.2">
      <c r="A100">
        <v>98</v>
      </c>
      <c r="B100" s="1" t="s">
        <v>1355</v>
      </c>
      <c r="C100" t="s">
        <v>1379</v>
      </c>
      <c r="D100" s="4" t="s">
        <v>22</v>
      </c>
      <c r="F100" s="4" t="s">
        <v>22</v>
      </c>
      <c r="I100">
        <v>226</v>
      </c>
      <c r="K100">
        <v>226</v>
      </c>
    </row>
    <row r="101" spans="1:11" ht="15" x14ac:dyDescent="0.2">
      <c r="A101">
        <v>99</v>
      </c>
      <c r="B101" s="1" t="s">
        <v>1356</v>
      </c>
      <c r="C101" t="s">
        <v>1381</v>
      </c>
      <c r="D101" s="4" t="s">
        <v>22</v>
      </c>
      <c r="F101" s="4" t="s">
        <v>22</v>
      </c>
      <c r="I101">
        <v>227</v>
      </c>
      <c r="K101">
        <v>227</v>
      </c>
    </row>
    <row r="102" spans="1:11" ht="15" x14ac:dyDescent="0.2">
      <c r="A102">
        <v>100</v>
      </c>
      <c r="B102" s="1" t="s">
        <v>1357</v>
      </c>
      <c r="C102" t="s">
        <v>1382</v>
      </c>
      <c r="D102" s="4" t="s">
        <v>22</v>
      </c>
      <c r="F102" s="4" t="s">
        <v>22</v>
      </c>
      <c r="I102">
        <v>228</v>
      </c>
      <c r="K102">
        <v>228</v>
      </c>
    </row>
    <row r="103" spans="1:11" ht="15" x14ac:dyDescent="0.2">
      <c r="A103">
        <v>101</v>
      </c>
      <c r="B103" s="1" t="s">
        <v>1358</v>
      </c>
      <c r="C103" t="s">
        <v>1383</v>
      </c>
      <c r="D103" s="4" t="s">
        <v>22</v>
      </c>
      <c r="F103" s="4" t="s">
        <v>22</v>
      </c>
      <c r="I103">
        <v>229</v>
      </c>
      <c r="K103">
        <v>229</v>
      </c>
    </row>
    <row r="104" spans="1:11" ht="15" x14ac:dyDescent="0.2">
      <c r="A104">
        <v>102</v>
      </c>
      <c r="B104" s="1" t="s">
        <v>1359</v>
      </c>
      <c r="C104" t="s">
        <v>1384</v>
      </c>
      <c r="D104" s="4" t="s">
        <v>22</v>
      </c>
      <c r="F104" s="4" t="s">
        <v>22</v>
      </c>
      <c r="I104">
        <v>230</v>
      </c>
      <c r="K104">
        <v>230</v>
      </c>
    </row>
    <row r="105" spans="1:11" ht="15" x14ac:dyDescent="0.2">
      <c r="A105">
        <v>103</v>
      </c>
      <c r="B105" s="1" t="s">
        <v>1360</v>
      </c>
      <c r="C105" t="s">
        <v>1385</v>
      </c>
      <c r="D105" s="4" t="s">
        <v>22</v>
      </c>
      <c r="F105" s="4" t="s">
        <v>22</v>
      </c>
      <c r="I105">
        <v>231</v>
      </c>
      <c r="K105">
        <v>231</v>
      </c>
    </row>
    <row r="106" spans="1:11" ht="15" x14ac:dyDescent="0.2">
      <c r="A106">
        <v>104</v>
      </c>
      <c r="B106" s="1" t="s">
        <v>1361</v>
      </c>
      <c r="D106" s="4" t="s">
        <v>22</v>
      </c>
      <c r="F106" s="4" t="s">
        <v>22</v>
      </c>
      <c r="H106">
        <v>218</v>
      </c>
      <c r="I106">
        <v>218</v>
      </c>
      <c r="J106">
        <v>218</v>
      </c>
      <c r="K106">
        <v>218</v>
      </c>
    </row>
    <row r="107" spans="1:11" ht="15" x14ac:dyDescent="0.2">
      <c r="A107">
        <v>105</v>
      </c>
      <c r="B107" s="1" t="s">
        <v>1362</v>
      </c>
      <c r="C107" t="s">
        <v>1380</v>
      </c>
      <c r="D107" s="4" t="s">
        <v>22</v>
      </c>
      <c r="F107" s="4" t="s">
        <v>22</v>
      </c>
      <c r="G107" t="b">
        <v>0</v>
      </c>
      <c r="I107">
        <v>232</v>
      </c>
      <c r="K107">
        <v>232</v>
      </c>
    </row>
    <row r="108" spans="1:11" ht="15" x14ac:dyDescent="0.2">
      <c r="A108">
        <v>106</v>
      </c>
      <c r="B108" s="1" t="s">
        <v>1363</v>
      </c>
      <c r="D108" s="4" t="s">
        <v>22</v>
      </c>
      <c r="F108" s="4" t="s">
        <v>22</v>
      </c>
      <c r="H108">
        <v>219</v>
      </c>
      <c r="I108">
        <v>219</v>
      </c>
      <c r="J108">
        <v>219</v>
      </c>
      <c r="K108">
        <v>219</v>
      </c>
    </row>
    <row r="109" spans="1:11" ht="15" x14ac:dyDescent="0.2">
      <c r="A109">
        <v>107</v>
      </c>
      <c r="B109" s="1" t="s">
        <v>1364</v>
      </c>
      <c r="C109" t="s">
        <v>1386</v>
      </c>
      <c r="D109" s="4" t="s">
        <v>22</v>
      </c>
      <c r="F109" s="4" t="s">
        <v>22</v>
      </c>
      <c r="I109">
        <v>233</v>
      </c>
      <c r="K109">
        <v>233</v>
      </c>
    </row>
    <row r="110" spans="1:11" ht="15" x14ac:dyDescent="0.2">
      <c r="A110">
        <v>108</v>
      </c>
      <c r="B110" s="1" t="s">
        <v>1365</v>
      </c>
      <c r="C110" t="s">
        <v>1387</v>
      </c>
      <c r="D110" s="4" t="s">
        <v>22</v>
      </c>
      <c r="F110" s="4" t="s">
        <v>22</v>
      </c>
      <c r="I110">
        <v>234</v>
      </c>
      <c r="K110">
        <v>234</v>
      </c>
    </row>
    <row r="111" spans="1:11" ht="15" x14ac:dyDescent="0.2">
      <c r="A111">
        <v>109</v>
      </c>
      <c r="B111" s="1" t="s">
        <v>1366</v>
      </c>
      <c r="C111" t="s">
        <v>1388</v>
      </c>
      <c r="D111" s="4" t="s">
        <v>22</v>
      </c>
      <c r="F111" s="4" t="s">
        <v>22</v>
      </c>
      <c r="I111">
        <v>235</v>
      </c>
      <c r="K111">
        <v>235</v>
      </c>
    </row>
    <row r="112" spans="1:11" ht="15" x14ac:dyDescent="0.2">
      <c r="A112">
        <v>110</v>
      </c>
      <c r="B112" s="1" t="s">
        <v>1367</v>
      </c>
      <c r="C112" t="s">
        <v>1389</v>
      </c>
      <c r="D112" s="4" t="s">
        <v>22</v>
      </c>
      <c r="F112" s="4" t="s">
        <v>22</v>
      </c>
      <c r="I112">
        <v>236</v>
      </c>
      <c r="K112">
        <v>236</v>
      </c>
    </row>
    <row r="113" spans="1:11" ht="15" x14ac:dyDescent="0.2">
      <c r="A113">
        <v>111</v>
      </c>
      <c r="B113" s="1" t="s">
        <v>1368</v>
      </c>
      <c r="C113" t="s">
        <v>1390</v>
      </c>
      <c r="D113" s="4" t="s">
        <v>22</v>
      </c>
      <c r="F113" s="4" t="s">
        <v>22</v>
      </c>
      <c r="G113" t="b">
        <v>1</v>
      </c>
      <c r="I113">
        <v>237</v>
      </c>
      <c r="K113">
        <v>237</v>
      </c>
    </row>
    <row r="114" spans="1:11" ht="15" x14ac:dyDescent="0.2">
      <c r="A114">
        <v>112</v>
      </c>
      <c r="B114" s="1" t="s">
        <v>1369</v>
      </c>
      <c r="C114" t="s">
        <v>1391</v>
      </c>
      <c r="D114" s="4" t="s">
        <v>22</v>
      </c>
      <c r="F114" s="4" t="s">
        <v>22</v>
      </c>
      <c r="G114" t="b">
        <v>0</v>
      </c>
      <c r="I114">
        <v>238</v>
      </c>
      <c r="K114">
        <v>238</v>
      </c>
    </row>
    <row r="115" spans="1:11" ht="15" x14ac:dyDescent="0.2">
      <c r="A115">
        <v>113</v>
      </c>
      <c r="B115" s="1" t="s">
        <v>1370</v>
      </c>
      <c r="C115" t="s">
        <v>1392</v>
      </c>
      <c r="D115" s="4" t="s">
        <v>22</v>
      </c>
      <c r="F115" s="4" t="s">
        <v>22</v>
      </c>
      <c r="G115" t="b">
        <v>0</v>
      </c>
      <c r="I115">
        <v>239</v>
      </c>
      <c r="K115">
        <v>239</v>
      </c>
    </row>
    <row r="116" spans="1:11" ht="15" x14ac:dyDescent="0.2">
      <c r="A116">
        <v>114</v>
      </c>
      <c r="B116" s="1" t="s">
        <v>1371</v>
      </c>
      <c r="C116" t="s">
        <v>1393</v>
      </c>
      <c r="D116" s="4" t="s">
        <v>22</v>
      </c>
      <c r="F116" s="4" t="s">
        <v>22</v>
      </c>
      <c r="I116">
        <v>240</v>
      </c>
      <c r="K116">
        <v>240</v>
      </c>
    </row>
    <row r="117" spans="1:11" ht="15" x14ac:dyDescent="0.2">
      <c r="A117">
        <v>115</v>
      </c>
      <c r="B117" s="1" t="s">
        <v>1372</v>
      </c>
      <c r="C117" t="s">
        <v>1415</v>
      </c>
      <c r="D117" s="4" t="s">
        <v>22</v>
      </c>
      <c r="F117" s="4" t="s">
        <v>22</v>
      </c>
      <c r="G117" t="b">
        <v>0</v>
      </c>
      <c r="I117">
        <v>241</v>
      </c>
      <c r="K117">
        <v>241</v>
      </c>
    </row>
    <row r="118" spans="1:11" ht="15" x14ac:dyDescent="0.2">
      <c r="A118">
        <v>116</v>
      </c>
      <c r="B118" s="1" t="s">
        <v>1373</v>
      </c>
      <c r="C118" t="s">
        <v>1414</v>
      </c>
      <c r="D118" s="4" t="s">
        <v>22</v>
      </c>
      <c r="F118" s="4" t="s">
        <v>22</v>
      </c>
      <c r="I118">
        <v>242</v>
      </c>
      <c r="K118">
        <v>242</v>
      </c>
    </row>
    <row r="119" spans="1:11" ht="15" x14ac:dyDescent="0.2">
      <c r="A119">
        <v>117</v>
      </c>
      <c r="B119" s="1" t="s">
        <v>1374</v>
      </c>
      <c r="D119" s="4" t="s">
        <v>22</v>
      </c>
      <c r="F119" s="4" t="s">
        <v>22</v>
      </c>
      <c r="G119" t="b">
        <v>0</v>
      </c>
      <c r="H119">
        <v>220</v>
      </c>
      <c r="I119">
        <v>220</v>
      </c>
      <c r="J119">
        <v>220</v>
      </c>
      <c r="K119">
        <v>220</v>
      </c>
    </row>
    <row r="120" spans="1:11" ht="15" x14ac:dyDescent="0.2">
      <c r="A120">
        <v>118</v>
      </c>
      <c r="B120" s="6" t="s">
        <v>877</v>
      </c>
      <c r="C120" t="s">
        <v>878</v>
      </c>
      <c r="F120" s="4" t="s">
        <v>22</v>
      </c>
      <c r="H120">
        <v>169</v>
      </c>
      <c r="I120">
        <v>169</v>
      </c>
      <c r="J120">
        <v>169</v>
      </c>
      <c r="K120">
        <v>169</v>
      </c>
    </row>
    <row r="121" spans="1:11" ht="15" x14ac:dyDescent="0.2">
      <c r="A121">
        <v>119</v>
      </c>
      <c r="B121" s="6" t="s">
        <v>752</v>
      </c>
      <c r="C121" t="s">
        <v>756</v>
      </c>
      <c r="F121" s="4" t="s">
        <v>1333</v>
      </c>
      <c r="H121">
        <v>185</v>
      </c>
      <c r="I121">
        <v>185</v>
      </c>
      <c r="J121">
        <v>185</v>
      </c>
      <c r="K121">
        <v>185</v>
      </c>
    </row>
    <row r="122" spans="1:11" ht="15" x14ac:dyDescent="0.2">
      <c r="A122">
        <v>120</v>
      </c>
      <c r="B122" s="6" t="s">
        <v>753</v>
      </c>
      <c r="C122" t="s">
        <v>757</v>
      </c>
      <c r="F122" s="4" t="s">
        <v>1333</v>
      </c>
      <c r="H122">
        <v>186</v>
      </c>
      <c r="I122">
        <v>186</v>
      </c>
      <c r="J122">
        <v>186</v>
      </c>
      <c r="K122">
        <v>186</v>
      </c>
    </row>
    <row r="123" spans="1:11" ht="15" x14ac:dyDescent="0.2">
      <c r="A123">
        <v>121</v>
      </c>
      <c r="B123" s="6" t="s">
        <v>754</v>
      </c>
      <c r="C123" t="s">
        <v>758</v>
      </c>
      <c r="F123" s="4" t="s">
        <v>1333</v>
      </c>
      <c r="H123">
        <v>187</v>
      </c>
      <c r="I123">
        <v>187</v>
      </c>
      <c r="J123">
        <v>187</v>
      </c>
      <c r="K123">
        <v>187</v>
      </c>
    </row>
    <row r="124" spans="1:11" ht="15" x14ac:dyDescent="0.2">
      <c r="A124">
        <v>122</v>
      </c>
      <c r="B124" s="6" t="s">
        <v>755</v>
      </c>
      <c r="C124" t="s">
        <v>759</v>
      </c>
      <c r="F124" s="4" t="s">
        <v>1333</v>
      </c>
      <c r="H124">
        <v>188</v>
      </c>
      <c r="I124">
        <v>188</v>
      </c>
      <c r="J124">
        <v>188</v>
      </c>
      <c r="K124">
        <v>188</v>
      </c>
    </row>
    <row r="125" spans="1:11" ht="15" x14ac:dyDescent="0.2">
      <c r="A125">
        <v>123</v>
      </c>
      <c r="B125" s="6" t="s">
        <v>767</v>
      </c>
      <c r="C125" t="s">
        <v>857</v>
      </c>
      <c r="E125" s="4" t="s">
        <v>22</v>
      </c>
      <c r="F125" s="4" t="s">
        <v>1333</v>
      </c>
      <c r="H125">
        <v>163</v>
      </c>
      <c r="I125">
        <v>163</v>
      </c>
      <c r="J125">
        <v>163</v>
      </c>
      <c r="K125">
        <v>163</v>
      </c>
    </row>
    <row r="126" spans="1:11" ht="15" x14ac:dyDescent="0.2">
      <c r="A126">
        <v>124</v>
      </c>
      <c r="B126" s="6" t="s">
        <v>768</v>
      </c>
      <c r="C126" t="s">
        <v>858</v>
      </c>
      <c r="E126" s="4" t="s">
        <v>22</v>
      </c>
      <c r="F126" s="4" t="s">
        <v>1333</v>
      </c>
      <c r="H126">
        <v>164</v>
      </c>
      <c r="I126">
        <v>164</v>
      </c>
      <c r="J126">
        <v>164</v>
      </c>
      <c r="K126">
        <v>164</v>
      </c>
    </row>
    <row r="127" spans="1:11" ht="15" x14ac:dyDescent="0.2">
      <c r="A127">
        <v>125</v>
      </c>
      <c r="B127" s="6" t="s">
        <v>879</v>
      </c>
      <c r="C127" t="s">
        <v>859</v>
      </c>
      <c r="E127" s="4" t="s">
        <v>22</v>
      </c>
      <c r="F127" s="4" t="s">
        <v>1333</v>
      </c>
      <c r="H127">
        <v>171</v>
      </c>
      <c r="I127">
        <v>171</v>
      </c>
      <c r="J127">
        <v>171</v>
      </c>
      <c r="K127">
        <v>171</v>
      </c>
    </row>
    <row r="128" spans="1:11" ht="15" x14ac:dyDescent="0.2">
      <c r="A128">
        <v>126</v>
      </c>
      <c r="B128" s="6" t="s">
        <v>880</v>
      </c>
      <c r="C128" t="s">
        <v>860</v>
      </c>
      <c r="E128" s="4" t="s">
        <v>22</v>
      </c>
      <c r="F128" s="4" t="s">
        <v>1333</v>
      </c>
      <c r="H128">
        <v>173</v>
      </c>
      <c r="I128">
        <v>173</v>
      </c>
      <c r="J128">
        <v>173</v>
      </c>
      <c r="K128">
        <v>173</v>
      </c>
    </row>
    <row r="129" spans="1:11" ht="15" x14ac:dyDescent="0.2">
      <c r="A129">
        <v>127</v>
      </c>
      <c r="B129" s="6" t="s">
        <v>882</v>
      </c>
      <c r="C129" t="s">
        <v>884</v>
      </c>
      <c r="E129" s="4" t="s">
        <v>22</v>
      </c>
      <c r="F129" s="4" t="s">
        <v>1333</v>
      </c>
      <c r="H129">
        <v>172</v>
      </c>
      <c r="I129">
        <v>172</v>
      </c>
      <c r="J129">
        <v>172</v>
      </c>
      <c r="K129">
        <v>172</v>
      </c>
    </row>
    <row r="130" spans="1:11" ht="15" x14ac:dyDescent="0.2">
      <c r="A130">
        <v>128</v>
      </c>
      <c r="B130" s="6" t="s">
        <v>883</v>
      </c>
      <c r="C130" t="s">
        <v>885</v>
      </c>
      <c r="E130" s="4" t="s">
        <v>22</v>
      </c>
      <c r="F130" s="4" t="s">
        <v>1333</v>
      </c>
      <c r="H130">
        <v>174</v>
      </c>
      <c r="I130">
        <v>174</v>
      </c>
      <c r="J130">
        <v>174</v>
      </c>
      <c r="K130">
        <v>174</v>
      </c>
    </row>
    <row r="131" spans="1:11" ht="15" x14ac:dyDescent="0.2">
      <c r="A131">
        <v>129</v>
      </c>
      <c r="B131" s="6" t="s">
        <v>771</v>
      </c>
      <c r="C131" t="s">
        <v>861</v>
      </c>
      <c r="E131" s="4" t="s">
        <v>22</v>
      </c>
      <c r="F131" s="4" t="s">
        <v>1333</v>
      </c>
      <c r="H131">
        <v>208</v>
      </c>
      <c r="I131">
        <v>208</v>
      </c>
      <c r="J131">
        <v>208</v>
      </c>
      <c r="K131">
        <v>208</v>
      </c>
    </row>
    <row r="132" spans="1:11" ht="15" x14ac:dyDescent="0.2">
      <c r="A132">
        <v>130</v>
      </c>
      <c r="B132" s="6" t="s">
        <v>772</v>
      </c>
      <c r="C132" t="s">
        <v>864</v>
      </c>
      <c r="E132" s="4" t="s">
        <v>22</v>
      </c>
      <c r="F132" s="4" t="s">
        <v>1333</v>
      </c>
      <c r="H132">
        <v>209</v>
      </c>
      <c r="I132">
        <v>209</v>
      </c>
      <c r="J132">
        <v>209</v>
      </c>
      <c r="K132">
        <v>209</v>
      </c>
    </row>
    <row r="133" spans="1:11" ht="15" x14ac:dyDescent="0.2">
      <c r="A133">
        <v>131</v>
      </c>
      <c r="B133" s="6" t="s">
        <v>773</v>
      </c>
      <c r="C133" t="s">
        <v>865</v>
      </c>
      <c r="E133" s="4" t="s">
        <v>22</v>
      </c>
      <c r="F133" s="4" t="s">
        <v>1333</v>
      </c>
      <c r="H133">
        <v>211</v>
      </c>
      <c r="I133">
        <v>211</v>
      </c>
      <c r="J133">
        <v>211</v>
      </c>
      <c r="K133">
        <v>211</v>
      </c>
    </row>
    <row r="134" spans="1:11" ht="15" x14ac:dyDescent="0.2">
      <c r="A134">
        <v>132</v>
      </c>
      <c r="B134" s="6" t="s">
        <v>774</v>
      </c>
      <c r="C134" t="s">
        <v>866</v>
      </c>
      <c r="E134" s="4" t="s">
        <v>22</v>
      </c>
      <c r="F134" s="4" t="s">
        <v>1333</v>
      </c>
      <c r="H134">
        <v>212</v>
      </c>
      <c r="I134">
        <v>212</v>
      </c>
      <c r="J134">
        <v>212</v>
      </c>
      <c r="K134">
        <v>212</v>
      </c>
    </row>
    <row r="135" spans="1:11" ht="15" x14ac:dyDescent="0.2">
      <c r="A135">
        <v>133</v>
      </c>
      <c r="B135" s="6" t="s">
        <v>769</v>
      </c>
      <c r="C135" t="s">
        <v>868</v>
      </c>
      <c r="F135" s="4" t="s">
        <v>1333</v>
      </c>
      <c r="H135">
        <v>4</v>
      </c>
      <c r="I135">
        <v>4</v>
      </c>
      <c r="J135">
        <v>4</v>
      </c>
      <c r="K135">
        <v>4</v>
      </c>
    </row>
    <row r="136" spans="1:11" ht="15" x14ac:dyDescent="0.2">
      <c r="A136">
        <v>134</v>
      </c>
      <c r="B136" s="6" t="s">
        <v>770</v>
      </c>
      <c r="C136" t="s">
        <v>869</v>
      </c>
      <c r="F136" s="4" t="s">
        <v>1333</v>
      </c>
      <c r="H136">
        <v>5</v>
      </c>
      <c r="I136">
        <v>5</v>
      </c>
      <c r="J136">
        <v>5</v>
      </c>
      <c r="K136">
        <v>5</v>
      </c>
    </row>
    <row r="137" spans="1:11" ht="15" x14ac:dyDescent="0.2">
      <c r="A137">
        <v>135</v>
      </c>
      <c r="B137" s="6" t="s">
        <v>775</v>
      </c>
      <c r="C137" t="s">
        <v>870</v>
      </c>
      <c r="E137" s="4" t="s">
        <v>22</v>
      </c>
      <c r="F137" s="4" t="s">
        <v>1333</v>
      </c>
      <c r="H137">
        <v>49</v>
      </c>
      <c r="I137">
        <v>49</v>
      </c>
      <c r="J137">
        <v>49</v>
      </c>
      <c r="K137">
        <v>49</v>
      </c>
    </row>
    <row r="138" spans="1:11" ht="15" x14ac:dyDescent="0.2">
      <c r="A138">
        <v>136</v>
      </c>
      <c r="B138" s="6" t="s">
        <v>776</v>
      </c>
      <c r="C138" t="s">
        <v>871</v>
      </c>
      <c r="E138" s="4" t="s">
        <v>22</v>
      </c>
      <c r="F138" s="4" t="s">
        <v>1333</v>
      </c>
      <c r="H138">
        <v>50</v>
      </c>
      <c r="I138">
        <v>50</v>
      </c>
      <c r="J138">
        <v>50</v>
      </c>
      <c r="K138">
        <v>50</v>
      </c>
    </row>
    <row r="139" spans="1:11" ht="15" x14ac:dyDescent="0.2">
      <c r="A139">
        <v>137</v>
      </c>
      <c r="B139" s="6" t="s">
        <v>2066</v>
      </c>
      <c r="C139" t="s">
        <v>2068</v>
      </c>
      <c r="H139">
        <v>183</v>
      </c>
      <c r="I139">
        <v>183</v>
      </c>
      <c r="J139">
        <v>183</v>
      </c>
      <c r="K139">
        <v>183</v>
      </c>
    </row>
    <row r="140" spans="1:11" ht="15" x14ac:dyDescent="0.2">
      <c r="A140">
        <v>138</v>
      </c>
      <c r="B140" s="6" t="s">
        <v>2067</v>
      </c>
      <c r="C140" t="s">
        <v>2069</v>
      </c>
      <c r="H140">
        <v>184</v>
      </c>
      <c r="I140">
        <v>184</v>
      </c>
      <c r="J140">
        <v>184</v>
      </c>
      <c r="K140">
        <v>184</v>
      </c>
    </row>
    <row r="141" spans="1:11" ht="15" x14ac:dyDescent="0.2">
      <c r="A141">
        <v>139</v>
      </c>
      <c r="B141" s="6" t="s">
        <v>1408</v>
      </c>
      <c r="C141" t="s">
        <v>1410</v>
      </c>
      <c r="F141" s="4" t="s">
        <v>22</v>
      </c>
      <c r="I141">
        <v>243</v>
      </c>
      <c r="K141">
        <v>243</v>
      </c>
    </row>
    <row r="142" spans="1:11" ht="15" x14ac:dyDescent="0.2">
      <c r="A142">
        <v>140</v>
      </c>
      <c r="B142" s="6" t="s">
        <v>1409</v>
      </c>
      <c r="C142" t="s">
        <v>1411</v>
      </c>
      <c r="F142" s="4" t="s">
        <v>22</v>
      </c>
      <c r="I142">
        <v>244</v>
      </c>
      <c r="K142">
        <v>244</v>
      </c>
    </row>
    <row r="143" spans="1:11" ht="15" x14ac:dyDescent="0.2">
      <c r="A143">
        <v>141</v>
      </c>
      <c r="B143" s="6" t="s">
        <v>1412</v>
      </c>
      <c r="C143" t="s">
        <v>1413</v>
      </c>
      <c r="I143">
        <v>245</v>
      </c>
      <c r="K143">
        <v>245</v>
      </c>
    </row>
    <row r="144" spans="1:11" ht="15" x14ac:dyDescent="0.2">
      <c r="A144">
        <v>142</v>
      </c>
      <c r="B144" s="6" t="s">
        <v>1404</v>
      </c>
      <c r="C144" t="s">
        <v>1406</v>
      </c>
      <c r="F144" s="4" t="s">
        <v>22</v>
      </c>
      <c r="I144">
        <v>246</v>
      </c>
      <c r="K144">
        <v>246</v>
      </c>
    </row>
    <row r="145" spans="1:11" ht="15" x14ac:dyDescent="0.2">
      <c r="A145">
        <v>143</v>
      </c>
      <c r="B145" s="6" t="s">
        <v>1405</v>
      </c>
      <c r="C145" t="s">
        <v>1407</v>
      </c>
      <c r="F145" s="4" t="s">
        <v>22</v>
      </c>
      <c r="I145">
        <v>247</v>
      </c>
      <c r="K145">
        <v>247</v>
      </c>
    </row>
    <row r="146" spans="1:11" ht="15" x14ac:dyDescent="0.2">
      <c r="A146" s="2">
        <v>144</v>
      </c>
      <c r="B146" s="3" t="s">
        <v>3415</v>
      </c>
      <c r="C146" s="2" t="s">
        <v>3208</v>
      </c>
      <c r="D146" s="4" t="s">
        <v>22</v>
      </c>
      <c r="F146" s="4" t="s">
        <v>22</v>
      </c>
      <c r="J146">
        <v>51</v>
      </c>
      <c r="K146">
        <v>51</v>
      </c>
    </row>
    <row r="147" spans="1:11" ht="15" x14ac:dyDescent="0.2">
      <c r="A147" s="2">
        <v>145</v>
      </c>
      <c r="B147" s="3" t="s">
        <v>3416</v>
      </c>
      <c r="C147" s="2" t="s">
        <v>3209</v>
      </c>
      <c r="D147" s="4" t="s">
        <v>22</v>
      </c>
      <c r="F147" s="4" t="s">
        <v>22</v>
      </c>
      <c r="J147">
        <v>52</v>
      </c>
      <c r="K147">
        <v>52</v>
      </c>
    </row>
    <row r="148" spans="1:11" ht="15" x14ac:dyDescent="0.2">
      <c r="A148" s="2">
        <v>146</v>
      </c>
      <c r="B148" s="3" t="s">
        <v>3417</v>
      </c>
      <c r="C148" s="2" t="s">
        <v>3210</v>
      </c>
      <c r="D148" s="4" t="s">
        <v>22</v>
      </c>
      <c r="E148" s="4" t="s">
        <v>22</v>
      </c>
      <c r="F148" s="4" t="s">
        <v>22</v>
      </c>
      <c r="J148">
        <v>63</v>
      </c>
      <c r="K148">
        <v>63</v>
      </c>
    </row>
    <row r="149" spans="1:11" ht="15" x14ac:dyDescent="0.2">
      <c r="A149" s="2">
        <v>147</v>
      </c>
      <c r="B149" s="3" t="s">
        <v>3418</v>
      </c>
      <c r="C149" s="2" t="s">
        <v>3211</v>
      </c>
      <c r="D149" s="4" t="s">
        <v>22</v>
      </c>
      <c r="E149" s="4" t="s">
        <v>22</v>
      </c>
      <c r="F149" s="4" t="s">
        <v>22</v>
      </c>
      <c r="J149">
        <v>64</v>
      </c>
      <c r="K149">
        <v>64</v>
      </c>
    </row>
    <row r="150" spans="1:11" ht="15" x14ac:dyDescent="0.2">
      <c r="A150" s="2">
        <v>148</v>
      </c>
      <c r="B150" s="3" t="s">
        <v>3419</v>
      </c>
      <c r="C150" s="2" t="s">
        <v>3212</v>
      </c>
      <c r="D150" s="4" t="s">
        <v>22</v>
      </c>
      <c r="F150" s="4" t="s">
        <v>22</v>
      </c>
      <c r="J150">
        <v>53</v>
      </c>
      <c r="K150">
        <v>53</v>
      </c>
    </row>
    <row r="151" spans="1:11" ht="15" x14ac:dyDescent="0.2">
      <c r="A151" s="2">
        <v>149</v>
      </c>
      <c r="B151" s="3" t="s">
        <v>3420</v>
      </c>
      <c r="C151" s="2" t="s">
        <v>3213</v>
      </c>
      <c r="D151" s="4" t="s">
        <v>22</v>
      </c>
      <c r="E151" s="4" t="s">
        <v>22</v>
      </c>
      <c r="F151" s="4" t="s">
        <v>22</v>
      </c>
      <c r="J151">
        <v>54</v>
      </c>
      <c r="K151">
        <v>54</v>
      </c>
    </row>
    <row r="152" spans="1:11" ht="15" x14ac:dyDescent="0.2">
      <c r="A152" s="2">
        <v>150</v>
      </c>
      <c r="B152" s="3" t="s">
        <v>3421</v>
      </c>
      <c r="C152" s="2" t="s">
        <v>3214</v>
      </c>
      <c r="D152" s="4" t="s">
        <v>22</v>
      </c>
      <c r="F152" s="4" t="s">
        <v>22</v>
      </c>
      <c r="J152">
        <v>55</v>
      </c>
      <c r="K152">
        <v>55</v>
      </c>
    </row>
    <row r="153" spans="1:11" ht="15" x14ac:dyDescent="0.2">
      <c r="A153" s="2">
        <v>151</v>
      </c>
      <c r="B153" s="3" t="s">
        <v>3422</v>
      </c>
      <c r="C153" s="2" t="s">
        <v>3215</v>
      </c>
      <c r="D153" s="4" t="s">
        <v>22</v>
      </c>
      <c r="E153" s="4" t="s">
        <v>22</v>
      </c>
      <c r="F153" s="4" t="s">
        <v>22</v>
      </c>
      <c r="J153">
        <v>56</v>
      </c>
      <c r="K153">
        <v>56</v>
      </c>
    </row>
    <row r="154" spans="1:11" ht="15" x14ac:dyDescent="0.2">
      <c r="A154" s="2">
        <v>152</v>
      </c>
      <c r="B154" s="3" t="s">
        <v>3423</v>
      </c>
      <c r="C154" s="2" t="s">
        <v>3216</v>
      </c>
      <c r="D154" s="4" t="s">
        <v>22</v>
      </c>
      <c r="F154" s="4" t="s">
        <v>22</v>
      </c>
      <c r="J154">
        <v>57</v>
      </c>
      <c r="K154">
        <v>57</v>
      </c>
    </row>
    <row r="155" spans="1:11" ht="15" x14ac:dyDescent="0.2">
      <c r="A155" s="2">
        <v>153</v>
      </c>
      <c r="B155" s="3" t="s">
        <v>3424</v>
      </c>
      <c r="C155" s="2" t="s">
        <v>3217</v>
      </c>
      <c r="D155" s="4" t="s">
        <v>22</v>
      </c>
      <c r="E155" s="4" t="s">
        <v>22</v>
      </c>
      <c r="F155" s="4" t="s">
        <v>22</v>
      </c>
      <c r="J155">
        <v>58</v>
      </c>
      <c r="K155">
        <v>58</v>
      </c>
    </row>
    <row r="156" spans="1:11" ht="15" x14ac:dyDescent="0.2">
      <c r="A156" s="2">
        <v>154</v>
      </c>
      <c r="B156" s="3" t="s">
        <v>3425</v>
      </c>
      <c r="C156" s="2" t="s">
        <v>3218</v>
      </c>
      <c r="D156" s="4" t="s">
        <v>22</v>
      </c>
      <c r="F156" s="4" t="s">
        <v>22</v>
      </c>
      <c r="J156">
        <v>62</v>
      </c>
      <c r="K156">
        <v>62</v>
      </c>
    </row>
    <row r="157" spans="1:11" ht="15" x14ac:dyDescent="0.2">
      <c r="A157" s="2">
        <v>155</v>
      </c>
      <c r="B157" s="3" t="s">
        <v>3426</v>
      </c>
      <c r="C157" s="2" t="s">
        <v>3219</v>
      </c>
      <c r="D157" s="4" t="s">
        <v>22</v>
      </c>
      <c r="F157" s="4" t="s">
        <v>22</v>
      </c>
      <c r="J157">
        <v>65</v>
      </c>
      <c r="K157">
        <v>65</v>
      </c>
    </row>
    <row r="158" spans="1:11" ht="15" x14ac:dyDescent="0.2">
      <c r="A158" s="2">
        <v>156</v>
      </c>
      <c r="B158" s="3" t="s">
        <v>3427</v>
      </c>
      <c r="C158" s="2" t="s">
        <v>3220</v>
      </c>
      <c r="D158" s="4" t="s">
        <v>22</v>
      </c>
      <c r="F158" s="4" t="s">
        <v>22</v>
      </c>
      <c r="J158">
        <v>59</v>
      </c>
      <c r="K158">
        <v>59</v>
      </c>
    </row>
    <row r="159" spans="1:11" ht="15" x14ac:dyDescent="0.2">
      <c r="A159" s="2">
        <v>157</v>
      </c>
      <c r="B159" s="3" t="s">
        <v>3428</v>
      </c>
      <c r="C159" s="2" t="s">
        <v>3221</v>
      </c>
      <c r="D159" s="4" t="s">
        <v>22</v>
      </c>
      <c r="F159" s="4" t="s">
        <v>22</v>
      </c>
      <c r="J159">
        <v>61</v>
      </c>
      <c r="K159">
        <v>61</v>
      </c>
    </row>
    <row r="160" spans="1:11" ht="15" x14ac:dyDescent="0.2">
      <c r="A160" s="2">
        <v>158</v>
      </c>
      <c r="B160" s="3" t="s">
        <v>3429</v>
      </c>
      <c r="C160" s="2" t="s">
        <v>3222</v>
      </c>
      <c r="D160" s="4" t="s">
        <v>22</v>
      </c>
      <c r="E160" s="4" t="s">
        <v>22</v>
      </c>
      <c r="F160" s="4" t="s">
        <v>22</v>
      </c>
      <c r="J160">
        <v>60</v>
      </c>
      <c r="K160">
        <v>60</v>
      </c>
    </row>
    <row r="161" spans="1:11" ht="15" x14ac:dyDescent="0.2">
      <c r="A161" s="7">
        <v>159</v>
      </c>
      <c r="B161" s="8" t="s">
        <v>636</v>
      </c>
      <c r="C161" s="7" t="s">
        <v>637</v>
      </c>
      <c r="D161" s="4" t="s">
        <v>22</v>
      </c>
      <c r="E161" s="4" t="s">
        <v>380</v>
      </c>
      <c r="F161" s="4" t="s">
        <v>1333</v>
      </c>
      <c r="H161">
        <v>144</v>
      </c>
      <c r="I161">
        <v>144</v>
      </c>
      <c r="J161">
        <v>144</v>
      </c>
      <c r="K161">
        <v>144</v>
      </c>
    </row>
    <row r="162" spans="1:11" ht="15" x14ac:dyDescent="0.2">
      <c r="A162" s="7">
        <v>160</v>
      </c>
      <c r="B162" s="8" t="s">
        <v>638</v>
      </c>
      <c r="C162" s="7" t="s">
        <v>639</v>
      </c>
      <c r="D162" s="4" t="s">
        <v>22</v>
      </c>
      <c r="F162" s="4" t="s">
        <v>1333</v>
      </c>
      <c r="H162">
        <v>145</v>
      </c>
      <c r="I162">
        <v>145</v>
      </c>
      <c r="J162">
        <v>145</v>
      </c>
      <c r="K162">
        <v>145</v>
      </c>
    </row>
    <row r="163" spans="1:11" ht="15" x14ac:dyDescent="0.2">
      <c r="A163" s="7">
        <v>161</v>
      </c>
      <c r="B163" s="8" t="s">
        <v>640</v>
      </c>
      <c r="C163" s="7" t="s">
        <v>641</v>
      </c>
      <c r="D163" s="4" t="s">
        <v>22</v>
      </c>
      <c r="F163" s="4" t="s">
        <v>1333</v>
      </c>
      <c r="H163">
        <v>146</v>
      </c>
      <c r="I163">
        <v>146</v>
      </c>
      <c r="J163">
        <v>146</v>
      </c>
      <c r="K163">
        <v>146</v>
      </c>
    </row>
    <row r="164" spans="1:11" ht="15" x14ac:dyDescent="0.2">
      <c r="A164" s="7">
        <v>162</v>
      </c>
      <c r="B164" s="8" t="s">
        <v>642</v>
      </c>
      <c r="C164" s="7" t="s">
        <v>643</v>
      </c>
      <c r="D164" s="4" t="s">
        <v>22</v>
      </c>
      <c r="E164" s="4" t="s">
        <v>380</v>
      </c>
      <c r="F164" s="4" t="s">
        <v>1333</v>
      </c>
      <c r="H164">
        <v>147</v>
      </c>
      <c r="I164">
        <v>147</v>
      </c>
      <c r="J164">
        <v>147</v>
      </c>
      <c r="K164">
        <v>147</v>
      </c>
    </row>
    <row r="165" spans="1:11" ht="15" x14ac:dyDescent="0.2">
      <c r="A165" s="7">
        <v>163</v>
      </c>
      <c r="B165" s="8" t="s">
        <v>644</v>
      </c>
      <c r="C165" s="7" t="s">
        <v>645</v>
      </c>
      <c r="D165" s="4" t="s">
        <v>22</v>
      </c>
      <c r="F165" s="4" t="s">
        <v>1333</v>
      </c>
      <c r="H165">
        <v>148</v>
      </c>
      <c r="I165">
        <v>148</v>
      </c>
      <c r="J165">
        <v>148</v>
      </c>
      <c r="K165">
        <v>148</v>
      </c>
    </row>
    <row r="166" spans="1:11" ht="15" x14ac:dyDescent="0.2">
      <c r="A166" s="7">
        <v>164</v>
      </c>
      <c r="B166" s="8" t="s">
        <v>646</v>
      </c>
      <c r="C166" s="7" t="s">
        <v>648</v>
      </c>
      <c r="D166" s="4" t="s">
        <v>22</v>
      </c>
      <c r="E166" s="4" t="s">
        <v>380</v>
      </c>
      <c r="F166" s="4" t="s">
        <v>1333</v>
      </c>
      <c r="H166">
        <v>149</v>
      </c>
      <c r="I166">
        <v>149</v>
      </c>
      <c r="J166">
        <v>149</v>
      </c>
      <c r="K166">
        <v>149</v>
      </c>
    </row>
    <row r="167" spans="1:11" ht="15" x14ac:dyDescent="0.2">
      <c r="A167" s="7">
        <v>165</v>
      </c>
      <c r="B167" s="8" t="s">
        <v>647</v>
      </c>
      <c r="C167" s="7" t="s">
        <v>649</v>
      </c>
      <c r="D167" s="4" t="s">
        <v>22</v>
      </c>
      <c r="E167" s="4" t="s">
        <v>380</v>
      </c>
      <c r="F167" s="4" t="s">
        <v>1333</v>
      </c>
      <c r="H167">
        <v>150</v>
      </c>
      <c r="I167">
        <v>150</v>
      </c>
      <c r="J167">
        <v>150</v>
      </c>
      <c r="K167">
        <v>150</v>
      </c>
    </row>
    <row r="168" spans="1:11" ht="15" x14ac:dyDescent="0.2">
      <c r="A168" s="7">
        <v>166</v>
      </c>
      <c r="B168" s="8" t="s">
        <v>650</v>
      </c>
      <c r="C168" s="7"/>
      <c r="D168" s="4" t="s">
        <v>22</v>
      </c>
      <c r="E168" s="4" t="s">
        <v>380</v>
      </c>
      <c r="F168" s="4" t="s">
        <v>1333</v>
      </c>
      <c r="G168" t="b">
        <v>1</v>
      </c>
      <c r="H168">
        <v>151</v>
      </c>
      <c r="I168">
        <v>151</v>
      </c>
      <c r="J168">
        <v>151</v>
      </c>
      <c r="K168">
        <v>151</v>
      </c>
    </row>
    <row r="169" spans="1:11" ht="15" x14ac:dyDescent="0.2">
      <c r="A169" s="7">
        <v>167</v>
      </c>
      <c r="B169" s="8" t="s">
        <v>651</v>
      </c>
      <c r="C169" s="7"/>
      <c r="D169" s="4" t="s">
        <v>22</v>
      </c>
      <c r="F169" s="4" t="s">
        <v>1333</v>
      </c>
      <c r="H169">
        <v>152</v>
      </c>
      <c r="I169">
        <v>152</v>
      </c>
      <c r="J169">
        <v>152</v>
      </c>
      <c r="K169">
        <v>152</v>
      </c>
    </row>
    <row r="170" spans="1:11" ht="15" x14ac:dyDescent="0.2">
      <c r="A170" s="7">
        <v>168</v>
      </c>
      <c r="B170" s="8" t="s">
        <v>654</v>
      </c>
      <c r="C170" s="7"/>
      <c r="D170" s="4" t="s">
        <v>22</v>
      </c>
      <c r="E170" s="4" t="s">
        <v>380</v>
      </c>
      <c r="F170" s="4" t="s">
        <v>1333</v>
      </c>
      <c r="H170">
        <v>153</v>
      </c>
      <c r="I170">
        <v>153</v>
      </c>
      <c r="J170">
        <v>153</v>
      </c>
      <c r="K170">
        <v>153</v>
      </c>
    </row>
    <row r="171" spans="1:11" ht="15" x14ac:dyDescent="0.2">
      <c r="A171" s="7">
        <v>169</v>
      </c>
      <c r="B171" s="8" t="s">
        <v>655</v>
      </c>
      <c r="C171" s="7"/>
      <c r="D171" s="4" t="s">
        <v>22</v>
      </c>
      <c r="E171" s="4" t="s">
        <v>380</v>
      </c>
      <c r="F171" s="4" t="s">
        <v>1333</v>
      </c>
      <c r="H171">
        <v>154</v>
      </c>
      <c r="I171">
        <v>154</v>
      </c>
      <c r="J171">
        <v>154</v>
      </c>
      <c r="K171">
        <v>154</v>
      </c>
    </row>
    <row r="172" spans="1:11" ht="15" x14ac:dyDescent="0.2">
      <c r="A172" s="7">
        <v>170</v>
      </c>
      <c r="B172" s="8" t="s">
        <v>656</v>
      </c>
      <c r="C172" s="7"/>
      <c r="D172" s="4" t="s">
        <v>22</v>
      </c>
      <c r="E172" s="4" t="s">
        <v>380</v>
      </c>
      <c r="F172" s="4" t="s">
        <v>1333</v>
      </c>
      <c r="H172">
        <v>155</v>
      </c>
      <c r="I172">
        <v>155</v>
      </c>
      <c r="J172">
        <v>155</v>
      </c>
      <c r="K172">
        <v>155</v>
      </c>
    </row>
    <row r="173" spans="1:11" ht="15" x14ac:dyDescent="0.2">
      <c r="A173" s="7">
        <v>171</v>
      </c>
      <c r="B173" s="8" t="s">
        <v>652</v>
      </c>
      <c r="C173" s="7" t="s">
        <v>653</v>
      </c>
      <c r="D173" s="4" t="s">
        <v>22</v>
      </c>
      <c r="E173" s="4" t="s">
        <v>380</v>
      </c>
      <c r="F173" s="4" t="s">
        <v>1333</v>
      </c>
      <c r="H173">
        <v>156</v>
      </c>
      <c r="I173">
        <v>156</v>
      </c>
      <c r="J173">
        <v>156</v>
      </c>
      <c r="K173">
        <v>156</v>
      </c>
    </row>
    <row r="174" spans="1:11" ht="15" x14ac:dyDescent="0.2">
      <c r="A174" s="11">
        <v>172</v>
      </c>
      <c r="B174" s="12" t="s">
        <v>657</v>
      </c>
      <c r="C174" s="11" t="s">
        <v>658</v>
      </c>
      <c r="D174" s="4" t="s">
        <v>22</v>
      </c>
      <c r="E174" s="4" t="s">
        <v>22</v>
      </c>
      <c r="F174" s="4" t="s">
        <v>1333</v>
      </c>
      <c r="H174">
        <v>194</v>
      </c>
      <c r="I174">
        <v>194</v>
      </c>
      <c r="J174">
        <v>194</v>
      </c>
      <c r="K174">
        <v>194</v>
      </c>
    </row>
    <row r="175" spans="1:11" ht="15" x14ac:dyDescent="0.2">
      <c r="A175" s="11">
        <v>173</v>
      </c>
      <c r="B175" s="12" t="s">
        <v>659</v>
      </c>
      <c r="C175" s="11" t="s">
        <v>660</v>
      </c>
      <c r="D175" s="4" t="s">
        <v>22</v>
      </c>
      <c r="E175" s="4" t="s">
        <v>22</v>
      </c>
      <c r="F175" s="4" t="s">
        <v>1333</v>
      </c>
      <c r="H175">
        <v>195</v>
      </c>
      <c r="I175">
        <v>195</v>
      </c>
      <c r="J175">
        <v>195</v>
      </c>
      <c r="K175">
        <v>195</v>
      </c>
    </row>
    <row r="176" spans="1:11" ht="15" x14ac:dyDescent="0.2">
      <c r="A176" s="11">
        <v>174</v>
      </c>
      <c r="B176" s="12" t="s">
        <v>661</v>
      </c>
      <c r="C176" s="11" t="s">
        <v>662</v>
      </c>
      <c r="D176" s="4" t="s">
        <v>22</v>
      </c>
      <c r="E176" s="4" t="s">
        <v>22</v>
      </c>
      <c r="F176" s="4" t="s">
        <v>1333</v>
      </c>
      <c r="H176">
        <v>198</v>
      </c>
      <c r="I176">
        <v>198</v>
      </c>
      <c r="J176">
        <v>198</v>
      </c>
      <c r="K176">
        <v>198</v>
      </c>
    </row>
    <row r="177" spans="1:11" ht="15" x14ac:dyDescent="0.2">
      <c r="A177" s="11">
        <v>175</v>
      </c>
      <c r="B177" s="12" t="s">
        <v>663</v>
      </c>
      <c r="C177" s="11" t="s">
        <v>664</v>
      </c>
      <c r="D177" s="4" t="s">
        <v>22</v>
      </c>
      <c r="F177" s="4" t="s">
        <v>1333</v>
      </c>
      <c r="H177">
        <v>203</v>
      </c>
      <c r="I177">
        <v>203</v>
      </c>
      <c r="J177">
        <v>203</v>
      </c>
      <c r="K177">
        <v>203</v>
      </c>
    </row>
    <row r="178" spans="1:11" ht="15" x14ac:dyDescent="0.2">
      <c r="A178" s="11">
        <v>176</v>
      </c>
      <c r="B178" s="19" t="s">
        <v>665</v>
      </c>
      <c r="C178" s="11" t="s">
        <v>672</v>
      </c>
      <c r="E178" s="4" t="s">
        <v>22</v>
      </c>
      <c r="F178" s="4" t="s">
        <v>1333</v>
      </c>
      <c r="H178">
        <v>196</v>
      </c>
      <c r="I178">
        <v>196</v>
      </c>
      <c r="J178">
        <v>196</v>
      </c>
      <c r="K178">
        <v>196</v>
      </c>
    </row>
    <row r="179" spans="1:11" ht="15" x14ac:dyDescent="0.2">
      <c r="A179" s="11">
        <v>177</v>
      </c>
      <c r="B179" s="19" t="s">
        <v>666</v>
      </c>
      <c r="C179" s="11" t="s">
        <v>673</v>
      </c>
      <c r="E179" s="4" t="s">
        <v>22</v>
      </c>
      <c r="F179" s="4" t="s">
        <v>1333</v>
      </c>
      <c r="H179">
        <v>197</v>
      </c>
      <c r="I179">
        <v>197</v>
      </c>
      <c r="J179">
        <v>197</v>
      </c>
      <c r="K179">
        <v>197</v>
      </c>
    </row>
    <row r="180" spans="1:11" ht="15" x14ac:dyDescent="0.2">
      <c r="A180" s="11">
        <v>178</v>
      </c>
      <c r="B180" s="19" t="s">
        <v>667</v>
      </c>
      <c r="C180" s="11" t="s">
        <v>674</v>
      </c>
      <c r="E180" s="4" t="s">
        <v>22</v>
      </c>
      <c r="F180" s="4" t="s">
        <v>1333</v>
      </c>
      <c r="H180">
        <v>199</v>
      </c>
      <c r="I180">
        <v>199</v>
      </c>
      <c r="J180">
        <v>199</v>
      </c>
      <c r="K180">
        <v>199</v>
      </c>
    </row>
    <row r="181" spans="1:11" ht="15" x14ac:dyDescent="0.2">
      <c r="A181" s="11">
        <v>179</v>
      </c>
      <c r="B181" s="19" t="s">
        <v>668</v>
      </c>
      <c r="C181" s="11" t="s">
        <v>675</v>
      </c>
      <c r="E181" s="4" t="s">
        <v>22</v>
      </c>
      <c r="F181" s="4" t="s">
        <v>1333</v>
      </c>
      <c r="H181">
        <v>201</v>
      </c>
      <c r="I181">
        <v>201</v>
      </c>
      <c r="J181">
        <v>201</v>
      </c>
      <c r="K181">
        <v>201</v>
      </c>
    </row>
    <row r="182" spans="1:11" ht="15" x14ac:dyDescent="0.2">
      <c r="A182" s="11">
        <v>180</v>
      </c>
      <c r="B182" s="19" t="s">
        <v>669</v>
      </c>
      <c r="C182" s="11" t="s">
        <v>676</v>
      </c>
      <c r="E182" s="4" t="s">
        <v>22</v>
      </c>
      <c r="F182" s="4" t="s">
        <v>1333</v>
      </c>
      <c r="H182">
        <v>200</v>
      </c>
      <c r="I182">
        <v>200</v>
      </c>
      <c r="J182">
        <v>200</v>
      </c>
      <c r="K182">
        <v>200</v>
      </c>
    </row>
    <row r="183" spans="1:11" ht="15" x14ac:dyDescent="0.2">
      <c r="A183" s="11">
        <v>181</v>
      </c>
      <c r="B183" s="19" t="s">
        <v>670</v>
      </c>
      <c r="C183" s="11" t="s">
        <v>677</v>
      </c>
      <c r="E183" s="4" t="s">
        <v>22</v>
      </c>
      <c r="F183" s="4" t="s">
        <v>1333</v>
      </c>
      <c r="H183">
        <v>202</v>
      </c>
      <c r="I183">
        <v>202</v>
      </c>
      <c r="J183">
        <v>202</v>
      </c>
      <c r="K183">
        <v>202</v>
      </c>
    </row>
    <row r="184" spans="1:11" ht="15" x14ac:dyDescent="0.2">
      <c r="A184" s="15">
        <v>182</v>
      </c>
      <c r="B184" s="16" t="s">
        <v>1394</v>
      </c>
      <c r="C184" s="15" t="s">
        <v>1399</v>
      </c>
      <c r="D184" s="4" t="s">
        <v>22</v>
      </c>
      <c r="H184">
        <v>158</v>
      </c>
      <c r="I184">
        <v>158</v>
      </c>
      <c r="J184">
        <v>158</v>
      </c>
      <c r="K184">
        <v>158</v>
      </c>
    </row>
    <row r="185" spans="1:11" ht="15" x14ac:dyDescent="0.2">
      <c r="A185" s="15">
        <v>183</v>
      </c>
      <c r="B185" s="16" t="s">
        <v>1395</v>
      </c>
      <c r="C185" s="15" t="s">
        <v>1400</v>
      </c>
      <c r="D185" s="4" t="s">
        <v>22</v>
      </c>
      <c r="F185" s="4" t="s">
        <v>22</v>
      </c>
      <c r="H185">
        <v>159</v>
      </c>
      <c r="I185">
        <v>159</v>
      </c>
      <c r="J185">
        <v>159</v>
      </c>
      <c r="K185">
        <v>159</v>
      </c>
    </row>
    <row r="186" spans="1:11" ht="15" x14ac:dyDescent="0.2">
      <c r="A186" s="15">
        <v>184</v>
      </c>
      <c r="B186" s="16" t="s">
        <v>1396</v>
      </c>
      <c r="C186" s="15" t="s">
        <v>1401</v>
      </c>
      <c r="D186" s="4" t="s">
        <v>22</v>
      </c>
      <c r="F186" s="4" t="s">
        <v>22</v>
      </c>
      <c r="H186">
        <v>160</v>
      </c>
      <c r="I186">
        <v>160</v>
      </c>
      <c r="J186">
        <v>160</v>
      </c>
      <c r="K186">
        <v>160</v>
      </c>
    </row>
    <row r="187" spans="1:11" ht="15" x14ac:dyDescent="0.2">
      <c r="A187" s="15">
        <v>185</v>
      </c>
      <c r="B187" s="16" t="s">
        <v>1397</v>
      </c>
      <c r="C187" s="15" t="s">
        <v>1402</v>
      </c>
      <c r="D187" s="4" t="s">
        <v>22</v>
      </c>
      <c r="F187" s="4" t="s">
        <v>22</v>
      </c>
      <c r="H187">
        <v>161</v>
      </c>
      <c r="I187">
        <v>161</v>
      </c>
      <c r="J187">
        <v>161</v>
      </c>
      <c r="K187">
        <v>161</v>
      </c>
    </row>
    <row r="188" spans="1:11" ht="15" x14ac:dyDescent="0.2">
      <c r="A188" s="2">
        <v>186</v>
      </c>
      <c r="B188" s="3" t="s">
        <v>671</v>
      </c>
      <c r="C188" s="2" t="s">
        <v>678</v>
      </c>
      <c r="D188" s="4" t="s">
        <v>22</v>
      </c>
      <c r="E188" s="4" t="s">
        <v>22</v>
      </c>
      <c r="F188" s="4" t="s">
        <v>1333</v>
      </c>
      <c r="H188">
        <v>16</v>
      </c>
      <c r="I188">
        <v>16</v>
      </c>
      <c r="J188">
        <v>16</v>
      </c>
      <c r="K188">
        <v>16</v>
      </c>
    </row>
    <row r="189" spans="1:11" ht="15" x14ac:dyDescent="0.2">
      <c r="A189" s="2">
        <v>187</v>
      </c>
      <c r="B189" s="3" t="s">
        <v>679</v>
      </c>
      <c r="C189" s="2" t="s">
        <v>681</v>
      </c>
      <c r="D189" s="4" t="s">
        <v>22</v>
      </c>
      <c r="E189" s="4" t="s">
        <v>22</v>
      </c>
      <c r="F189" s="4" t="s">
        <v>1333</v>
      </c>
      <c r="H189">
        <v>17</v>
      </c>
      <c r="I189">
        <v>17</v>
      </c>
    </row>
    <row r="190" spans="1:11" ht="15" x14ac:dyDescent="0.2">
      <c r="A190" s="2">
        <v>188</v>
      </c>
      <c r="B190" s="3" t="s">
        <v>680</v>
      </c>
      <c r="C190" s="2" t="s">
        <v>682</v>
      </c>
      <c r="D190" s="4" t="s">
        <v>22</v>
      </c>
      <c r="E190" s="4" t="s">
        <v>22</v>
      </c>
      <c r="F190" s="4" t="s">
        <v>1333</v>
      </c>
      <c r="H190">
        <v>18</v>
      </c>
      <c r="I190">
        <v>18</v>
      </c>
    </row>
    <row r="191" spans="1:11" ht="15" x14ac:dyDescent="0.2">
      <c r="A191" s="2">
        <v>189</v>
      </c>
      <c r="B191" s="3" t="s">
        <v>683</v>
      </c>
      <c r="C191" s="2" t="s">
        <v>684</v>
      </c>
      <c r="D191" s="4" t="s">
        <v>22</v>
      </c>
      <c r="F191" s="4" t="s">
        <v>1333</v>
      </c>
      <c r="H191">
        <v>19</v>
      </c>
      <c r="I191">
        <v>19</v>
      </c>
    </row>
    <row r="192" spans="1:11" ht="15" x14ac:dyDescent="0.2">
      <c r="A192" s="2">
        <v>190</v>
      </c>
      <c r="B192" s="3" t="s">
        <v>685</v>
      </c>
      <c r="C192" s="2" t="s">
        <v>686</v>
      </c>
      <c r="D192" s="4" t="s">
        <v>22</v>
      </c>
      <c r="E192" s="4" t="s">
        <v>22</v>
      </c>
      <c r="F192" s="4" t="s">
        <v>1333</v>
      </c>
      <c r="H192">
        <v>20</v>
      </c>
      <c r="I192">
        <v>20</v>
      </c>
    </row>
    <row r="193" spans="1:11" ht="15" x14ac:dyDescent="0.2">
      <c r="A193" s="2">
        <v>191</v>
      </c>
      <c r="B193" s="3" t="s">
        <v>687</v>
      </c>
      <c r="C193" s="2" t="s">
        <v>688</v>
      </c>
      <c r="D193" s="4" t="s">
        <v>22</v>
      </c>
      <c r="E193" s="4" t="s">
        <v>22</v>
      </c>
      <c r="F193" s="4" t="s">
        <v>1333</v>
      </c>
      <c r="H193">
        <v>21</v>
      </c>
      <c r="I193">
        <v>21</v>
      </c>
      <c r="J193">
        <v>21</v>
      </c>
      <c r="K193">
        <v>21</v>
      </c>
    </row>
    <row r="194" spans="1:11" ht="15" x14ac:dyDescent="0.2">
      <c r="A194" s="2">
        <v>192</v>
      </c>
      <c r="B194" s="3" t="s">
        <v>689</v>
      </c>
      <c r="C194" s="2" t="s">
        <v>690</v>
      </c>
      <c r="D194" s="4" t="s">
        <v>22</v>
      </c>
      <c r="E194" s="4" t="s">
        <v>22</v>
      </c>
      <c r="F194" s="4" t="s">
        <v>1333</v>
      </c>
      <c r="H194">
        <v>22</v>
      </c>
      <c r="I194">
        <v>22</v>
      </c>
      <c r="J194">
        <v>22</v>
      </c>
      <c r="K194">
        <v>22</v>
      </c>
    </row>
    <row r="195" spans="1:11" ht="15" x14ac:dyDescent="0.2">
      <c r="A195" s="2">
        <v>193</v>
      </c>
      <c r="B195" s="3" t="s">
        <v>691</v>
      </c>
      <c r="C195" s="2" t="s">
        <v>692</v>
      </c>
      <c r="D195" s="4" t="s">
        <v>22</v>
      </c>
      <c r="E195" s="4" t="s">
        <v>22</v>
      </c>
      <c r="F195" s="4" t="s">
        <v>1333</v>
      </c>
      <c r="G195" t="b">
        <v>1</v>
      </c>
      <c r="H195">
        <v>23</v>
      </c>
      <c r="I195">
        <v>23</v>
      </c>
      <c r="J195">
        <v>23</v>
      </c>
      <c r="K195">
        <v>23</v>
      </c>
    </row>
    <row r="196" spans="1:11" ht="15" x14ac:dyDescent="0.2">
      <c r="A196" s="2">
        <v>194</v>
      </c>
      <c r="B196" s="3" t="s">
        <v>695</v>
      </c>
      <c r="C196" s="2" t="s">
        <v>696</v>
      </c>
      <c r="D196" s="4" t="s">
        <v>22</v>
      </c>
      <c r="E196" s="4" t="s">
        <v>22</v>
      </c>
      <c r="F196" s="4" t="s">
        <v>1333</v>
      </c>
      <c r="G196" t="b">
        <v>0</v>
      </c>
      <c r="H196">
        <v>24</v>
      </c>
      <c r="I196">
        <v>24</v>
      </c>
      <c r="J196">
        <v>24</v>
      </c>
      <c r="K196">
        <v>24</v>
      </c>
    </row>
    <row r="197" spans="1:11" ht="15" x14ac:dyDescent="0.2">
      <c r="A197" s="2">
        <v>195</v>
      </c>
      <c r="B197" s="3" t="s">
        <v>693</v>
      </c>
      <c r="C197" s="2" t="s">
        <v>694</v>
      </c>
      <c r="D197" s="4" t="s">
        <v>22</v>
      </c>
      <c r="E197" s="4" t="s">
        <v>22</v>
      </c>
      <c r="F197" s="4" t="s">
        <v>1333</v>
      </c>
      <c r="G197" t="b">
        <v>0</v>
      </c>
      <c r="H197">
        <v>25</v>
      </c>
      <c r="I197">
        <v>25</v>
      </c>
      <c r="J197">
        <v>25</v>
      </c>
      <c r="K197">
        <v>25</v>
      </c>
    </row>
    <row r="198" spans="1:11" ht="15" x14ac:dyDescent="0.2">
      <c r="A198" s="2">
        <v>196</v>
      </c>
      <c r="B198" s="3" t="s">
        <v>697</v>
      </c>
      <c r="C198" s="2" t="s">
        <v>698</v>
      </c>
      <c r="D198" s="4" t="s">
        <v>22</v>
      </c>
      <c r="E198" s="4" t="s">
        <v>22</v>
      </c>
      <c r="F198" s="4" t="s">
        <v>1333</v>
      </c>
      <c r="G198" t="b">
        <v>1</v>
      </c>
      <c r="H198">
        <v>26</v>
      </c>
      <c r="I198">
        <v>26</v>
      </c>
      <c r="J198">
        <v>26</v>
      </c>
      <c r="K198">
        <v>26</v>
      </c>
    </row>
    <row r="199" spans="1:11" ht="15" x14ac:dyDescent="0.2">
      <c r="A199" s="2">
        <v>197</v>
      </c>
      <c r="B199" s="3" t="s">
        <v>735</v>
      </c>
      <c r="C199" s="2"/>
      <c r="D199" s="4" t="s">
        <v>22</v>
      </c>
      <c r="E199" s="4" t="s">
        <v>22</v>
      </c>
      <c r="F199" s="4" t="s">
        <v>1333</v>
      </c>
      <c r="H199">
        <v>27</v>
      </c>
      <c r="I199">
        <v>27</v>
      </c>
      <c r="J199">
        <v>27</v>
      </c>
      <c r="K199">
        <v>27</v>
      </c>
    </row>
    <row r="200" spans="1:11" ht="15" x14ac:dyDescent="0.2">
      <c r="A200" s="2">
        <v>198</v>
      </c>
      <c r="B200" s="3" t="s">
        <v>3430</v>
      </c>
      <c r="C200" s="2" t="s">
        <v>681</v>
      </c>
      <c r="D200" s="4" t="s">
        <v>22</v>
      </c>
      <c r="E200" s="4" t="s">
        <v>22</v>
      </c>
      <c r="F200" s="4" t="s">
        <v>22</v>
      </c>
      <c r="J200">
        <v>17</v>
      </c>
      <c r="K200">
        <v>17</v>
      </c>
    </row>
    <row r="201" spans="1:11" ht="15" x14ac:dyDescent="0.2">
      <c r="A201" s="2">
        <v>199</v>
      </c>
      <c r="B201" s="3" t="s">
        <v>3431</v>
      </c>
      <c r="C201" s="2" t="s">
        <v>682</v>
      </c>
      <c r="D201" s="4" t="s">
        <v>22</v>
      </c>
      <c r="E201" s="4" t="s">
        <v>22</v>
      </c>
      <c r="F201" s="4" t="s">
        <v>22</v>
      </c>
      <c r="J201">
        <v>18</v>
      </c>
      <c r="K201">
        <v>18</v>
      </c>
    </row>
    <row r="202" spans="1:11" ht="15" x14ac:dyDescent="0.2">
      <c r="A202" s="2">
        <v>200</v>
      </c>
      <c r="B202" s="3" t="s">
        <v>3432</v>
      </c>
      <c r="C202" s="2" t="s">
        <v>684</v>
      </c>
      <c r="D202" s="4" t="s">
        <v>22</v>
      </c>
      <c r="F202" s="4" t="s">
        <v>22</v>
      </c>
      <c r="J202">
        <v>19</v>
      </c>
      <c r="K202">
        <v>19</v>
      </c>
    </row>
    <row r="203" spans="1:11" ht="15" x14ac:dyDescent="0.2">
      <c r="A203" s="2">
        <v>201</v>
      </c>
      <c r="B203" s="3" t="s">
        <v>3433</v>
      </c>
      <c r="C203" s="2" t="s">
        <v>686</v>
      </c>
      <c r="D203" s="4" t="s">
        <v>22</v>
      </c>
      <c r="E203" s="4" t="s">
        <v>22</v>
      </c>
      <c r="F203" s="4" t="s">
        <v>22</v>
      </c>
      <c r="J203">
        <v>20</v>
      </c>
      <c r="K203">
        <v>20</v>
      </c>
    </row>
    <row r="204" spans="1:11" ht="15" x14ac:dyDescent="0.2">
      <c r="A204" s="13">
        <v>202</v>
      </c>
      <c r="B204" s="14" t="s">
        <v>699</v>
      </c>
      <c r="C204" s="13" t="s">
        <v>700</v>
      </c>
      <c r="D204" s="4" t="s">
        <v>22</v>
      </c>
      <c r="E204" s="4" t="s">
        <v>22</v>
      </c>
      <c r="F204" s="4" t="s">
        <v>1333</v>
      </c>
      <c r="H204">
        <v>29</v>
      </c>
      <c r="I204">
        <v>29</v>
      </c>
      <c r="J204">
        <v>29</v>
      </c>
      <c r="K204">
        <v>29</v>
      </c>
    </row>
    <row r="205" spans="1:11" ht="15" x14ac:dyDescent="0.2">
      <c r="A205" s="13">
        <v>203</v>
      </c>
      <c r="B205" s="14" t="s">
        <v>710</v>
      </c>
      <c r="C205" s="13" t="s">
        <v>701</v>
      </c>
      <c r="D205" s="4" t="s">
        <v>22</v>
      </c>
      <c r="E205" s="4" t="s">
        <v>22</v>
      </c>
      <c r="F205" s="4" t="s">
        <v>1333</v>
      </c>
      <c r="H205">
        <v>30</v>
      </c>
      <c r="I205">
        <v>30</v>
      </c>
    </row>
    <row r="206" spans="1:11" ht="15" x14ac:dyDescent="0.2">
      <c r="A206" s="13">
        <v>204</v>
      </c>
      <c r="B206" s="14" t="s">
        <v>711</v>
      </c>
      <c r="C206" s="13" t="s">
        <v>702</v>
      </c>
      <c r="D206" s="4" t="s">
        <v>22</v>
      </c>
      <c r="E206" s="4" t="s">
        <v>22</v>
      </c>
      <c r="F206" s="4" t="s">
        <v>1333</v>
      </c>
      <c r="H206">
        <v>31</v>
      </c>
      <c r="I206">
        <v>31</v>
      </c>
    </row>
    <row r="207" spans="1:11" ht="15" x14ac:dyDescent="0.2">
      <c r="A207" s="13">
        <v>205</v>
      </c>
      <c r="B207" s="14" t="s">
        <v>712</v>
      </c>
      <c r="C207" s="13" t="s">
        <v>703</v>
      </c>
      <c r="D207" s="4" t="s">
        <v>22</v>
      </c>
      <c r="E207" s="4" t="s">
        <v>22</v>
      </c>
      <c r="F207" s="4" t="s">
        <v>1333</v>
      </c>
      <c r="H207">
        <v>32</v>
      </c>
      <c r="I207">
        <v>32</v>
      </c>
    </row>
    <row r="208" spans="1:11" ht="15" x14ac:dyDescent="0.2">
      <c r="A208" s="13">
        <v>206</v>
      </c>
      <c r="B208" s="14" t="s">
        <v>713</v>
      </c>
      <c r="C208" s="13" t="s">
        <v>704</v>
      </c>
      <c r="D208" s="4" t="s">
        <v>22</v>
      </c>
      <c r="E208" s="4" t="s">
        <v>22</v>
      </c>
      <c r="F208" s="4" t="s">
        <v>1333</v>
      </c>
      <c r="H208">
        <v>33</v>
      </c>
      <c r="I208">
        <v>33</v>
      </c>
      <c r="J208">
        <v>33</v>
      </c>
      <c r="K208">
        <v>33</v>
      </c>
    </row>
    <row r="209" spans="1:11" ht="15" x14ac:dyDescent="0.2">
      <c r="A209" s="13">
        <v>207</v>
      </c>
      <c r="B209" s="14" t="s">
        <v>714</v>
      </c>
      <c r="C209" s="13" t="s">
        <v>705</v>
      </c>
      <c r="D209" s="4" t="s">
        <v>22</v>
      </c>
      <c r="E209" s="4" t="s">
        <v>22</v>
      </c>
      <c r="F209" s="4" t="s">
        <v>1333</v>
      </c>
      <c r="H209">
        <v>34</v>
      </c>
      <c r="I209">
        <v>34</v>
      </c>
      <c r="J209">
        <v>34</v>
      </c>
      <c r="K209">
        <v>34</v>
      </c>
    </row>
    <row r="210" spans="1:11" ht="15" x14ac:dyDescent="0.2">
      <c r="A210" s="13">
        <v>208</v>
      </c>
      <c r="B210" s="14" t="s">
        <v>715</v>
      </c>
      <c r="C210" s="13" t="s">
        <v>706</v>
      </c>
      <c r="D210" s="4" t="s">
        <v>22</v>
      </c>
      <c r="E210" s="4" t="s">
        <v>22</v>
      </c>
      <c r="F210" s="4" t="s">
        <v>1333</v>
      </c>
      <c r="G210" t="b">
        <v>1</v>
      </c>
      <c r="H210">
        <v>35</v>
      </c>
      <c r="I210">
        <v>35</v>
      </c>
      <c r="J210">
        <v>35</v>
      </c>
      <c r="K210">
        <v>35</v>
      </c>
    </row>
    <row r="211" spans="1:11" ht="15" x14ac:dyDescent="0.2">
      <c r="A211" s="13">
        <v>209</v>
      </c>
      <c r="B211" s="14" t="s">
        <v>717</v>
      </c>
      <c r="C211" s="13" t="s">
        <v>708</v>
      </c>
      <c r="D211" s="4" t="s">
        <v>22</v>
      </c>
      <c r="E211" s="4" t="s">
        <v>22</v>
      </c>
      <c r="F211" s="4" t="s">
        <v>1333</v>
      </c>
      <c r="G211" t="b">
        <v>0</v>
      </c>
      <c r="H211">
        <v>36</v>
      </c>
      <c r="I211">
        <v>36</v>
      </c>
      <c r="J211">
        <v>36</v>
      </c>
      <c r="K211">
        <v>36</v>
      </c>
    </row>
    <row r="212" spans="1:11" ht="15" x14ac:dyDescent="0.2">
      <c r="A212" s="13">
        <v>210</v>
      </c>
      <c r="B212" s="14" t="s">
        <v>719</v>
      </c>
      <c r="C212" s="13" t="s">
        <v>722</v>
      </c>
      <c r="D212" s="4" t="s">
        <v>22</v>
      </c>
      <c r="E212" s="4" t="s">
        <v>22</v>
      </c>
      <c r="F212" s="4" t="s">
        <v>1333</v>
      </c>
      <c r="H212">
        <v>37</v>
      </c>
      <c r="I212">
        <v>37</v>
      </c>
      <c r="J212">
        <v>37</v>
      </c>
      <c r="K212">
        <v>37</v>
      </c>
    </row>
    <row r="213" spans="1:11" ht="15" x14ac:dyDescent="0.2">
      <c r="A213" s="13">
        <v>211</v>
      </c>
      <c r="B213" s="14" t="s">
        <v>727</v>
      </c>
      <c r="C213" s="13" t="s">
        <v>728</v>
      </c>
      <c r="D213" s="4" t="s">
        <v>22</v>
      </c>
      <c r="E213" s="4" t="s">
        <v>22</v>
      </c>
      <c r="F213" s="4" t="s">
        <v>1333</v>
      </c>
      <c r="H213">
        <v>38</v>
      </c>
      <c r="I213">
        <v>38</v>
      </c>
      <c r="J213">
        <v>38</v>
      </c>
      <c r="K213">
        <v>38</v>
      </c>
    </row>
    <row r="214" spans="1:11" ht="15" x14ac:dyDescent="0.2">
      <c r="A214" s="13">
        <v>212</v>
      </c>
      <c r="B214" s="14" t="s">
        <v>720</v>
      </c>
      <c r="C214" s="13" t="s">
        <v>721</v>
      </c>
      <c r="D214" s="4" t="s">
        <v>22</v>
      </c>
      <c r="E214" s="4" t="s">
        <v>22</v>
      </c>
      <c r="F214" s="4" t="s">
        <v>1333</v>
      </c>
      <c r="H214">
        <v>39</v>
      </c>
      <c r="I214">
        <v>39</v>
      </c>
      <c r="J214">
        <v>39</v>
      </c>
      <c r="K214">
        <v>39</v>
      </c>
    </row>
    <row r="215" spans="1:11" ht="15" x14ac:dyDescent="0.2">
      <c r="A215" s="13">
        <v>213</v>
      </c>
      <c r="B215" s="14" t="s">
        <v>723</v>
      </c>
      <c r="C215" s="13" t="s">
        <v>724</v>
      </c>
      <c r="D215" s="4" t="s">
        <v>22</v>
      </c>
      <c r="E215" s="4" t="s">
        <v>22</v>
      </c>
      <c r="F215" s="4" t="s">
        <v>1333</v>
      </c>
      <c r="H215">
        <v>40</v>
      </c>
      <c r="I215">
        <v>40</v>
      </c>
      <c r="J215">
        <v>40</v>
      </c>
      <c r="K215">
        <v>40</v>
      </c>
    </row>
    <row r="216" spans="1:11" ht="15" x14ac:dyDescent="0.2">
      <c r="A216" s="13">
        <v>214</v>
      </c>
      <c r="B216" s="14" t="s">
        <v>729</v>
      </c>
      <c r="C216" s="13" t="s">
        <v>732</v>
      </c>
      <c r="D216" s="4" t="s">
        <v>22</v>
      </c>
      <c r="E216" s="4" t="s">
        <v>22</v>
      </c>
      <c r="F216" s="4" t="s">
        <v>1333</v>
      </c>
      <c r="H216">
        <v>41</v>
      </c>
      <c r="I216">
        <v>41</v>
      </c>
      <c r="J216">
        <v>41</v>
      </c>
      <c r="K216">
        <v>41</v>
      </c>
    </row>
    <row r="217" spans="1:11" ht="15" x14ac:dyDescent="0.2">
      <c r="A217" s="13">
        <v>215</v>
      </c>
      <c r="B217" s="14" t="s">
        <v>730</v>
      </c>
      <c r="C217" s="13" t="s">
        <v>733</v>
      </c>
      <c r="D217" s="4" t="s">
        <v>22</v>
      </c>
      <c r="E217" s="4" t="s">
        <v>22</v>
      </c>
      <c r="F217" s="4" t="s">
        <v>1333</v>
      </c>
      <c r="G217" t="b">
        <v>0</v>
      </c>
      <c r="H217">
        <v>42</v>
      </c>
      <c r="I217">
        <v>42</v>
      </c>
      <c r="J217">
        <v>42</v>
      </c>
      <c r="K217">
        <v>42</v>
      </c>
    </row>
    <row r="218" spans="1:11" ht="15" x14ac:dyDescent="0.2">
      <c r="A218" s="13">
        <v>216</v>
      </c>
      <c r="B218" s="14" t="s">
        <v>731</v>
      </c>
      <c r="C218" s="13" t="s">
        <v>734</v>
      </c>
      <c r="D218" s="4" t="s">
        <v>22</v>
      </c>
      <c r="E218" s="4" t="s">
        <v>22</v>
      </c>
      <c r="F218" s="4" t="s">
        <v>1333</v>
      </c>
      <c r="G218" t="b">
        <v>0</v>
      </c>
      <c r="H218">
        <v>43</v>
      </c>
      <c r="I218">
        <v>43</v>
      </c>
      <c r="J218">
        <v>43</v>
      </c>
      <c r="K218">
        <v>43</v>
      </c>
    </row>
    <row r="219" spans="1:11" ht="15" x14ac:dyDescent="0.2">
      <c r="A219" s="13">
        <v>217</v>
      </c>
      <c r="B219" s="14" t="s">
        <v>716</v>
      </c>
      <c r="C219" s="13" t="s">
        <v>707</v>
      </c>
      <c r="D219" s="4" t="s">
        <v>22</v>
      </c>
      <c r="E219" s="4" t="s">
        <v>22</v>
      </c>
      <c r="F219" s="4" t="s">
        <v>1333</v>
      </c>
      <c r="G219" t="b">
        <v>0</v>
      </c>
      <c r="H219">
        <v>44</v>
      </c>
      <c r="I219">
        <v>44</v>
      </c>
      <c r="J219">
        <v>44</v>
      </c>
      <c r="K219">
        <v>44</v>
      </c>
    </row>
    <row r="220" spans="1:11" ht="15" x14ac:dyDescent="0.2">
      <c r="A220" s="13">
        <v>218</v>
      </c>
      <c r="B220" s="14" t="s">
        <v>718</v>
      </c>
      <c r="C220" s="13" t="s">
        <v>709</v>
      </c>
      <c r="D220" s="4" t="s">
        <v>22</v>
      </c>
      <c r="E220" s="4" t="s">
        <v>22</v>
      </c>
      <c r="F220" s="4" t="s">
        <v>1333</v>
      </c>
      <c r="G220" t="b">
        <v>1</v>
      </c>
      <c r="H220">
        <v>45</v>
      </c>
      <c r="I220">
        <v>45</v>
      </c>
      <c r="J220">
        <v>45</v>
      </c>
      <c r="K220">
        <v>45</v>
      </c>
    </row>
    <row r="221" spans="1:11" ht="15" x14ac:dyDescent="0.2">
      <c r="A221" s="13">
        <v>219</v>
      </c>
      <c r="B221" s="14" t="s">
        <v>725</v>
      </c>
      <c r="C221" s="13" t="s">
        <v>726</v>
      </c>
      <c r="D221" s="4" t="s">
        <v>22</v>
      </c>
      <c r="E221" s="4" t="s">
        <v>22</v>
      </c>
      <c r="F221" s="4" t="s">
        <v>1333</v>
      </c>
      <c r="H221">
        <v>46</v>
      </c>
      <c r="I221">
        <v>46</v>
      </c>
      <c r="J221">
        <v>46</v>
      </c>
      <c r="K221">
        <v>46</v>
      </c>
    </row>
    <row r="222" spans="1:11" ht="15" x14ac:dyDescent="0.2">
      <c r="A222" s="13">
        <v>220</v>
      </c>
      <c r="B222" s="14" t="s">
        <v>736</v>
      </c>
      <c r="C222" s="13"/>
      <c r="D222" s="4" t="s">
        <v>22</v>
      </c>
      <c r="E222" s="4" t="s">
        <v>22</v>
      </c>
      <c r="F222" s="4" t="s">
        <v>1333</v>
      </c>
      <c r="H222">
        <v>47</v>
      </c>
      <c r="I222">
        <v>47</v>
      </c>
      <c r="J222">
        <v>47</v>
      </c>
      <c r="K222">
        <v>47</v>
      </c>
    </row>
    <row r="223" spans="1:11" ht="15" x14ac:dyDescent="0.2">
      <c r="A223" s="13">
        <v>221</v>
      </c>
      <c r="B223" s="14" t="s">
        <v>3434</v>
      </c>
      <c r="C223" s="13" t="s">
        <v>701</v>
      </c>
      <c r="D223" s="4" t="s">
        <v>22</v>
      </c>
      <c r="E223" s="4" t="s">
        <v>22</v>
      </c>
      <c r="F223" s="4" t="s">
        <v>22</v>
      </c>
      <c r="J223">
        <v>30</v>
      </c>
      <c r="K223">
        <v>30</v>
      </c>
    </row>
    <row r="224" spans="1:11" ht="15" x14ac:dyDescent="0.2">
      <c r="A224" s="13">
        <v>222</v>
      </c>
      <c r="B224" s="14" t="s">
        <v>3435</v>
      </c>
      <c r="C224" s="13" t="s">
        <v>702</v>
      </c>
      <c r="D224" s="4" t="s">
        <v>22</v>
      </c>
      <c r="E224" s="4" t="s">
        <v>22</v>
      </c>
      <c r="F224" s="4" t="s">
        <v>22</v>
      </c>
      <c r="J224">
        <v>31</v>
      </c>
      <c r="K224">
        <v>31</v>
      </c>
    </row>
    <row r="225" spans="1:11" ht="15" x14ac:dyDescent="0.2">
      <c r="A225" s="13">
        <v>223</v>
      </c>
      <c r="B225" s="14" t="s">
        <v>3436</v>
      </c>
      <c r="C225" s="13" t="s">
        <v>703</v>
      </c>
      <c r="D225" s="4" t="s">
        <v>22</v>
      </c>
      <c r="E225" s="4" t="s">
        <v>22</v>
      </c>
      <c r="F225" s="4" t="s">
        <v>22</v>
      </c>
      <c r="J225">
        <v>32</v>
      </c>
      <c r="K225">
        <v>32</v>
      </c>
    </row>
    <row r="226" spans="1:11" ht="15" x14ac:dyDescent="0.2">
      <c r="A226" s="15">
        <v>224</v>
      </c>
      <c r="B226" s="16" t="s">
        <v>740</v>
      </c>
      <c r="C226" s="15" t="s">
        <v>760</v>
      </c>
      <c r="D226" s="4" t="s">
        <v>22</v>
      </c>
      <c r="E226" s="4" t="s">
        <v>22</v>
      </c>
      <c r="F226" s="4" t="s">
        <v>1333</v>
      </c>
      <c r="H226">
        <v>127</v>
      </c>
      <c r="I226">
        <v>127</v>
      </c>
      <c r="J226">
        <v>127</v>
      </c>
      <c r="K226">
        <v>127</v>
      </c>
    </row>
    <row r="227" spans="1:11" ht="15" x14ac:dyDescent="0.2">
      <c r="A227" s="15">
        <v>225</v>
      </c>
      <c r="B227" s="16" t="s">
        <v>741</v>
      </c>
      <c r="C227" s="15" t="s">
        <v>761</v>
      </c>
      <c r="D227" s="4" t="s">
        <v>22</v>
      </c>
      <c r="E227" s="4" t="s">
        <v>22</v>
      </c>
      <c r="F227" s="4" t="s">
        <v>1333</v>
      </c>
      <c r="H227">
        <v>128</v>
      </c>
      <c r="I227">
        <v>128</v>
      </c>
      <c r="J227">
        <v>128</v>
      </c>
      <c r="K227">
        <v>128</v>
      </c>
    </row>
    <row r="228" spans="1:11" ht="15" x14ac:dyDescent="0.2">
      <c r="A228" s="15">
        <v>226</v>
      </c>
      <c r="B228" s="16" t="s">
        <v>743</v>
      </c>
      <c r="C228" s="15" t="s">
        <v>762</v>
      </c>
      <c r="D228" s="4" t="s">
        <v>22</v>
      </c>
      <c r="E228" s="4" t="s">
        <v>22</v>
      </c>
      <c r="F228" s="4" t="s">
        <v>1333</v>
      </c>
      <c r="H228">
        <v>129</v>
      </c>
      <c r="I228">
        <v>129</v>
      </c>
      <c r="J228">
        <v>129</v>
      </c>
      <c r="K228">
        <v>129</v>
      </c>
    </row>
    <row r="229" spans="1:11" ht="15" x14ac:dyDescent="0.2">
      <c r="A229" s="15">
        <v>227</v>
      </c>
      <c r="B229" s="16" t="s">
        <v>737</v>
      </c>
      <c r="C229" s="15" t="s">
        <v>763</v>
      </c>
      <c r="D229" s="4" t="s">
        <v>22</v>
      </c>
      <c r="E229" s="4" t="s">
        <v>22</v>
      </c>
      <c r="F229" s="4" t="s">
        <v>1333</v>
      </c>
      <c r="H229">
        <v>130</v>
      </c>
      <c r="I229">
        <v>130</v>
      </c>
      <c r="J229">
        <v>130</v>
      </c>
      <c r="K229">
        <v>130</v>
      </c>
    </row>
    <row r="230" spans="1:11" ht="15" x14ac:dyDescent="0.2">
      <c r="A230" s="15">
        <v>228</v>
      </c>
      <c r="B230" s="16" t="s">
        <v>742</v>
      </c>
      <c r="C230" s="15" t="s">
        <v>764</v>
      </c>
      <c r="D230" s="4" t="s">
        <v>22</v>
      </c>
      <c r="E230" s="4" t="s">
        <v>22</v>
      </c>
      <c r="F230" s="4" t="s">
        <v>1333</v>
      </c>
      <c r="H230">
        <v>131</v>
      </c>
      <c r="I230">
        <v>131</v>
      </c>
      <c r="J230">
        <v>131</v>
      </c>
      <c r="K230">
        <v>131</v>
      </c>
    </row>
    <row r="231" spans="1:11" ht="15" x14ac:dyDescent="0.2">
      <c r="A231" s="15">
        <v>229</v>
      </c>
      <c r="B231" s="16" t="s">
        <v>738</v>
      </c>
      <c r="C231" s="15" t="s">
        <v>765</v>
      </c>
      <c r="D231" s="4" t="s">
        <v>22</v>
      </c>
      <c r="E231" s="4" t="s">
        <v>22</v>
      </c>
      <c r="F231" s="4" t="s">
        <v>1333</v>
      </c>
      <c r="H231">
        <v>132</v>
      </c>
      <c r="I231">
        <v>132</v>
      </c>
      <c r="J231">
        <v>132</v>
      </c>
      <c r="K231">
        <v>132</v>
      </c>
    </row>
    <row r="232" spans="1:11" ht="15" x14ac:dyDescent="0.2">
      <c r="A232" s="15">
        <v>230</v>
      </c>
      <c r="B232" s="16" t="s">
        <v>739</v>
      </c>
      <c r="C232" s="15" t="s">
        <v>766</v>
      </c>
      <c r="D232" s="4" t="s">
        <v>22</v>
      </c>
      <c r="E232" s="4" t="s">
        <v>22</v>
      </c>
      <c r="F232" s="4" t="s">
        <v>1333</v>
      </c>
      <c r="H232">
        <v>133</v>
      </c>
      <c r="I232">
        <v>133</v>
      </c>
      <c r="J232">
        <v>133</v>
      </c>
      <c r="K232">
        <v>133</v>
      </c>
    </row>
    <row r="233" spans="1:11" ht="15" x14ac:dyDescent="0.2">
      <c r="A233" s="9">
        <v>231</v>
      </c>
      <c r="B233" s="10" t="s">
        <v>778</v>
      </c>
      <c r="C233" s="9" t="s">
        <v>779</v>
      </c>
      <c r="D233" s="4" t="s">
        <v>22</v>
      </c>
      <c r="F233" s="4" t="s">
        <v>1333</v>
      </c>
      <c r="H233">
        <v>205</v>
      </c>
      <c r="I233">
        <v>205</v>
      </c>
      <c r="J233">
        <v>205</v>
      </c>
      <c r="K233">
        <v>205</v>
      </c>
    </row>
    <row r="234" spans="1:11" ht="15" x14ac:dyDescent="0.2">
      <c r="A234" s="9">
        <v>232</v>
      </c>
      <c r="B234" s="10" t="s">
        <v>780</v>
      </c>
      <c r="C234" s="9" t="s">
        <v>781</v>
      </c>
      <c r="D234" s="4" t="s">
        <v>22</v>
      </c>
      <c r="E234" s="4" t="s">
        <v>22</v>
      </c>
      <c r="F234" s="4" t="s">
        <v>1333</v>
      </c>
      <c r="H234">
        <v>206</v>
      </c>
      <c r="I234">
        <v>206</v>
      </c>
      <c r="J234">
        <v>206</v>
      </c>
      <c r="K234">
        <v>206</v>
      </c>
    </row>
    <row r="235" spans="1:11" ht="15" x14ac:dyDescent="0.2">
      <c r="A235" s="17">
        <v>233</v>
      </c>
      <c r="B235" s="18" t="s">
        <v>782</v>
      </c>
      <c r="C235" s="17" t="s">
        <v>812</v>
      </c>
      <c r="D235" s="4" t="s">
        <v>22</v>
      </c>
      <c r="E235" s="4" t="s">
        <v>22</v>
      </c>
      <c r="F235" s="4" t="s">
        <v>1333</v>
      </c>
      <c r="H235">
        <v>89</v>
      </c>
      <c r="I235">
        <v>89</v>
      </c>
      <c r="J235">
        <v>89</v>
      </c>
      <c r="K235">
        <v>89</v>
      </c>
    </row>
    <row r="236" spans="1:11" ht="15" x14ac:dyDescent="0.2">
      <c r="A236" s="17">
        <v>234</v>
      </c>
      <c r="B236" s="18" t="s">
        <v>783</v>
      </c>
      <c r="C236" s="17" t="s">
        <v>813</v>
      </c>
      <c r="D236" s="4" t="s">
        <v>22</v>
      </c>
      <c r="E236" s="4" t="s">
        <v>22</v>
      </c>
      <c r="F236" s="4" t="s">
        <v>1333</v>
      </c>
      <c r="H236">
        <v>90</v>
      </c>
      <c r="I236">
        <v>90</v>
      </c>
      <c r="J236">
        <v>90</v>
      </c>
      <c r="K236">
        <v>90</v>
      </c>
    </row>
    <row r="237" spans="1:11" ht="15" x14ac:dyDescent="0.2">
      <c r="A237" s="17">
        <v>235</v>
      </c>
      <c r="B237" s="18" t="s">
        <v>784</v>
      </c>
      <c r="C237" s="17" t="s">
        <v>814</v>
      </c>
      <c r="D237" s="4" t="s">
        <v>22</v>
      </c>
      <c r="E237" s="4" t="s">
        <v>22</v>
      </c>
      <c r="F237" s="4" t="s">
        <v>1333</v>
      </c>
      <c r="H237">
        <v>97</v>
      </c>
      <c r="I237">
        <v>97</v>
      </c>
      <c r="J237">
        <v>97</v>
      </c>
      <c r="K237">
        <v>97</v>
      </c>
    </row>
    <row r="238" spans="1:11" ht="15" x14ac:dyDescent="0.2">
      <c r="A238" s="17">
        <v>236</v>
      </c>
      <c r="B238" s="18" t="s">
        <v>785</v>
      </c>
      <c r="C238" s="17" t="s">
        <v>825</v>
      </c>
      <c r="D238" s="4" t="s">
        <v>22</v>
      </c>
      <c r="E238" s="4" t="s">
        <v>22</v>
      </c>
      <c r="F238" s="4" t="s">
        <v>1333</v>
      </c>
      <c r="H238">
        <v>93</v>
      </c>
      <c r="I238">
        <v>93</v>
      </c>
      <c r="J238">
        <v>93</v>
      </c>
      <c r="K238">
        <v>93</v>
      </c>
    </row>
    <row r="239" spans="1:11" ht="15" x14ac:dyDescent="0.2">
      <c r="A239" s="17">
        <v>237</v>
      </c>
      <c r="B239" s="18" t="s">
        <v>786</v>
      </c>
      <c r="C239" s="17" t="s">
        <v>826</v>
      </c>
      <c r="D239" s="4" t="s">
        <v>22</v>
      </c>
      <c r="E239" s="4" t="s">
        <v>22</v>
      </c>
      <c r="F239" s="4" t="s">
        <v>1333</v>
      </c>
      <c r="H239">
        <v>94</v>
      </c>
      <c r="I239">
        <v>94</v>
      </c>
      <c r="J239">
        <v>94</v>
      </c>
      <c r="K239">
        <v>94</v>
      </c>
    </row>
    <row r="240" spans="1:11" ht="15" x14ac:dyDescent="0.2">
      <c r="A240" s="17">
        <v>238</v>
      </c>
      <c r="B240" s="18" t="s">
        <v>787</v>
      </c>
      <c r="C240" s="17" t="s">
        <v>827</v>
      </c>
      <c r="D240" s="4" t="s">
        <v>22</v>
      </c>
      <c r="E240" s="4" t="s">
        <v>22</v>
      </c>
      <c r="F240" s="4" t="s">
        <v>1333</v>
      </c>
      <c r="H240">
        <v>84</v>
      </c>
      <c r="I240">
        <v>84</v>
      </c>
      <c r="J240">
        <v>84</v>
      </c>
      <c r="K240">
        <v>84</v>
      </c>
    </row>
    <row r="241" spans="1:11" ht="15" x14ac:dyDescent="0.2">
      <c r="A241" s="17">
        <v>239</v>
      </c>
      <c r="B241" s="18" t="s">
        <v>788</v>
      </c>
      <c r="C241" s="17" t="s">
        <v>828</v>
      </c>
      <c r="D241" s="4" t="s">
        <v>22</v>
      </c>
      <c r="E241" s="4" t="s">
        <v>22</v>
      </c>
      <c r="F241" s="4" t="s">
        <v>1333</v>
      </c>
      <c r="H241">
        <v>91</v>
      </c>
      <c r="I241">
        <v>91</v>
      </c>
      <c r="J241">
        <v>91</v>
      </c>
      <c r="K241">
        <v>91</v>
      </c>
    </row>
    <row r="242" spans="1:11" ht="15" x14ac:dyDescent="0.2">
      <c r="A242" s="17">
        <v>240</v>
      </c>
      <c r="B242" s="18" t="s">
        <v>789</v>
      </c>
      <c r="C242" s="17" t="s">
        <v>829</v>
      </c>
      <c r="D242" s="4" t="s">
        <v>22</v>
      </c>
      <c r="E242" s="4" t="s">
        <v>22</v>
      </c>
      <c r="F242" s="4" t="s">
        <v>1333</v>
      </c>
      <c r="H242">
        <v>92</v>
      </c>
      <c r="I242">
        <v>92</v>
      </c>
      <c r="J242">
        <v>92</v>
      </c>
      <c r="K242">
        <v>92</v>
      </c>
    </row>
    <row r="243" spans="1:11" ht="15" x14ac:dyDescent="0.2">
      <c r="A243" s="17">
        <v>241</v>
      </c>
      <c r="B243" s="18" t="s">
        <v>790</v>
      </c>
      <c r="C243" s="17" t="s">
        <v>830</v>
      </c>
      <c r="D243" s="4" t="s">
        <v>22</v>
      </c>
      <c r="E243" s="4" t="s">
        <v>22</v>
      </c>
      <c r="F243" s="4" t="s">
        <v>1333</v>
      </c>
      <c r="H243">
        <v>95</v>
      </c>
      <c r="I243">
        <v>95</v>
      </c>
      <c r="J243">
        <v>95</v>
      </c>
      <c r="K243">
        <v>95</v>
      </c>
    </row>
    <row r="244" spans="1:11" ht="15" x14ac:dyDescent="0.2">
      <c r="A244" s="17">
        <v>242</v>
      </c>
      <c r="B244" s="18" t="s">
        <v>791</v>
      </c>
      <c r="C244" s="17" t="s">
        <v>831</v>
      </c>
      <c r="D244" s="4" t="s">
        <v>22</v>
      </c>
      <c r="F244" s="4" t="s">
        <v>1333</v>
      </c>
      <c r="H244">
        <v>74</v>
      </c>
      <c r="I244">
        <v>74</v>
      </c>
      <c r="J244">
        <v>74</v>
      </c>
      <c r="K244">
        <v>74</v>
      </c>
    </row>
    <row r="245" spans="1:11" ht="15" x14ac:dyDescent="0.2">
      <c r="A245" s="17">
        <v>243</v>
      </c>
      <c r="B245" s="18" t="s">
        <v>792</v>
      </c>
      <c r="C245" s="17" t="s">
        <v>832</v>
      </c>
      <c r="D245" s="4" t="s">
        <v>22</v>
      </c>
      <c r="E245" s="4" t="s">
        <v>22</v>
      </c>
      <c r="F245" s="4" t="s">
        <v>1333</v>
      </c>
      <c r="H245">
        <v>75</v>
      </c>
      <c r="I245">
        <v>75</v>
      </c>
      <c r="J245">
        <v>75</v>
      </c>
      <c r="K245">
        <v>75</v>
      </c>
    </row>
    <row r="246" spans="1:11" ht="15" x14ac:dyDescent="0.2">
      <c r="A246" s="17">
        <v>244</v>
      </c>
      <c r="B246" s="18" t="s">
        <v>793</v>
      </c>
      <c r="C246" s="17" t="s">
        <v>833</v>
      </c>
      <c r="D246" s="4" t="s">
        <v>22</v>
      </c>
      <c r="F246" s="4" t="s">
        <v>1333</v>
      </c>
      <c r="H246">
        <v>8</v>
      </c>
      <c r="I246">
        <v>8</v>
      </c>
      <c r="J246">
        <v>8</v>
      </c>
      <c r="K246">
        <v>8</v>
      </c>
    </row>
    <row r="247" spans="1:11" ht="15" x14ac:dyDescent="0.2">
      <c r="A247" s="17">
        <v>245</v>
      </c>
      <c r="B247" s="18" t="s">
        <v>794</v>
      </c>
      <c r="C247" s="17" t="s">
        <v>834</v>
      </c>
      <c r="D247" s="4" t="s">
        <v>22</v>
      </c>
      <c r="E247" s="4" t="s">
        <v>22</v>
      </c>
      <c r="F247" s="4" t="s">
        <v>1333</v>
      </c>
      <c r="H247">
        <v>73</v>
      </c>
      <c r="I247">
        <v>73</v>
      </c>
      <c r="J247">
        <v>73</v>
      </c>
      <c r="K247">
        <v>73</v>
      </c>
    </row>
    <row r="248" spans="1:11" ht="15" x14ac:dyDescent="0.2">
      <c r="A248" s="17">
        <v>246</v>
      </c>
      <c r="B248" s="18" t="s">
        <v>795</v>
      </c>
      <c r="C248" s="17" t="s">
        <v>835</v>
      </c>
      <c r="D248" s="4" t="s">
        <v>22</v>
      </c>
      <c r="E248" s="4" t="s">
        <v>22</v>
      </c>
      <c r="F248" s="4" t="s">
        <v>1333</v>
      </c>
      <c r="H248">
        <v>96</v>
      </c>
      <c r="I248">
        <v>96</v>
      </c>
      <c r="J248">
        <v>96</v>
      </c>
      <c r="K248">
        <v>96</v>
      </c>
    </row>
    <row r="249" spans="1:11" ht="15" x14ac:dyDescent="0.2">
      <c r="A249" s="17">
        <v>247</v>
      </c>
      <c r="B249" s="18" t="s">
        <v>796</v>
      </c>
      <c r="C249" s="17" t="s">
        <v>836</v>
      </c>
      <c r="D249" s="4" t="s">
        <v>22</v>
      </c>
      <c r="E249" s="4" t="s">
        <v>22</v>
      </c>
      <c r="F249" s="4" t="s">
        <v>1333</v>
      </c>
      <c r="H249">
        <v>80</v>
      </c>
      <c r="I249">
        <v>80</v>
      </c>
      <c r="J249">
        <v>80</v>
      </c>
      <c r="K249">
        <v>80</v>
      </c>
    </row>
    <row r="250" spans="1:11" ht="15" x14ac:dyDescent="0.2">
      <c r="A250" s="17">
        <v>248</v>
      </c>
      <c r="B250" s="18" t="s">
        <v>797</v>
      </c>
      <c r="C250" s="17" t="s">
        <v>837</v>
      </c>
      <c r="D250" s="4" t="s">
        <v>22</v>
      </c>
      <c r="E250" s="4" t="s">
        <v>22</v>
      </c>
      <c r="F250" s="4" t="s">
        <v>1333</v>
      </c>
      <c r="H250">
        <v>77</v>
      </c>
      <c r="I250">
        <v>77</v>
      </c>
      <c r="J250">
        <v>77</v>
      </c>
      <c r="K250">
        <v>77</v>
      </c>
    </row>
    <row r="251" spans="1:11" ht="15" x14ac:dyDescent="0.2">
      <c r="A251" s="17">
        <v>249</v>
      </c>
      <c r="B251" s="18" t="s">
        <v>798</v>
      </c>
      <c r="C251" s="17" t="s">
        <v>841</v>
      </c>
      <c r="D251" s="4" t="s">
        <v>22</v>
      </c>
      <c r="E251" s="4" t="s">
        <v>22</v>
      </c>
      <c r="F251" s="4" t="s">
        <v>1333</v>
      </c>
      <c r="H251">
        <v>103</v>
      </c>
      <c r="I251">
        <v>103</v>
      </c>
      <c r="J251">
        <v>103</v>
      </c>
      <c r="K251">
        <v>103</v>
      </c>
    </row>
    <row r="252" spans="1:11" ht="15" x14ac:dyDescent="0.2">
      <c r="A252" s="17">
        <v>250</v>
      </c>
      <c r="B252" s="18" t="s">
        <v>799</v>
      </c>
      <c r="C252" s="17" t="s">
        <v>842</v>
      </c>
      <c r="D252" s="4" t="s">
        <v>22</v>
      </c>
      <c r="E252" s="4" t="s">
        <v>22</v>
      </c>
      <c r="F252" s="4" t="s">
        <v>1333</v>
      </c>
      <c r="H252">
        <v>81</v>
      </c>
      <c r="I252">
        <v>81</v>
      </c>
      <c r="J252">
        <v>81</v>
      </c>
      <c r="K252">
        <v>81</v>
      </c>
    </row>
    <row r="253" spans="1:11" ht="15" x14ac:dyDescent="0.2">
      <c r="A253" s="17">
        <v>251</v>
      </c>
      <c r="B253" s="18" t="s">
        <v>800</v>
      </c>
      <c r="C253" s="17" t="s">
        <v>838</v>
      </c>
      <c r="D253" s="4" t="s">
        <v>22</v>
      </c>
      <c r="E253" s="4" t="s">
        <v>22</v>
      </c>
      <c r="F253" s="4" t="s">
        <v>1333</v>
      </c>
      <c r="H253">
        <v>79</v>
      </c>
      <c r="I253">
        <v>79</v>
      </c>
      <c r="J253">
        <v>79</v>
      </c>
      <c r="K253">
        <v>79</v>
      </c>
    </row>
    <row r="254" spans="1:11" ht="15" x14ac:dyDescent="0.2">
      <c r="A254" s="17">
        <v>252</v>
      </c>
      <c r="B254" s="18" t="s">
        <v>801</v>
      </c>
      <c r="C254" s="17" t="s">
        <v>843</v>
      </c>
      <c r="D254" s="4" t="s">
        <v>22</v>
      </c>
      <c r="F254" s="4" t="s">
        <v>1333</v>
      </c>
      <c r="H254">
        <v>10</v>
      </c>
      <c r="I254">
        <v>10</v>
      </c>
      <c r="J254">
        <v>10</v>
      </c>
      <c r="K254">
        <v>10</v>
      </c>
    </row>
    <row r="255" spans="1:11" ht="15" x14ac:dyDescent="0.2">
      <c r="A255" s="17">
        <v>253</v>
      </c>
      <c r="B255" s="18" t="s">
        <v>802</v>
      </c>
      <c r="C255" s="17" t="s">
        <v>840</v>
      </c>
      <c r="D255" s="4" t="s">
        <v>22</v>
      </c>
      <c r="E255" s="4" t="s">
        <v>22</v>
      </c>
      <c r="F255" s="4" t="s">
        <v>1333</v>
      </c>
      <c r="H255">
        <v>78</v>
      </c>
      <c r="I255">
        <v>78</v>
      </c>
      <c r="J255">
        <v>78</v>
      </c>
      <c r="K255">
        <v>78</v>
      </c>
    </row>
    <row r="256" spans="1:11" ht="15" x14ac:dyDescent="0.2">
      <c r="A256" s="17">
        <v>254</v>
      </c>
      <c r="B256" s="18" t="s">
        <v>803</v>
      </c>
      <c r="C256" s="17" t="s">
        <v>848</v>
      </c>
      <c r="D256" s="4" t="s">
        <v>22</v>
      </c>
      <c r="E256" s="4" t="s">
        <v>22</v>
      </c>
      <c r="F256" s="4" t="s">
        <v>1333</v>
      </c>
      <c r="H256">
        <v>72</v>
      </c>
      <c r="I256">
        <v>72</v>
      </c>
      <c r="J256">
        <v>72</v>
      </c>
      <c r="K256">
        <v>72</v>
      </c>
    </row>
    <row r="257" spans="1:11" ht="15" x14ac:dyDescent="0.2">
      <c r="A257" s="17">
        <v>255</v>
      </c>
      <c r="B257" s="18" t="s">
        <v>804</v>
      </c>
      <c r="C257" s="17" t="s">
        <v>849</v>
      </c>
      <c r="D257" s="4" t="s">
        <v>22</v>
      </c>
      <c r="E257" s="4" t="s">
        <v>22</v>
      </c>
      <c r="F257" s="4" t="s">
        <v>1333</v>
      </c>
      <c r="H257">
        <v>82</v>
      </c>
      <c r="I257">
        <v>82</v>
      </c>
      <c r="J257">
        <v>82</v>
      </c>
      <c r="K257">
        <v>82</v>
      </c>
    </row>
    <row r="258" spans="1:11" ht="15" x14ac:dyDescent="0.2">
      <c r="A258" s="17">
        <v>256</v>
      </c>
      <c r="B258" s="18" t="s">
        <v>805</v>
      </c>
      <c r="C258" s="17" t="s">
        <v>850</v>
      </c>
      <c r="D258" s="4" t="s">
        <v>22</v>
      </c>
      <c r="E258" s="4" t="s">
        <v>22</v>
      </c>
      <c r="F258" s="4" t="s">
        <v>1333</v>
      </c>
      <c r="G258" t="b">
        <v>0</v>
      </c>
      <c r="H258">
        <v>85</v>
      </c>
      <c r="I258">
        <v>85</v>
      </c>
      <c r="J258">
        <v>85</v>
      </c>
      <c r="K258">
        <v>85</v>
      </c>
    </row>
    <row r="259" spans="1:11" ht="15" x14ac:dyDescent="0.2">
      <c r="A259" s="17">
        <v>257</v>
      </c>
      <c r="B259" s="18" t="s">
        <v>806</v>
      </c>
      <c r="C259" s="17" t="s">
        <v>851</v>
      </c>
      <c r="D259" s="4" t="s">
        <v>22</v>
      </c>
      <c r="E259" s="4" t="s">
        <v>22</v>
      </c>
      <c r="F259" s="4" t="s">
        <v>1333</v>
      </c>
      <c r="G259" t="b">
        <v>0</v>
      </c>
      <c r="H259">
        <v>86</v>
      </c>
      <c r="I259">
        <v>86</v>
      </c>
      <c r="J259">
        <v>86</v>
      </c>
      <c r="K259">
        <v>86</v>
      </c>
    </row>
    <row r="260" spans="1:11" ht="15" x14ac:dyDescent="0.2">
      <c r="A260" s="17">
        <v>258</v>
      </c>
      <c r="B260" s="18" t="s">
        <v>807</v>
      </c>
      <c r="C260" s="17"/>
      <c r="D260" s="4" t="s">
        <v>22</v>
      </c>
      <c r="E260" s="4" t="s">
        <v>22</v>
      </c>
      <c r="F260" s="4" t="s">
        <v>1333</v>
      </c>
      <c r="G260" t="b">
        <v>1</v>
      </c>
      <c r="H260">
        <v>104</v>
      </c>
      <c r="I260">
        <v>104</v>
      </c>
      <c r="J260">
        <v>104</v>
      </c>
      <c r="K260">
        <v>104</v>
      </c>
    </row>
    <row r="261" spans="1:11" ht="15" x14ac:dyDescent="0.2">
      <c r="A261" s="17">
        <v>259</v>
      </c>
      <c r="B261" s="18" t="s">
        <v>808</v>
      </c>
      <c r="C261" s="17" t="s">
        <v>852</v>
      </c>
      <c r="D261" s="4" t="s">
        <v>22</v>
      </c>
      <c r="E261" s="4" t="s">
        <v>22</v>
      </c>
      <c r="F261" s="4" t="s">
        <v>1333</v>
      </c>
      <c r="H261">
        <v>83</v>
      </c>
      <c r="I261">
        <v>83</v>
      </c>
      <c r="J261">
        <v>83</v>
      </c>
      <c r="K261">
        <v>83</v>
      </c>
    </row>
    <row r="262" spans="1:11" ht="15" x14ac:dyDescent="0.2">
      <c r="A262" s="17">
        <v>260</v>
      </c>
      <c r="B262" s="18" t="s">
        <v>809</v>
      </c>
      <c r="C262" s="17" t="s">
        <v>853</v>
      </c>
      <c r="D262" s="4" t="s">
        <v>22</v>
      </c>
      <c r="E262" s="4" t="s">
        <v>22</v>
      </c>
      <c r="F262" s="4" t="s">
        <v>1333</v>
      </c>
      <c r="H262">
        <v>87</v>
      </c>
      <c r="I262">
        <v>87</v>
      </c>
      <c r="J262">
        <v>87</v>
      </c>
      <c r="K262">
        <v>87</v>
      </c>
    </row>
    <row r="263" spans="1:11" ht="15" x14ac:dyDescent="0.2">
      <c r="A263" s="17">
        <v>261</v>
      </c>
      <c r="B263" s="18" t="s">
        <v>810</v>
      </c>
      <c r="C263" s="17" t="s">
        <v>854</v>
      </c>
      <c r="D263" s="4" t="s">
        <v>22</v>
      </c>
      <c r="E263" s="4" t="s">
        <v>22</v>
      </c>
      <c r="F263" s="4" t="s">
        <v>1333</v>
      </c>
      <c r="H263">
        <v>88</v>
      </c>
      <c r="I263">
        <v>88</v>
      </c>
      <c r="J263">
        <v>88</v>
      </c>
      <c r="K263">
        <v>88</v>
      </c>
    </row>
    <row r="264" spans="1:11" ht="15" x14ac:dyDescent="0.2">
      <c r="A264" s="17">
        <v>262</v>
      </c>
      <c r="B264" s="18" t="s">
        <v>811</v>
      </c>
      <c r="C264" s="17" t="s">
        <v>839</v>
      </c>
      <c r="D264" s="4" t="s">
        <v>22</v>
      </c>
      <c r="E264" s="4" t="s">
        <v>22</v>
      </c>
      <c r="F264" s="4" t="s">
        <v>1333</v>
      </c>
      <c r="H264">
        <v>76</v>
      </c>
      <c r="I264">
        <v>76</v>
      </c>
      <c r="J264">
        <v>76</v>
      </c>
      <c r="K264">
        <v>76</v>
      </c>
    </row>
    <row r="265" spans="1:11" ht="15" x14ac:dyDescent="0.2">
      <c r="A265" s="17">
        <v>263</v>
      </c>
      <c r="B265" s="18" t="s">
        <v>815</v>
      </c>
      <c r="C265" s="17" t="s">
        <v>820</v>
      </c>
      <c r="D265" s="4" t="s">
        <v>22</v>
      </c>
      <c r="E265" s="4" t="s">
        <v>22</v>
      </c>
      <c r="F265" s="4" t="s">
        <v>1333</v>
      </c>
      <c r="H265">
        <v>98</v>
      </c>
      <c r="I265">
        <v>98</v>
      </c>
      <c r="J265">
        <v>98</v>
      </c>
      <c r="K265">
        <v>98</v>
      </c>
    </row>
    <row r="266" spans="1:11" ht="15" x14ac:dyDescent="0.2">
      <c r="A266" s="17">
        <v>264</v>
      </c>
      <c r="B266" s="18" t="s">
        <v>816</v>
      </c>
      <c r="C266" s="17" t="s">
        <v>821</v>
      </c>
      <c r="D266" s="4" t="s">
        <v>22</v>
      </c>
      <c r="E266" s="4" t="s">
        <v>22</v>
      </c>
      <c r="F266" s="4" t="s">
        <v>1333</v>
      </c>
      <c r="H266">
        <v>99</v>
      </c>
      <c r="I266">
        <v>99</v>
      </c>
      <c r="J266">
        <v>99</v>
      </c>
      <c r="K266">
        <v>99</v>
      </c>
    </row>
    <row r="267" spans="1:11" ht="15" x14ac:dyDescent="0.2">
      <c r="A267" s="17">
        <v>265</v>
      </c>
      <c r="B267" s="18" t="s">
        <v>817</v>
      </c>
      <c r="C267" s="17" t="s">
        <v>822</v>
      </c>
      <c r="D267" s="4" t="s">
        <v>22</v>
      </c>
      <c r="E267" s="4" t="s">
        <v>22</v>
      </c>
      <c r="F267" s="4" t="s">
        <v>1333</v>
      </c>
      <c r="H267">
        <v>100</v>
      </c>
      <c r="I267">
        <v>100</v>
      </c>
      <c r="J267">
        <v>100</v>
      </c>
      <c r="K267">
        <v>100</v>
      </c>
    </row>
    <row r="268" spans="1:11" ht="15" x14ac:dyDescent="0.2">
      <c r="A268" s="17">
        <v>266</v>
      </c>
      <c r="B268" s="18" t="s">
        <v>818</v>
      </c>
      <c r="C268" s="17" t="s">
        <v>823</v>
      </c>
      <c r="D268" s="4" t="s">
        <v>22</v>
      </c>
      <c r="E268" s="4" t="s">
        <v>22</v>
      </c>
      <c r="F268" s="4" t="s">
        <v>1333</v>
      </c>
      <c r="H268">
        <v>101</v>
      </c>
      <c r="I268">
        <v>101</v>
      </c>
      <c r="J268">
        <v>101</v>
      </c>
      <c r="K268">
        <v>101</v>
      </c>
    </row>
    <row r="269" spans="1:11" ht="15" x14ac:dyDescent="0.2">
      <c r="A269" s="17">
        <v>267</v>
      </c>
      <c r="B269" s="18" t="s">
        <v>819</v>
      </c>
      <c r="C269" s="17" t="s">
        <v>824</v>
      </c>
      <c r="D269" s="4" t="s">
        <v>22</v>
      </c>
      <c r="E269" s="4" t="s">
        <v>22</v>
      </c>
      <c r="F269" s="4" t="s">
        <v>1333</v>
      </c>
      <c r="H269">
        <v>102</v>
      </c>
      <c r="I269">
        <v>102</v>
      </c>
      <c r="J269">
        <v>102</v>
      </c>
      <c r="K269">
        <v>102</v>
      </c>
    </row>
    <row r="270" spans="1:11" ht="15" x14ac:dyDescent="0.2">
      <c r="A270" s="17">
        <v>268</v>
      </c>
      <c r="B270" s="20" t="s">
        <v>844</v>
      </c>
      <c r="C270" s="17" t="s">
        <v>846</v>
      </c>
      <c r="D270" s="4" t="s">
        <v>22</v>
      </c>
      <c r="E270" s="4" t="s">
        <v>22</v>
      </c>
      <c r="F270" s="4" t="s">
        <v>1333</v>
      </c>
      <c r="H270">
        <v>11</v>
      </c>
      <c r="I270">
        <v>11</v>
      </c>
      <c r="J270">
        <v>11</v>
      </c>
      <c r="K270">
        <v>11</v>
      </c>
    </row>
    <row r="271" spans="1:11" ht="15" x14ac:dyDescent="0.2">
      <c r="A271" s="17">
        <v>269</v>
      </c>
      <c r="B271" s="20" t="s">
        <v>845</v>
      </c>
      <c r="C271" s="17" t="s">
        <v>847</v>
      </c>
      <c r="D271" s="4" t="s">
        <v>22</v>
      </c>
      <c r="E271" s="4" t="s">
        <v>22</v>
      </c>
      <c r="F271" s="4" t="s">
        <v>1333</v>
      </c>
      <c r="H271">
        <v>12</v>
      </c>
      <c r="I271">
        <v>12</v>
      </c>
      <c r="J271">
        <v>12</v>
      </c>
      <c r="K271">
        <v>12</v>
      </c>
    </row>
  </sheetData>
  <sortState xmlns:xlrd2="http://schemas.microsoft.com/office/spreadsheetml/2017/richdata2" ref="A2:K271">
    <sortCondition ref="A1:A271"/>
  </sortState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A2DE-E2C4-418D-B1B3-5725D9F0E6FA}">
  <sheetPr codeName="Sheet48"/>
  <dimension ref="A1:G381"/>
  <sheetViews>
    <sheetView zoomScaleNormal="100" workbookViewId="0">
      <selection activeCell="C13" sqref="C13"/>
    </sheetView>
  </sheetViews>
  <sheetFormatPr defaultRowHeight="14.25" x14ac:dyDescent="0.2"/>
  <cols>
    <col min="2" max="2" width="104.875" bestFit="1" customWidth="1"/>
    <col min="3" max="3" width="58.75" bestFit="1" customWidth="1"/>
    <col min="4" max="4" width="14.375" style="4" bestFit="1" customWidth="1"/>
    <col min="5" max="5" width="9" style="4"/>
  </cols>
  <sheetData>
    <row r="1" spans="1:7" x14ac:dyDescent="0.2">
      <c r="A1" t="s">
        <v>16</v>
      </c>
      <c r="B1" t="s">
        <v>18</v>
      </c>
      <c r="C1" t="s">
        <v>19</v>
      </c>
      <c r="D1" s="22" t="s">
        <v>20</v>
      </c>
      <c r="E1" s="22" t="s">
        <v>23</v>
      </c>
      <c r="F1" s="22" t="s">
        <v>881</v>
      </c>
      <c r="G1" s="22" t="s">
        <v>21</v>
      </c>
    </row>
    <row r="2" spans="1:7" ht="15" x14ac:dyDescent="0.2">
      <c r="A2">
        <v>0</v>
      </c>
      <c r="B2" s="6" t="s">
        <v>489</v>
      </c>
      <c r="C2" t="s">
        <v>571</v>
      </c>
      <c r="G2">
        <v>2</v>
      </c>
    </row>
    <row r="3" spans="1:7" ht="15" x14ac:dyDescent="0.2">
      <c r="A3">
        <v>1</v>
      </c>
      <c r="B3" s="6" t="s">
        <v>2052</v>
      </c>
      <c r="C3" t="s">
        <v>2053</v>
      </c>
      <c r="G3">
        <v>8</v>
      </c>
    </row>
    <row r="4" spans="1:7" ht="15" x14ac:dyDescent="0.2">
      <c r="A4">
        <v>2</v>
      </c>
      <c r="B4" s="6" t="s">
        <v>3795</v>
      </c>
      <c r="C4" t="s">
        <v>2065</v>
      </c>
      <c r="D4" s="4" t="s">
        <v>22</v>
      </c>
      <c r="G4">
        <v>7</v>
      </c>
    </row>
    <row r="5" spans="1:7" ht="15" x14ac:dyDescent="0.2">
      <c r="A5">
        <v>3</v>
      </c>
      <c r="B5" s="6" t="s">
        <v>2059</v>
      </c>
      <c r="C5" t="s">
        <v>2062</v>
      </c>
      <c r="E5" s="4" t="s">
        <v>22</v>
      </c>
      <c r="F5" t="b">
        <v>0</v>
      </c>
      <c r="G5">
        <v>12</v>
      </c>
    </row>
    <row r="6" spans="1:7" ht="15" x14ac:dyDescent="0.2">
      <c r="A6">
        <v>4</v>
      </c>
      <c r="B6" s="6" t="s">
        <v>2060</v>
      </c>
      <c r="C6" t="s">
        <v>2063</v>
      </c>
      <c r="G6">
        <v>9</v>
      </c>
    </row>
    <row r="7" spans="1:7" ht="15" x14ac:dyDescent="0.2">
      <c r="A7">
        <v>5</v>
      </c>
      <c r="B7" s="6" t="s">
        <v>2061</v>
      </c>
      <c r="C7" t="s">
        <v>2064</v>
      </c>
      <c r="E7" s="4" t="s">
        <v>22</v>
      </c>
      <c r="G7">
        <v>10</v>
      </c>
    </row>
    <row r="8" spans="1:7" ht="15" x14ac:dyDescent="0.2">
      <c r="A8">
        <v>6</v>
      </c>
      <c r="B8" s="6" t="s">
        <v>3796</v>
      </c>
      <c r="C8" t="s">
        <v>2054</v>
      </c>
      <c r="E8" s="4" t="s">
        <v>22</v>
      </c>
      <c r="G8">
        <v>11</v>
      </c>
    </row>
    <row r="9" spans="1:7" ht="15" x14ac:dyDescent="0.2">
      <c r="A9">
        <v>7</v>
      </c>
      <c r="B9" s="6" t="s">
        <v>2072</v>
      </c>
      <c r="C9" t="s">
        <v>2071</v>
      </c>
      <c r="G9">
        <v>3</v>
      </c>
    </row>
    <row r="10" spans="1:7" ht="15" x14ac:dyDescent="0.2">
      <c r="A10">
        <v>8</v>
      </c>
      <c r="B10" s="1" t="s">
        <v>855</v>
      </c>
      <c r="C10" t="str">
        <f>_xlfn.LET(_xlpm.x,VLOOKUP($B10,spell_header!$B$2:$G$373,2,FALSE),IF(_xlpm.x="","",_xlpm.x))</f>
        <v>主键</v>
      </c>
      <c r="D10" s="4" t="str">
        <f>IF(VLOOKUP($B10,spell_header!$B$2:$G$373,3,FALSE)="√","√","")</f>
        <v>√</v>
      </c>
      <c r="E10" s="4" t="str">
        <f>IF(VLOOKUP($B10,spell_header!$B$2:$G$373,4,FALSE)="√","√","")</f>
        <v/>
      </c>
      <c r="F10" t="str">
        <f>_xlfn.LET(_xlpm.x,VLOOKUP($B10,spell_header!$B$2:$G$373,5,FALSE),IF(_xlpm.x="","",_xlpm.x))</f>
        <v/>
      </c>
      <c r="G10">
        <v>0</v>
      </c>
    </row>
    <row r="11" spans="1:7" ht="15" x14ac:dyDescent="0.2">
      <c r="A11">
        <v>9</v>
      </c>
      <c r="B11" s="1" t="s">
        <v>1422</v>
      </c>
      <c r="C11" t="str">
        <f>_xlfn.LET(_xlpm.x,VLOOKUP($B11,spell_header!$B$2:$G$373,2,FALSE),IF(_xlpm.x="","",_xlpm.x))</f>
        <v>指令对象名称</v>
      </c>
      <c r="D11" s="4" t="str">
        <f>IF(VLOOKUP($B11,spell_header!$B$2:$G$373,3,FALSE)="√","√","")</f>
        <v>√</v>
      </c>
      <c r="E11" s="4" t="str">
        <f>IF(VLOOKUP($B11,spell_header!$B$2:$G$373,4,FALSE)="√","√","")</f>
        <v/>
      </c>
      <c r="F11" t="str">
        <f>_xlfn.LET(_xlpm.x,VLOOKUP($B11,spell_header!$B$2:$G$373,5,FALSE),IF(_xlpm.x="","",_xlpm.x))</f>
        <v/>
      </c>
      <c r="G11">
        <v>1</v>
      </c>
    </row>
    <row r="12" spans="1:7" ht="15" x14ac:dyDescent="0.2">
      <c r="A12">
        <v>10</v>
      </c>
      <c r="B12" s="1" t="s">
        <v>1423</v>
      </c>
      <c r="C12" t="str">
        <f>_xlfn.LET(_xlpm.x,VLOOKUP($B12,spell_header!$B$2:$G$373,2,FALSE),IF(_xlpm.x="","",_xlpm.x))</f>
        <v>脚本名称</v>
      </c>
      <c r="D12" s="4" t="str">
        <f>IF(VLOOKUP($B12,spell_header!$B$2:$G$373,3,FALSE)="√","√","")</f>
        <v>√</v>
      </c>
      <c r="E12" s="4" t="str">
        <f>IF(VLOOKUP($B12,spell_header!$B$2:$G$373,4,FALSE)="√","√","")</f>
        <v/>
      </c>
      <c r="F12" t="str">
        <f>_xlfn.LET(_xlpm.x,VLOOKUP($B12,spell_header!$B$2:$G$373,5,FALSE),IF(_xlpm.x="","",_xlpm.x))</f>
        <v/>
      </c>
      <c r="G12">
        <v>15</v>
      </c>
    </row>
    <row r="13" spans="1:7" ht="15" x14ac:dyDescent="0.2">
      <c r="A13">
        <v>11</v>
      </c>
      <c r="B13" s="1" t="s">
        <v>3722</v>
      </c>
      <c r="C13" t="str">
        <f>_xlfn.LET(_xlpm.x,VLOOKUP($B13,spell_header!$B$2:$G$373,2,FALSE),IF(_xlpm.x="","",_xlpm.x))</f>
        <v/>
      </c>
      <c r="D13" s="4" t="str">
        <f>IF(VLOOKUP($B13,spell_header!$B$2:$G$373,3,FALSE)="√","√","")</f>
        <v>√</v>
      </c>
      <c r="E13" s="4" t="str">
        <f>IF(VLOOKUP($B13,spell_header!$B$2:$G$373,4,FALSE)="√","√","")</f>
        <v>√</v>
      </c>
      <c r="F13" t="str">
        <f>_xlfn.LET(_xlpm.x,VLOOKUP($B13,spell_header!$B$2:$G$373,5,FALSE),IF(_xlpm.x="","",_xlpm.x))</f>
        <v/>
      </c>
      <c r="G13">
        <v>13</v>
      </c>
    </row>
    <row r="14" spans="1:7" ht="15" x14ac:dyDescent="0.2">
      <c r="A14">
        <v>12</v>
      </c>
      <c r="B14" s="1" t="s">
        <v>3723</v>
      </c>
      <c r="C14" t="str">
        <f>_xlfn.LET(_xlpm.x,VLOOKUP($B14,spell_header!$B$2:$G$373,2,FALSE),IF(_xlpm.x="","",_xlpm.x))</f>
        <v>脚本主键</v>
      </c>
      <c r="D14" s="4" t="str">
        <f>IF(VLOOKUP($B14,spell_header!$B$2:$G$373,3,FALSE)="√","√","")</f>
        <v>√</v>
      </c>
      <c r="E14" s="4" t="str">
        <f>IF(VLOOKUP($B14,spell_header!$B$2:$G$373,4,FALSE)="√","√","")</f>
        <v>√</v>
      </c>
      <c r="F14" t="str">
        <f>_xlfn.LET(_xlpm.x,VLOOKUP($B14,spell_header!$B$2:$G$373,5,FALSE),IF(_xlpm.x="","",_xlpm.x))</f>
        <v/>
      </c>
      <c r="G14">
        <v>14</v>
      </c>
    </row>
    <row r="15" spans="1:7" ht="15" x14ac:dyDescent="0.2">
      <c r="A15">
        <v>13</v>
      </c>
      <c r="B15" s="1" t="s">
        <v>1587</v>
      </c>
      <c r="C15" t="str">
        <f>_xlfn.LET(_xlpm.x,VLOOKUP($B15,spell_header!$B$2:$G$373,2,FALSE),IF(_xlpm.x="","",_xlpm.x))</f>
        <v>指令旗标</v>
      </c>
      <c r="D15" s="4" t="str">
        <f>IF(VLOOKUP($B15,spell_header!$B$2:$G$373,3,FALSE)="√","√","")</f>
        <v>√</v>
      </c>
      <c r="E15" s="4" t="str">
        <f>IF(VLOOKUP($B15,spell_header!$B$2:$G$373,4,FALSE)="√","√","")</f>
        <v>√</v>
      </c>
      <c r="F15" t="str">
        <f>_xlfn.LET(_xlpm.x,VLOOKUP($B15,spell_header!$B$2:$G$373,5,FALSE),IF(_xlpm.x="","",_xlpm.x))</f>
        <v/>
      </c>
      <c r="G15">
        <v>17</v>
      </c>
    </row>
    <row r="16" spans="1:7" ht="15" x14ac:dyDescent="0.2">
      <c r="A16">
        <v>14</v>
      </c>
      <c r="B16" s="1" t="s">
        <v>1589</v>
      </c>
      <c r="C16" t="str">
        <f>_xlfn.LET(_xlpm.x,VLOOKUP($B16,spell_header!$B$2:$G$373,2,FALSE),IF(_xlpm.x="","",_xlpm.x))</f>
        <v>作用目标类型旗标</v>
      </c>
      <c r="D16" s="4" t="str">
        <f>IF(VLOOKUP($B16,spell_header!$B$2:$G$373,3,FALSE)="√","√","")</f>
        <v>√</v>
      </c>
      <c r="E16" s="4" t="str">
        <f>IF(VLOOKUP($B16,spell_header!$B$2:$G$373,4,FALSE)="√","√","")</f>
        <v>√</v>
      </c>
      <c r="F16" t="str">
        <f>_xlfn.LET(_xlpm.x,VLOOKUP($B16,spell_header!$B$2:$G$373,5,FALSE),IF(_xlpm.x="","",_xlpm.x))</f>
        <v/>
      </c>
      <c r="G16">
        <v>18</v>
      </c>
    </row>
    <row r="17" spans="1:7" ht="15" x14ac:dyDescent="0.2">
      <c r="A17">
        <v>15</v>
      </c>
      <c r="B17" s="1" t="s">
        <v>1590</v>
      </c>
      <c r="C17" t="str">
        <f>_xlfn.LET(_xlpm.x,VLOOKUP($B17,spell_header!$B$2:$G$373,2,FALSE),IF(_xlpm.x="","",_xlpm.x))</f>
        <v>作用状态旗标</v>
      </c>
      <c r="D17" s="4" t="str">
        <f>IF(VLOOKUP($B17,spell_header!$B$2:$G$373,3,FALSE)="√","√","")</f>
        <v>√</v>
      </c>
      <c r="E17" s="4" t="str">
        <f>IF(VLOOKUP($B17,spell_header!$B$2:$G$373,4,FALSE)="√","√","")</f>
        <v>√</v>
      </c>
      <c r="F17" t="str">
        <f>_xlfn.LET(_xlpm.x,VLOOKUP($B17,spell_header!$B$2:$G$373,5,FALSE),IF(_xlpm.x="","",_xlpm.x))</f>
        <v/>
      </c>
      <c r="G17">
        <v>19</v>
      </c>
    </row>
    <row r="18" spans="1:7" ht="15" x14ac:dyDescent="0.2">
      <c r="A18">
        <v>16</v>
      </c>
      <c r="B18" s="1" t="s">
        <v>1729</v>
      </c>
      <c r="C18" t="str">
        <f>_xlfn.LET(_xlpm.x,VLOOKUP($B18,spell_header!$B$2:$G$373,2,FALSE),IF(_xlpm.x="","",_xlpm.x))</f>
        <v>所需目标单位标签列表</v>
      </c>
      <c r="D18" s="4" t="str">
        <f>IF(VLOOKUP($B18,spell_header!$B$2:$G$373,3,FALSE)="√","√","")</f>
        <v>√</v>
      </c>
      <c r="E18" s="4" t="str">
        <f>IF(VLOOKUP($B18,spell_header!$B$2:$G$373,4,FALSE)="√","√","")</f>
        <v/>
      </c>
      <c r="F18" t="str">
        <f>_xlfn.LET(_xlpm.x,VLOOKUP($B18,spell_header!$B$2:$G$373,5,FALSE),IF(_xlpm.x="","",_xlpm.x))</f>
        <v/>
      </c>
      <c r="G18">
        <v>79</v>
      </c>
    </row>
    <row r="19" spans="1:7" ht="15" x14ac:dyDescent="0.2">
      <c r="A19">
        <v>17</v>
      </c>
      <c r="B19" s="1" t="s">
        <v>1735</v>
      </c>
      <c r="C19" t="str">
        <f>_xlfn.LET(_xlpm.x,VLOOKUP($B19,spell_header!$B$2:$G$373,2,FALSE),IF(_xlpm.x="","",_xlpm.x))</f>
        <v>无效目标单位标签列表</v>
      </c>
      <c r="D19" s="4" t="str">
        <f>IF(VLOOKUP($B19,spell_header!$B$2:$G$373,3,FALSE)="√","√","")</f>
        <v>√</v>
      </c>
      <c r="E19" s="4" t="str">
        <f>IF(VLOOKUP($B19,spell_header!$B$2:$G$373,4,FALSE)="√","√","")</f>
        <v/>
      </c>
      <c r="F19" t="str">
        <f>_xlfn.LET(_xlpm.x,VLOOKUP($B19,spell_header!$B$2:$G$373,5,FALSE),IF(_xlpm.x="","",_xlpm.x))</f>
        <v/>
      </c>
      <c r="G19">
        <v>80</v>
      </c>
    </row>
    <row r="20" spans="1:7" ht="15" x14ac:dyDescent="0.2">
      <c r="A20">
        <v>18</v>
      </c>
      <c r="B20" s="1" t="s">
        <v>1731</v>
      </c>
      <c r="C20" t="str">
        <f>_xlfn.LET(_xlpm.x,VLOOKUP($B20,spell_header!$B$2:$G$373,2,FALSE),IF(_xlpm.x="","",_xlpm.x))</f>
        <v>展现化身所需等级</v>
      </c>
      <c r="D20" s="4" t="str">
        <f>IF(VLOOKUP($B20,spell_header!$B$2:$G$373,3,FALSE)="√","√","")</f>
        <v>√</v>
      </c>
      <c r="E20" s="4" t="str">
        <f>IF(VLOOKUP($B20,spell_header!$B$2:$G$373,4,FALSE)="√","√","")</f>
        <v>√</v>
      </c>
      <c r="F20" t="str">
        <f>_xlfn.LET(_xlpm.x,VLOOKUP($B20,spell_header!$B$2:$G$373,5,FALSE),IF(_xlpm.x="","",_xlpm.x))</f>
        <v/>
      </c>
      <c r="G20">
        <v>83</v>
      </c>
    </row>
    <row r="21" spans="1:7" ht="15" x14ac:dyDescent="0.2">
      <c r="A21">
        <v>19</v>
      </c>
      <c r="B21" s="1" t="s">
        <v>1732</v>
      </c>
      <c r="C21" t="str">
        <f>_xlfn.LET(_xlpm.x,VLOOKUP($B21,spell_header!$B$2:$G$373,2,FALSE),IF(_xlpm.x="","",_xlpm.x))</f>
        <v>指令序号</v>
      </c>
      <c r="D21" s="4" t="str">
        <f>IF(VLOOKUP($B21,spell_header!$B$2:$G$373,3,FALSE)="√","√","")</f>
        <v>√</v>
      </c>
      <c r="E21" s="4" t="str">
        <f>IF(VLOOKUP($B21,spell_header!$B$2:$G$373,4,FALSE)="√","√","")</f>
        <v>√</v>
      </c>
      <c r="F21" t="str">
        <f>_xlfn.LET(_xlpm.x,VLOOKUP($B21,spell_header!$B$2:$G$373,5,FALSE),IF(_xlpm.x="","",_xlpm.x))</f>
        <v/>
      </c>
      <c r="G21">
        <v>82</v>
      </c>
    </row>
    <row r="22" spans="1:7" ht="15" x14ac:dyDescent="0.2">
      <c r="A22">
        <v>20</v>
      </c>
      <c r="B22" s="1" t="s">
        <v>1733</v>
      </c>
      <c r="C22" t="str">
        <f>_xlfn.LET(_xlpm.x,VLOOKUP($B22,spell_header!$B$2:$G$373,2,FALSE),IF(_xlpm.x="","",_xlpm.x))</f>
        <v>可用性</v>
      </c>
      <c r="D22" s="4" t="str">
        <f>IF(VLOOKUP($B22,spell_header!$B$2:$G$373,3,FALSE)="√","√","")</f>
        <v>√</v>
      </c>
      <c r="E22" s="4" t="str">
        <f>IF(VLOOKUP($B22,spell_header!$B$2:$G$373,4,FALSE)="√","√","")</f>
        <v>√</v>
      </c>
      <c r="F22" t="b">
        <f>_xlfn.LET(_xlpm.x,VLOOKUP($B22,spell_header!$B$2:$G$373,5,FALSE),IF(_xlpm.x="","",_xlpm.x))</f>
        <v>0</v>
      </c>
      <c r="G22">
        <v>84</v>
      </c>
    </row>
    <row r="23" spans="1:7" ht="15" x14ac:dyDescent="0.2">
      <c r="A23">
        <v>21</v>
      </c>
      <c r="B23" s="1" t="s">
        <v>1734</v>
      </c>
      <c r="C23" t="str">
        <f>_xlfn.LET(_xlpm.x,VLOOKUP($B23,spell_header!$B$2:$G$373,2,FALSE),IF(_xlpm.x="","",_xlpm.x))</f>
        <v>适用游戏模式</v>
      </c>
      <c r="D23" s="4" t="str">
        <f>IF(VLOOKUP($B23,spell_header!$B$2:$G$373,3,FALSE)="√","√","")</f>
        <v>√</v>
      </c>
      <c r="E23" s="4" t="str">
        <f>IF(VLOOKUP($B23,spell_header!$B$2:$G$373,4,FALSE)="√","√","")</f>
        <v>√</v>
      </c>
      <c r="F23" t="str">
        <f>_xlfn.LET(_xlpm.x,VLOOKUP($B23,spell_header!$B$2:$G$373,5,FALSE),IF(_xlpm.x="","",_xlpm.x))</f>
        <v/>
      </c>
      <c r="G23">
        <v>85</v>
      </c>
    </row>
    <row r="24" spans="1:7" ht="15" x14ac:dyDescent="0.2">
      <c r="A24">
        <v>22</v>
      </c>
      <c r="B24" s="1" t="s">
        <v>1591</v>
      </c>
      <c r="C24" t="str">
        <f>_xlfn.LET(_xlpm.x,VLOOKUP($B24,spell_header!$B$2:$G$373,2,FALSE),IF(_xlpm.x="","",_xlpm.x))</f>
        <v>施法条件</v>
      </c>
      <c r="D24" s="4" t="str">
        <f>IF(VLOOKUP($B24,spell_header!$B$2:$G$373,3,FALSE)="√","√","")</f>
        <v>√</v>
      </c>
      <c r="E24" s="4" t="str">
        <f>IF(VLOOKUP($B24,spell_header!$B$2:$G$373,4,FALSE)="√","√","")</f>
        <v>√</v>
      </c>
      <c r="F24" t="str">
        <f>_xlfn.LET(_xlpm.x,VLOOKUP($B24,spell_header!$B$2:$G$373,5,FALSE),IF(_xlpm.x="","",_xlpm.x))</f>
        <v/>
      </c>
      <c r="G24">
        <v>75</v>
      </c>
    </row>
    <row r="25" spans="1:7" ht="15" x14ac:dyDescent="0.2">
      <c r="A25">
        <v>23</v>
      </c>
      <c r="B25" s="1" t="s">
        <v>1592</v>
      </c>
      <c r="C25" t="str">
        <f>_xlfn.LET(_xlpm.x,VLOOKUP($B25,spell_header!$B$2:$G$373,2,FALSE),IF(_xlpm.x="","",_xlpm.x))</f>
        <v>施法目标条件</v>
      </c>
      <c r="D25" s="4" t="str">
        <f>IF(VLOOKUP($B25,spell_header!$B$2:$G$373,3,FALSE)="√","√","")</f>
        <v>√</v>
      </c>
      <c r="E25" s="4" t="str">
        <f>IF(VLOOKUP($B25,spell_header!$B$2:$G$373,4,FALSE)="√","√","")</f>
        <v>√</v>
      </c>
      <c r="F25" t="str">
        <f>_xlfn.LET(_xlpm.x,VLOOKUP($B25,spell_header!$B$2:$G$373,5,FALSE),IF(_xlpm.x="","",_xlpm.x))</f>
        <v/>
      </c>
      <c r="G25">
        <v>76</v>
      </c>
    </row>
    <row r="26" spans="1:7" ht="15" x14ac:dyDescent="0.2">
      <c r="A26">
        <v>24</v>
      </c>
      <c r="B26" s="1" t="s">
        <v>1593</v>
      </c>
      <c r="C26" t="str">
        <f>_xlfn.LET(_xlpm.x,VLOOKUP($B26,spell_header!$B$2:$G$373,2,FALSE),IF(_xlpm.x="","",_xlpm.x))</f>
        <v>指令别名</v>
      </c>
      <c r="D26" s="4" t="str">
        <f>IF(VLOOKUP($B26,spell_header!$B$2:$G$373,3,FALSE)="√","√","")</f>
        <v>√</v>
      </c>
      <c r="E26" s="4" t="str">
        <f>IF(VLOOKUP($B26,spell_header!$B$2:$G$373,4,FALSE)="√","√","")</f>
        <v>√</v>
      </c>
      <c r="F26" t="str">
        <f>_xlfn.LET(_xlpm.x,VLOOKUP($B26,spell_header!$B$2:$G$373,5,FALSE),IF(_xlpm.x="","",_xlpm.x))</f>
        <v/>
      </c>
      <c r="G26">
        <v>16</v>
      </c>
    </row>
    <row r="27" spans="1:7" ht="15" x14ac:dyDescent="0.2">
      <c r="A27">
        <v>25</v>
      </c>
      <c r="B27" s="1" t="s">
        <v>1594</v>
      </c>
      <c r="C27" t="str">
        <f>_xlfn.LET(_xlpm.x,VLOOKUP($B27,spell_header!$B$2:$G$373,2,FALSE),IF(_xlpm.x="","",_xlpm.x))</f>
        <v>指令标签</v>
      </c>
      <c r="D27" s="4" t="str">
        <f>IF(VLOOKUP($B27,spell_header!$B$2:$G$373,3,FALSE)="√","√","")</f>
        <v>√</v>
      </c>
      <c r="E27" s="4" t="str">
        <f>IF(VLOOKUP($B27,spell_header!$B$2:$G$373,4,FALSE)="√","√","")</f>
        <v>√</v>
      </c>
      <c r="F27" t="str">
        <f>_xlfn.LET(_xlpm.x,VLOOKUP($B27,spell_header!$B$2:$G$373,5,FALSE),IF(_xlpm.x="","",_xlpm.x))</f>
        <v/>
      </c>
      <c r="G27">
        <v>20</v>
      </c>
    </row>
    <row r="28" spans="1:7" ht="15" x14ac:dyDescent="0.2">
      <c r="A28">
        <v>26</v>
      </c>
      <c r="B28" s="1" t="s">
        <v>1595</v>
      </c>
      <c r="C28" t="str">
        <f>_xlfn.LET(_xlpm.x,VLOOKUP($B28,spell_header!$B$2:$G$373,2,FALSE),IF(_xlpm.x="","",_xlpm.x))</f>
        <v>效应因子</v>
      </c>
      <c r="D28" s="4" t="str">
        <f>IF(VLOOKUP($B28,spell_header!$B$2:$G$373,3,FALSE)="√","√","")</f>
        <v>√</v>
      </c>
      <c r="E28" s="4" t="str">
        <f>IF(VLOOKUP($B28,spell_header!$B$2:$G$373,4,FALSE)="√","√","")</f>
        <v>√</v>
      </c>
      <c r="F28" t="str">
        <f>_xlfn.LET(_xlpm.x,VLOOKUP($B28,spell_header!$B$2:$G$373,5,FALSE),IF(_xlpm.x="","",_xlpm.x))</f>
        <v/>
      </c>
      <c r="G28">
        <v>41</v>
      </c>
    </row>
    <row r="29" spans="1:7" ht="15" x14ac:dyDescent="0.2">
      <c r="A29">
        <v>27</v>
      </c>
      <c r="B29" s="1" t="s">
        <v>1596</v>
      </c>
      <c r="C29" t="str">
        <f>_xlfn.LET(_xlpm.x,VLOOKUP($B29,spell_header!$B$2:$G$373,2,FALSE),IF(_xlpm.x="","",_xlpm.x))</f>
        <v>数值</v>
      </c>
      <c r="D29" s="4" t="str">
        <f>IF(VLOOKUP($B29,spell_header!$B$2:$G$373,3,FALSE)="√","√","")</f>
        <v>√</v>
      </c>
      <c r="E29" s="4" t="str">
        <f>IF(VLOOKUP($B29,spell_header!$B$2:$G$373,4,FALSE)="√","√","")</f>
        <v>√</v>
      </c>
      <c r="F29" t="str">
        <f>_xlfn.LET(_xlpm.x,VLOOKUP($B29,spell_header!$B$2:$G$373,5,FALSE),IF(_xlpm.x="","",_xlpm.x))</f>
        <v/>
      </c>
      <c r="G29">
        <v>42</v>
      </c>
    </row>
    <row r="30" spans="1:7" ht="15" x14ac:dyDescent="0.2">
      <c r="A30">
        <v>28</v>
      </c>
      <c r="B30" s="1" t="s">
        <v>1597</v>
      </c>
      <c r="C30" t="str">
        <f>_xlfn.LET(_xlpm.x,VLOOKUP($B30,spell_header!$B$2:$G$373,2,FALSE),IF(_xlpm.x="","",_xlpm.x))</f>
        <v>模式覆盖数值</v>
      </c>
      <c r="D30" s="4" t="str">
        <f>IF(VLOOKUP($B30,spell_header!$B$2:$G$373,3,FALSE)="√","√","")</f>
        <v>√</v>
      </c>
      <c r="E30" s="4" t="str">
        <f>IF(VLOOKUP($B30,spell_header!$B$2:$G$373,4,FALSE)="√","√","")</f>
        <v>√</v>
      </c>
      <c r="F30" t="str">
        <f>_xlfn.LET(_xlpm.x,VLOOKUP($B30,spell_header!$B$2:$G$373,5,FALSE),IF(_xlpm.x="","",_xlpm.x))</f>
        <v/>
      </c>
      <c r="G30">
        <v>43</v>
      </c>
    </row>
    <row r="31" spans="1:7" ht="15" x14ac:dyDescent="0.2">
      <c r="A31">
        <v>29</v>
      </c>
      <c r="B31" s="1" t="s">
        <v>1598</v>
      </c>
      <c r="C31" t="str">
        <f>_xlfn.LET(_xlpm.x,VLOOKUP($B31,spell_header!$B$2:$G$373,2,FALSE),IF(_xlpm.x="","",_xlpm.x))</f>
        <v>模式覆盖基础充能时间</v>
      </c>
      <c r="D31" s="4" t="str">
        <f>IF(VLOOKUP($B31,spell_header!$B$2:$G$373,3,FALSE)="√","√","")</f>
        <v>√</v>
      </c>
      <c r="E31" s="4" t="str">
        <f>IF(VLOOKUP($B31,spell_header!$B$2:$G$373,4,FALSE)="√","√","")</f>
        <v>√</v>
      </c>
      <c r="F31" t="str">
        <f>_xlfn.LET(_xlpm.x,VLOOKUP($B31,spell_header!$B$2:$G$373,5,FALSE),IF(_xlpm.x="","",_xlpm.x))</f>
        <v/>
      </c>
      <c r="G31">
        <v>38</v>
      </c>
    </row>
    <row r="32" spans="1:7" ht="15" x14ac:dyDescent="0.2">
      <c r="A32">
        <v>30</v>
      </c>
      <c r="B32" s="1" t="s">
        <v>1599</v>
      </c>
      <c r="C32" t="str">
        <f>_xlfn.LET(_xlpm.x,VLOOKUP($B32,spell_header!$B$2:$G$373,2,FALSE),IF(_xlpm.x="","",_xlpm.x))</f>
        <v>模式覆盖基础冷却时间</v>
      </c>
      <c r="D32" s="4" t="str">
        <f>IF(VLOOKUP($B32,spell_header!$B$2:$G$373,3,FALSE)="√","√","")</f>
        <v>√</v>
      </c>
      <c r="E32" s="4" t="str">
        <f>IF(VLOOKUP($B32,spell_header!$B$2:$G$373,4,FALSE)="√","√","")</f>
        <v>√</v>
      </c>
      <c r="F32" t="str">
        <f>_xlfn.LET(_xlpm.x,VLOOKUP($B32,spell_header!$B$2:$G$373,5,FALSE),IF(_xlpm.x="","",_xlpm.x))</f>
        <v/>
      </c>
      <c r="G32">
        <v>31</v>
      </c>
    </row>
    <row r="33" spans="1:7" ht="15" x14ac:dyDescent="0.2">
      <c r="A33">
        <v>31</v>
      </c>
      <c r="B33" s="1" t="s">
        <v>1600</v>
      </c>
      <c r="C33" t="str">
        <f>_xlfn.LET(_xlpm.x,VLOOKUP($B33,spell_header!$B$2:$G$373,2,FALSE),IF(_xlpm.x="","",_xlpm.x))</f>
        <v>数值计算</v>
      </c>
      <c r="D33" s="4" t="str">
        <f>IF(VLOOKUP($B33,spell_header!$B$2:$G$373,3,FALSE)="√","√","")</f>
        <v>√</v>
      </c>
      <c r="E33" s="4" t="str">
        <f>IF(VLOOKUP($B33,spell_header!$B$2:$G$373,4,FALSE)="√","√","")</f>
        <v>√</v>
      </c>
      <c r="F33" t="str">
        <f>_xlfn.LET(_xlpm.x,VLOOKUP($B33,spell_header!$B$2:$G$373,5,FALSE),IF(_xlpm.x="","",_xlpm.x))</f>
        <v/>
      </c>
      <c r="G33">
        <v>44</v>
      </c>
    </row>
    <row r="34" spans="1:7" ht="15" x14ac:dyDescent="0.2">
      <c r="A34">
        <v>32</v>
      </c>
      <c r="B34" s="1" t="s">
        <v>1601</v>
      </c>
      <c r="C34" t="str">
        <f>_xlfn.LET(_xlpm.x,VLOOKUP($B34,spell_header!$B$2:$G$373,2,FALSE),IF(_xlpm.x="","",_xlpm.x))</f>
        <v>系数1</v>
      </c>
      <c r="D34" s="4" t="str">
        <f>IF(VLOOKUP($B34,spell_header!$B$2:$G$373,3,FALSE)="√","√","")</f>
        <v>√</v>
      </c>
      <c r="E34" s="4" t="str">
        <f>IF(VLOOKUP($B34,spell_header!$B$2:$G$373,4,FALSE)="√","√","")</f>
        <v>√</v>
      </c>
      <c r="F34" t="str">
        <f>_xlfn.LET(_xlpm.x,VLOOKUP($B34,spell_header!$B$2:$G$373,5,FALSE),IF(_xlpm.x="","",_xlpm.x))</f>
        <v/>
      </c>
      <c r="G34">
        <v>46</v>
      </c>
    </row>
    <row r="35" spans="1:7" ht="15" x14ac:dyDescent="0.2">
      <c r="A35">
        <v>33</v>
      </c>
      <c r="B35" s="1" t="s">
        <v>1602</v>
      </c>
      <c r="C35" t="str">
        <f>_xlfn.LET(_xlpm.x,VLOOKUP($B35,spell_header!$B$2:$G$373,2,FALSE),IF(_xlpm.x="","",_xlpm.x))</f>
        <v>系数2</v>
      </c>
      <c r="D35" s="4" t="str">
        <f>IF(VLOOKUP($B35,spell_header!$B$2:$G$373,3,FALSE)="√","√","")</f>
        <v>√</v>
      </c>
      <c r="E35" s="4" t="str">
        <f>IF(VLOOKUP($B35,spell_header!$B$2:$G$373,4,FALSE)="√","√","")</f>
        <v>√</v>
      </c>
      <c r="F35" t="str">
        <f>_xlfn.LET(_xlpm.x,VLOOKUP($B35,spell_header!$B$2:$G$373,5,FALSE),IF(_xlpm.x="","",_xlpm.x))</f>
        <v/>
      </c>
      <c r="G35">
        <v>47</v>
      </c>
    </row>
    <row r="36" spans="1:7" ht="15" x14ac:dyDescent="0.2">
      <c r="A36">
        <v>34</v>
      </c>
      <c r="B36" s="1" t="s">
        <v>1603</v>
      </c>
      <c r="C36" t="str">
        <f>_xlfn.LET(_xlpm.x,VLOOKUP($B36,spell_header!$B$2:$G$373,2,FALSE),IF(_xlpm.x="","",_xlpm.x))</f>
        <v>动画名称</v>
      </c>
      <c r="D36" s="4" t="str">
        <f>IF(VLOOKUP($B36,spell_header!$B$2:$G$373,3,FALSE)="√","√","")</f>
        <v>√</v>
      </c>
      <c r="E36" s="4" t="str">
        <f>IF(VLOOKUP($B36,spell_header!$B$2:$G$373,4,FALSE)="√","√","")</f>
        <v>√</v>
      </c>
      <c r="F36" t="str">
        <f>_xlfn.LET(_xlpm.x,VLOOKUP($B36,spell_header!$B$2:$G$373,5,FALSE),IF(_xlpm.x="","",_xlpm.x))</f>
        <v/>
      </c>
      <c r="G36">
        <v>139</v>
      </c>
    </row>
    <row r="37" spans="1:7" ht="15" x14ac:dyDescent="0.2">
      <c r="A37">
        <v>35</v>
      </c>
      <c r="B37" s="1" t="s">
        <v>1604</v>
      </c>
      <c r="C37" t="str">
        <f>_xlfn.LET(_xlpm.x,VLOOKUP($B37,spell_header!$B$2:$G$373,2,FALSE),IF(_xlpm.x="","",_xlpm.x))</f>
        <v>动画循环名称</v>
      </c>
      <c r="D37" s="4" t="str">
        <f>IF(VLOOKUP($B37,spell_header!$B$2:$G$373,3,FALSE)="√","√","")</f>
        <v>√</v>
      </c>
      <c r="E37" s="4" t="str">
        <f>IF(VLOOKUP($B37,spell_header!$B$2:$G$373,4,FALSE)="√","√","")</f>
        <v>√</v>
      </c>
      <c r="F37" t="str">
        <f>_xlfn.LET(_xlpm.x,VLOOKUP($B37,spell_header!$B$2:$G$373,5,FALSE),IF(_xlpm.x="","",_xlpm.x))</f>
        <v/>
      </c>
      <c r="G37">
        <v>140</v>
      </c>
    </row>
    <row r="38" spans="1:7" ht="15" x14ac:dyDescent="0.2">
      <c r="A38">
        <v>36</v>
      </c>
      <c r="B38" s="1" t="s">
        <v>1605</v>
      </c>
      <c r="C38" t="str">
        <f>_xlfn.LET(_xlpm.x,VLOOKUP($B38,spell_header!$B$2:$G$373,2,FALSE),IF(_xlpm.x="","",_xlpm.x))</f>
        <v>淡出动画名称</v>
      </c>
      <c r="D38" s="4" t="str">
        <f>IF(VLOOKUP($B38,spell_header!$B$2:$G$373,3,FALSE)="√","√","")</f>
        <v>√</v>
      </c>
      <c r="E38" s="4" t="str">
        <f>IF(VLOOKUP($B38,spell_header!$B$2:$G$373,4,FALSE)="√","√","")</f>
        <v>√</v>
      </c>
      <c r="F38" t="str">
        <f>_xlfn.LET(_xlpm.x,VLOOKUP($B38,spell_header!$B$2:$G$373,5,FALSE),IF(_xlpm.x="","",_xlpm.x))</f>
        <v/>
      </c>
      <c r="G38">
        <v>141</v>
      </c>
    </row>
    <row r="39" spans="1:7" ht="15" x14ac:dyDescent="0.2">
      <c r="A39">
        <v>37</v>
      </c>
      <c r="B39" s="1" t="s">
        <v>3754</v>
      </c>
      <c r="C39" t="str">
        <f>_xlfn.LET(_xlpm.x,VLOOKUP($B39,spell_header!$B$2:$G$373,2,FALSE),IF(_xlpm.x="","",_xlpm.x))</f>
        <v>收尾动画名称</v>
      </c>
      <c r="D39" s="4" t="str">
        <f>IF(VLOOKUP($B39,spell_header!$B$2:$G$373,3,FALSE)="√","√","")</f>
        <v>√</v>
      </c>
      <c r="E39" s="4" t="str">
        <f>IF(VLOOKUP($B39,spell_header!$B$2:$G$373,4,FALSE)="√","√","")</f>
        <v>√</v>
      </c>
      <c r="F39" t="str">
        <f>_xlfn.LET(_xlpm.x,VLOOKUP($B39,spell_header!$B$2:$G$373,5,FALSE),IF(_xlpm.x="","",_xlpm.x))</f>
        <v/>
      </c>
      <c r="G39">
        <v>142</v>
      </c>
    </row>
    <row r="40" spans="1:7" ht="15" x14ac:dyDescent="0.2">
      <c r="A40">
        <v>38</v>
      </c>
      <c r="B40" s="1" t="s">
        <v>1606</v>
      </c>
      <c r="C40" t="str">
        <f>_xlfn.LET(_xlpm.x,VLOOKUP($B40,spell_header!$B$2:$G$373,2,FALSE),IF(_xlpm.x="","",_xlpm.x))</f>
        <v>缩略图路径列表</v>
      </c>
      <c r="D40" s="4" t="str">
        <f>IF(VLOOKUP($B40,spell_header!$B$2:$G$373,3,FALSE)="√","√","")</f>
        <v>√</v>
      </c>
      <c r="E40" s="4" t="str">
        <f>IF(VLOOKUP($B40,spell_header!$B$2:$G$373,4,FALSE)="√","√","")</f>
        <v>√</v>
      </c>
      <c r="F40" t="str">
        <f>_xlfn.LET(_xlpm.x,VLOOKUP($B40,spell_header!$B$2:$G$373,5,FALSE),IF(_xlpm.x="","",_xlpm.x))</f>
        <v/>
      </c>
      <c r="G40">
        <v>251</v>
      </c>
    </row>
    <row r="41" spans="1:7" ht="15" x14ac:dyDescent="0.2">
      <c r="A41">
        <v>39</v>
      </c>
      <c r="B41" s="1" t="s">
        <v>1607</v>
      </c>
      <c r="C41" t="str">
        <f>_xlfn.LET(_xlpm.x,VLOOKUP($B41,spell_header!$B$2:$G$373,2,FALSE),IF(_xlpm.x="","",_xlpm.x))</f>
        <v>获得技能时的关键字</v>
      </c>
      <c r="D41" s="4" t="str">
        <f>IF(VLOOKUP($B41,spell_header!$B$2:$G$373,3,FALSE)="√","√","")</f>
        <v>√</v>
      </c>
      <c r="E41" s="4" t="str">
        <f>IF(VLOOKUP($B41,spell_header!$B$2:$G$373,4,FALSE)="√","√","")</f>
        <v>√</v>
      </c>
      <c r="F41" t="str">
        <f>_xlfn.LET(_xlpm.x,VLOOKUP($B41,spell_header!$B$2:$G$373,5,FALSE),IF(_xlpm.x="","",_xlpm.x))</f>
        <v/>
      </c>
      <c r="G41">
        <v>86</v>
      </c>
    </row>
    <row r="42" spans="1:7" ht="15" x14ac:dyDescent="0.2">
      <c r="A42">
        <v>40</v>
      </c>
      <c r="B42" s="1" t="s">
        <v>1608</v>
      </c>
      <c r="C42" t="str">
        <f>_xlfn.LET(_xlpm.x,VLOOKUP($B42,spell_header!$B$2:$G$373,2,FALSE),IF(_xlpm.x="","",_xlpm.x))</f>
        <v>被动技能冷却时间受技能急速影响</v>
      </c>
      <c r="D42" s="4" t="str">
        <f>IF(VLOOKUP($B42,spell_header!$B$2:$G$373,3,FALSE)="√","√","")</f>
        <v>√</v>
      </c>
      <c r="E42" s="4" t="str">
        <f>IF(VLOOKUP($B42,spell_header!$B$2:$G$373,4,FALSE)="√","√","")</f>
        <v>√</v>
      </c>
      <c r="F42" t="b">
        <f>_xlfn.LET(_xlpm.x,VLOOKUP($B42,spell_header!$B$2:$G$373,5,FALSE),IF(_xlpm.x="","",_xlpm.x))</f>
        <v>0</v>
      </c>
      <c r="G42">
        <v>32</v>
      </c>
    </row>
    <row r="43" spans="1:7" ht="15" x14ac:dyDescent="0.2">
      <c r="A43">
        <v>41</v>
      </c>
      <c r="B43" s="1" t="s">
        <v>1609</v>
      </c>
      <c r="C43" t="str">
        <f>_xlfn.LET(_xlpm.x,VLOOKUP($B43,spell_header!$B$2:$G$373,2,FALSE),IF(_xlpm.x="","",_xlpm.x))</f>
        <v>缩略图路径</v>
      </c>
      <c r="D43" s="4" t="str">
        <f>IF(VLOOKUP($B43,spell_header!$B$2:$G$373,3,FALSE)="√","√","")</f>
        <v>√</v>
      </c>
      <c r="E43" s="4" t="str">
        <f>IF(VLOOKUP($B43,spell_header!$B$2:$G$373,4,FALSE)="√","√","")</f>
        <v>√</v>
      </c>
      <c r="F43" t="str">
        <f>_xlfn.LET(_xlpm.x,VLOOKUP($B43,spell_header!$B$2:$G$373,5,FALSE),IF(_xlpm.x="","",_xlpm.x))</f>
        <v/>
      </c>
      <c r="G43">
        <v>250</v>
      </c>
    </row>
    <row r="44" spans="1:7" ht="15" x14ac:dyDescent="0.2">
      <c r="A44">
        <v>42</v>
      </c>
      <c r="B44" s="1" t="s">
        <v>1610</v>
      </c>
      <c r="C44" t="str">
        <f>_xlfn.LET(_xlpm.x,VLOOKUP($B44,spell_header!$B$2:$G$373,2,FALSE),IF(_xlpm.x="","",_xlpm.x))</f>
        <v>小地图缩略图路径</v>
      </c>
      <c r="D44" s="4" t="str">
        <f>IF(VLOOKUP($B44,spell_header!$B$2:$G$373,3,FALSE)="√","√","")</f>
        <v>√</v>
      </c>
      <c r="E44" s="4" t="str">
        <f>IF(VLOOKUP($B44,spell_header!$B$2:$G$373,4,FALSE)="√","√","")</f>
        <v>√</v>
      </c>
      <c r="F44" t="str">
        <f>_xlfn.LET(_xlpm.x,VLOOKUP($B44,spell_header!$B$2:$G$373,5,FALSE),IF(_xlpm.x="","",_xlpm.x))</f>
        <v/>
      </c>
      <c r="G44">
        <v>252</v>
      </c>
    </row>
    <row r="45" spans="1:7" ht="15" x14ac:dyDescent="0.2">
      <c r="A45">
        <v>43</v>
      </c>
      <c r="B45" s="1" t="s">
        <v>1611</v>
      </c>
      <c r="C45" t="str">
        <f>_xlfn.LET(_xlpm.x,VLOOKUP($B45,spell_header!$B$2:$G$373,2,FALSE),IF(_xlpm.x="","",_xlpm.x))</f>
        <v>施法时间</v>
      </c>
      <c r="D45" s="4" t="str">
        <f>IF(VLOOKUP($B45,spell_header!$B$2:$G$373,3,FALSE)="√","√","")</f>
        <v>√</v>
      </c>
      <c r="E45" s="4" t="str">
        <f>IF(VLOOKUP($B45,spell_header!$B$2:$G$373,4,FALSE)="√","√","")</f>
        <v>√</v>
      </c>
      <c r="F45" t="str">
        <f>_xlfn.LET(_xlpm.x,VLOOKUP($B45,spell_header!$B$2:$G$373,5,FALSE),IF(_xlpm.x="","",_xlpm.x))</f>
        <v/>
      </c>
      <c r="G45">
        <v>60</v>
      </c>
    </row>
    <row r="46" spans="1:7" ht="15" x14ac:dyDescent="0.2">
      <c r="A46">
        <v>44</v>
      </c>
      <c r="B46" s="1" t="s">
        <v>3725</v>
      </c>
      <c r="C46" t="str">
        <f>_xlfn.LET(_xlpm.x,VLOOKUP($B46,spell_header!$B$2:$G$373,2,FALSE),IF(_xlpm.x="","",_xlpm.x))</f>
        <v/>
      </c>
      <c r="D46" s="4" t="str">
        <f>IF(VLOOKUP($B46,spell_header!$B$2:$G$373,3,FALSE)="√","√","")</f>
        <v>√</v>
      </c>
      <c r="E46" s="4" t="str">
        <f>IF(VLOOKUP($B46,spell_header!$B$2:$G$373,4,FALSE)="√","√","")</f>
        <v/>
      </c>
      <c r="F46" t="str">
        <f>_xlfn.LET(_xlpm.x,VLOOKUP($B46,spell_header!$B$2:$G$373,5,FALSE),IF(_xlpm.x="","",_xlpm.x))</f>
        <v/>
      </c>
      <c r="G46">
        <v>91</v>
      </c>
    </row>
    <row r="47" spans="1:7" ht="15" x14ac:dyDescent="0.2">
      <c r="A47">
        <v>45</v>
      </c>
      <c r="B47" s="1" t="s">
        <v>3726</v>
      </c>
      <c r="C47" t="str">
        <f>_xlfn.LET(_xlpm.x,VLOOKUP($B47,spell_header!$B$2:$G$373,2,FALSE),IF(_xlpm.x="","",_xlpm.x))</f>
        <v/>
      </c>
      <c r="D47" s="4" t="str">
        <f>IF(VLOOKUP($B47,spell_header!$B$2:$G$373,3,FALSE)="√","√","")</f>
        <v>√</v>
      </c>
      <c r="E47" s="4" t="str">
        <f>IF(VLOOKUP($B47,spell_header!$B$2:$G$373,4,FALSE)="√","√","")</f>
        <v/>
      </c>
      <c r="F47" t="str">
        <f>_xlfn.LET(_xlpm.x,VLOOKUP($B47,spell_header!$B$2:$G$373,5,FALSE),IF(_xlpm.x="","",_xlpm.x))</f>
        <v/>
      </c>
      <c r="G47">
        <v>92</v>
      </c>
    </row>
    <row r="48" spans="1:7" ht="15" x14ac:dyDescent="0.2">
      <c r="A48">
        <v>46</v>
      </c>
      <c r="B48" s="1" t="s">
        <v>1612</v>
      </c>
      <c r="C48" t="str">
        <f>_xlfn.LET(_xlpm.x,VLOOKUP($B48,spell_header!$B$2:$G$373,2,FALSE),IF(_xlpm.x="","",_xlpm.x))</f>
        <v>引导持续时间</v>
      </c>
      <c r="D48" s="4" t="str">
        <f>IF(VLOOKUP($B48,spell_header!$B$2:$G$373,3,FALSE)="√","√","")</f>
        <v>√</v>
      </c>
      <c r="E48" s="4" t="str">
        <f>IF(VLOOKUP($B48,spell_header!$B$2:$G$373,4,FALSE)="√","√","")</f>
        <v>√</v>
      </c>
      <c r="F48" t="str">
        <f>_xlfn.LET(_xlpm.x,VLOOKUP($B48,spell_header!$B$2:$G$373,5,FALSE),IF(_xlpm.x="","",_xlpm.x))</f>
        <v/>
      </c>
      <c r="G48">
        <v>61</v>
      </c>
    </row>
    <row r="49" spans="1:7" ht="15" x14ac:dyDescent="0.2">
      <c r="A49">
        <v>47</v>
      </c>
      <c r="B49" s="1" t="s">
        <v>1613</v>
      </c>
      <c r="C49" t="str">
        <f>_xlfn.LET(_xlpm.x,VLOOKUP($B49,spell_header!$B$2:$G$373,2,FALSE),IF(_xlpm.x="","",_xlpm.x))</f>
        <v>基础冷却时间</v>
      </c>
      <c r="D49" s="4" t="str">
        <f>IF(VLOOKUP($B49,spell_header!$B$2:$G$373,3,FALSE)="√","√","")</f>
        <v>√</v>
      </c>
      <c r="E49" s="4" t="str">
        <f>IF(VLOOKUP($B49,spell_header!$B$2:$G$373,4,FALSE)="√","√","")</f>
        <v>√</v>
      </c>
      <c r="F49" t="str">
        <f>_xlfn.LET(_xlpm.x,VLOOKUP($B49,spell_header!$B$2:$G$373,5,FALSE),IF(_xlpm.x="","",_xlpm.x))</f>
        <v/>
      </c>
      <c r="G49">
        <v>28</v>
      </c>
    </row>
    <row r="50" spans="1:7" ht="15" x14ac:dyDescent="0.2">
      <c r="A50">
        <v>48</v>
      </c>
      <c r="B50" s="1" t="s">
        <v>3756</v>
      </c>
      <c r="C50" t="str">
        <f>_xlfn.LET(_xlpm.x,VLOOKUP($B50,spell_header!$B$2:$G$373,2,FALSE),IF(_xlpm.x="","",_xlpm.x))</f>
        <v>基础冷却时间值</v>
      </c>
      <c r="D50" s="4" t="str">
        <f>IF(VLOOKUP($B50,spell_header!$B$2:$G$373,3,FALSE)="√","√","")</f>
        <v>√</v>
      </c>
      <c r="E50" s="4" t="str">
        <f>IF(VLOOKUP($B50,spell_header!$B$2:$G$373,4,FALSE)="√","√","")</f>
        <v/>
      </c>
      <c r="F50" t="str">
        <f>_xlfn.LET(_xlpm.x,VLOOKUP($B50,spell_header!$B$2:$G$373,5,FALSE),IF(_xlpm.x="","",_xlpm.x))</f>
        <v/>
      </c>
      <c r="G50">
        <v>29</v>
      </c>
    </row>
    <row r="51" spans="1:7" ht="15" x14ac:dyDescent="0.2">
      <c r="A51">
        <v>49</v>
      </c>
      <c r="B51" s="1" t="s">
        <v>3757</v>
      </c>
      <c r="C51" t="str">
        <f>_xlfn.LET(_xlpm.x,VLOOKUP($B51,spell_header!$B$2:$G$373,2,FALSE),IF(_xlpm.x="","",_xlpm.x))</f>
        <v>基础冷却时间值简化表示</v>
      </c>
      <c r="D51" s="4" t="str">
        <f>IF(VLOOKUP($B51,spell_header!$B$2:$G$373,3,FALSE)="√","√","")</f>
        <v>√</v>
      </c>
      <c r="E51" s="4" t="str">
        <f>IF(VLOOKUP($B51,spell_header!$B$2:$G$373,4,FALSE)="√","√","")</f>
        <v>√</v>
      </c>
      <c r="F51" t="str">
        <f>_xlfn.LET(_xlpm.x,VLOOKUP($B51,spell_header!$B$2:$G$373,5,FALSE),IF(_xlpm.x="","",_xlpm.x))</f>
        <v/>
      </c>
      <c r="G51">
        <v>30</v>
      </c>
    </row>
    <row r="52" spans="1:7" ht="15" x14ac:dyDescent="0.2">
      <c r="A52">
        <v>50</v>
      </c>
      <c r="B52" s="1" t="s">
        <v>1614</v>
      </c>
      <c r="C52" t="str">
        <f>_xlfn.LET(_xlpm.x,VLOOKUP($B52,spell_header!$B$2:$G$373,2,FALSE),IF(_xlpm.x="","",_xlpm.x))</f>
        <v>施法偏移百分比</v>
      </c>
      <c r="D52" s="4" t="str">
        <f>IF(VLOOKUP($B52,spell_header!$B$2:$G$373,3,FALSE)="√","√","")</f>
        <v>√</v>
      </c>
      <c r="E52" s="4" t="str">
        <f>IF(VLOOKUP($B52,spell_header!$B$2:$G$373,4,FALSE)="√","√","")</f>
        <v>√</v>
      </c>
      <c r="F52" t="str">
        <f>_xlfn.LET(_xlpm.x,VLOOKUP($B52,spell_header!$B$2:$G$373,5,FALSE),IF(_xlpm.x="","",_xlpm.x))</f>
        <v/>
      </c>
      <c r="G52">
        <v>68</v>
      </c>
    </row>
    <row r="53" spans="1:7" ht="15" x14ac:dyDescent="0.2">
      <c r="A53">
        <v>51</v>
      </c>
      <c r="B53" s="1" t="s">
        <v>1615</v>
      </c>
      <c r="C53" t="str">
        <f>_xlfn.LET(_xlpm.x,VLOOKUP($B53,spell_header!$B$2:$G$373,2,FALSE),IF(_xlpm.x="","",_xlpm.x))</f>
        <v>施法总时间百分比</v>
      </c>
      <c r="D53" s="4" t="str">
        <f>IF(VLOOKUP($B53,spell_header!$B$2:$G$373,3,FALSE)="√","√","")</f>
        <v>√</v>
      </c>
      <c r="E53" s="4" t="str">
        <f>IF(VLOOKUP($B53,spell_header!$B$2:$G$373,4,FALSE)="√","√","")</f>
        <v>√</v>
      </c>
      <c r="F53" t="str">
        <f>_xlfn.LET(_xlpm.x,VLOOKUP($B53,spell_header!$B$2:$G$373,5,FALSE),IF(_xlpm.x="","",_xlpm.x))</f>
        <v/>
      </c>
      <c r="G53">
        <v>69</v>
      </c>
    </row>
    <row r="54" spans="1:7" ht="15" x14ac:dyDescent="0.2">
      <c r="A54">
        <v>52</v>
      </c>
      <c r="B54" s="1" t="s">
        <v>1616</v>
      </c>
      <c r="C54" t="str">
        <f>_xlfn.LET(_xlpm.x,VLOOKUP($B54,spell_header!$B$2:$G$373,2,FALSE),IF(_xlpm.x="","",_xlpm.x))</f>
        <v>冷却计时时间点</v>
      </c>
      <c r="D54" s="4" t="str">
        <f>IF(VLOOKUP($B54,spell_header!$B$2:$G$373,3,FALSE)="√","√","")</f>
        <v>√</v>
      </c>
      <c r="E54" s="4" t="str">
        <f>IF(VLOOKUP($B54,spell_header!$B$2:$G$373,4,FALSE)="√","√","")</f>
        <v>√</v>
      </c>
      <c r="F54" t="str">
        <f>_xlfn.LET(_xlpm.x,VLOOKUP($B54,spell_header!$B$2:$G$373,5,FALSE),IF(_xlpm.x="","",_xlpm.x))</f>
        <v/>
      </c>
      <c r="G54">
        <v>34</v>
      </c>
    </row>
    <row r="55" spans="1:7" ht="15" x14ac:dyDescent="0.2">
      <c r="A55">
        <v>53</v>
      </c>
      <c r="B55" s="1" t="s">
        <v>1617</v>
      </c>
      <c r="C55" t="str">
        <f>_xlfn.LET(_xlpm.x,VLOOKUP($B55,spell_header!$B$2:$G$373,2,FALSE),IF(_xlpm.x="","",_xlpm.x))</f>
        <v>施法锁定延迟</v>
      </c>
      <c r="D55" s="4" t="str">
        <f>IF(VLOOKUP($B55,spell_header!$B$2:$G$373,3,FALSE)="√","√","")</f>
        <v>√</v>
      </c>
      <c r="E55" s="4" t="str">
        <f>IF(VLOOKUP($B55,spell_header!$B$2:$G$373,4,FALSE)="√","√","")</f>
        <v>√</v>
      </c>
      <c r="F55" t="b">
        <f>_xlfn.LET(_xlpm.x,VLOOKUP($B55,spell_header!$B$2:$G$373,5,FALSE),IF(_xlpm.x="","",_xlpm.x))</f>
        <v>0</v>
      </c>
      <c r="G55">
        <v>74</v>
      </c>
    </row>
    <row r="56" spans="1:7" ht="15" x14ac:dyDescent="0.2">
      <c r="A56">
        <v>54</v>
      </c>
      <c r="B56" s="1" t="s">
        <v>1618</v>
      </c>
      <c r="C56" t="str">
        <f>_xlfn.LET(_xlpm.x,VLOOKUP($B56,spell_header!$B$2:$G$373,2,FALSE),IF(_xlpm.x="","",_xlpm.x))</f>
        <v>施法前锁定状态时间</v>
      </c>
      <c r="D56" s="4" t="str">
        <f>IF(VLOOKUP($B56,spell_header!$B$2:$G$373,3,FALSE)="√","√","")</f>
        <v>√</v>
      </c>
      <c r="E56" s="4" t="str">
        <f>IF(VLOOKUP($B56,spell_header!$B$2:$G$373,4,FALSE)="√","√","")</f>
        <v>√</v>
      </c>
      <c r="F56" t="str">
        <f>_xlfn.LET(_xlpm.x,VLOOKUP($B56,spell_header!$B$2:$G$373,5,FALSE),IF(_xlpm.x="","",_xlpm.x))</f>
        <v/>
      </c>
      <c r="G56">
        <v>70</v>
      </c>
    </row>
    <row r="57" spans="1:7" ht="15" x14ac:dyDescent="0.2">
      <c r="A57">
        <v>55</v>
      </c>
      <c r="B57" s="1" t="s">
        <v>1765</v>
      </c>
      <c r="C57" t="str">
        <f>_xlfn.LET(_xlpm.x,VLOOKUP($B57,spell_header!$B$2:$G$373,2,FALSE),IF(_xlpm.x="","",_xlpm.x))</f>
        <v>施法前锁定状态时间计算</v>
      </c>
      <c r="D57" s="4" t="str">
        <f>IF(VLOOKUP($B57,spell_header!$B$2:$G$373,3,FALSE)="√","√","")</f>
        <v>√</v>
      </c>
      <c r="E57" s="4" t="str">
        <f>IF(VLOOKUP($B57,spell_header!$B$2:$G$373,4,FALSE)="√","√","")</f>
        <v/>
      </c>
      <c r="F57" t="str">
        <f>_xlfn.LET(_xlpm.x,VLOOKUP($B57,spell_header!$B$2:$G$373,5,FALSE),IF(_xlpm.x="","",_xlpm.x))</f>
        <v/>
      </c>
      <c r="G57">
        <v>71</v>
      </c>
    </row>
    <row r="58" spans="1:7" ht="15" x14ac:dyDescent="0.2">
      <c r="A58">
        <v>56</v>
      </c>
      <c r="B58" s="1" t="s">
        <v>1619</v>
      </c>
      <c r="C58" t="str">
        <f>_xlfn.LET(_xlpm.x,VLOOKUP($B58,spell_header!$B$2:$G$373,2,FALSE),IF(_xlpm.x="","",_xlpm.x))</f>
        <v>施法后锁定状态时间</v>
      </c>
      <c r="D58" s="4" t="str">
        <f>IF(VLOOKUP($B58,spell_header!$B$2:$G$373,3,FALSE)="√","√","")</f>
        <v>√</v>
      </c>
      <c r="E58" s="4" t="str">
        <f>IF(VLOOKUP($B58,spell_header!$B$2:$G$373,4,FALSE)="√","√","")</f>
        <v>√</v>
      </c>
      <c r="F58" t="str">
        <f>_xlfn.LET(_xlpm.x,VLOOKUP($B58,spell_header!$B$2:$G$373,5,FALSE),IF(_xlpm.x="","",_xlpm.x))</f>
        <v/>
      </c>
      <c r="G58">
        <v>72</v>
      </c>
    </row>
    <row r="59" spans="1:7" ht="15" x14ac:dyDescent="0.2">
      <c r="A59">
        <v>57</v>
      </c>
      <c r="B59" s="1" t="s">
        <v>1620</v>
      </c>
      <c r="C59" t="str">
        <f>_xlfn.LET(_xlpm.x,VLOOKUP($B59,spell_header!$B$2:$G$373,2,FALSE),IF(_xlpm.x="","",_xlpm.x))</f>
        <v>施法后更新施法者位置参数</v>
      </c>
      <c r="D59" s="4" t="str">
        <f>IF(VLOOKUP($B59,spell_header!$B$2:$G$373,3,FALSE)="√","√","")</f>
        <v>√</v>
      </c>
      <c r="E59" s="4" t="str">
        <f>IF(VLOOKUP($B59,spell_header!$B$2:$G$373,4,FALSE)="√","√","")</f>
        <v>√</v>
      </c>
      <c r="F59" t="str">
        <f>_xlfn.LET(_xlpm.x,VLOOKUP($B59,spell_header!$B$2:$G$373,5,FALSE),IF(_xlpm.x="","",_xlpm.x))</f>
        <v/>
      </c>
      <c r="G59">
        <v>73</v>
      </c>
    </row>
    <row r="60" spans="1:7" ht="15" x14ac:dyDescent="0.2">
      <c r="A60">
        <v>58</v>
      </c>
      <c r="B60" s="1" t="s">
        <v>1621</v>
      </c>
      <c r="C60" t="str">
        <f>_xlfn.LET(_xlpm.x,VLOOKUP($B60,spell_header!$B$2:$G$373,2,FALSE),IF(_xlpm.x="","",_xlpm.x))</f>
        <v>被动技能增益</v>
      </c>
      <c r="D60" s="4" t="str">
        <f>IF(VLOOKUP($B60,spell_header!$B$2:$G$373,3,FALSE)="√","√","")</f>
        <v>√</v>
      </c>
      <c r="E60" s="4" t="str">
        <f>IF(VLOOKUP($B60,spell_header!$B$2:$G$373,4,FALSE)="√","√","")</f>
        <v>√</v>
      </c>
      <c r="F60" t="str">
        <f>_xlfn.LET(_xlpm.x,VLOOKUP($B60,spell_header!$B$2:$G$373,5,FALSE),IF(_xlpm.x="","",_xlpm.x))</f>
        <v/>
      </c>
      <c r="G60">
        <v>87</v>
      </c>
    </row>
    <row r="61" spans="1:7" ht="15" x14ac:dyDescent="0.2">
      <c r="A61">
        <v>59</v>
      </c>
      <c r="B61" s="1" t="s">
        <v>1622</v>
      </c>
      <c r="C61" t="str">
        <f>_xlfn.LET(_xlpm.x,VLOOKUP($B61,spell_header!$B$2:$G$373,2,FALSE),IF(_xlpm.x="","",_xlpm.x))</f>
        <v>充能数更新间隔（秒）</v>
      </c>
      <c r="D61" s="4" t="str">
        <f>IF(VLOOKUP($B61,spell_header!$B$2:$G$373,3,FALSE)="√","√","")</f>
        <v>√</v>
      </c>
      <c r="E61" s="4" t="str">
        <f>IF(VLOOKUP($B61,spell_header!$B$2:$G$373,4,FALSE)="√","√","")</f>
        <v>√</v>
      </c>
      <c r="F61" t="str">
        <f>_xlfn.LET(_xlpm.x,VLOOKUP($B61,spell_header!$B$2:$G$373,5,FALSE),IF(_xlpm.x="","",_xlpm.x))</f>
        <v/>
      </c>
      <c r="G61">
        <v>81</v>
      </c>
    </row>
    <row r="62" spans="1:7" ht="15" x14ac:dyDescent="0.2">
      <c r="A62">
        <v>60</v>
      </c>
      <c r="B62" s="1" t="s">
        <v>1623</v>
      </c>
      <c r="C62" t="str">
        <f>_xlfn.LET(_xlpm.x,VLOOKUP($B62,spell_header!$B$2:$G$373,2,FALSE),IF(_xlpm.x="","",_xlpm.x))</f>
        <v>取消冲锋的再次施法冻结时间（秒）</v>
      </c>
      <c r="D62" s="4" t="str">
        <f>IF(VLOOKUP($B62,spell_header!$B$2:$G$373,3,FALSE)="√","√","")</f>
        <v>√</v>
      </c>
      <c r="E62" s="4" t="str">
        <f>IF(VLOOKUP($B62,spell_header!$B$2:$G$373,4,FALSE)="√","√","")</f>
        <v>√</v>
      </c>
      <c r="F62" t="str">
        <f>_xlfn.LET(_xlpm.x,VLOOKUP($B62,spell_header!$B$2:$G$373,5,FALSE),IF(_xlpm.x="","",_xlpm.x))</f>
        <v/>
      </c>
      <c r="G62">
        <v>88</v>
      </c>
    </row>
    <row r="63" spans="1:7" ht="15" x14ac:dyDescent="0.2">
      <c r="A63">
        <v>61</v>
      </c>
      <c r="B63" s="1" t="s">
        <v>1624</v>
      </c>
      <c r="C63" t="str">
        <f>_xlfn.LET(_xlpm.x,VLOOKUP($B63,spell_header!$B$2:$G$373,2,FALSE),IF(_xlpm.x="","",_xlpm.x))</f>
        <v>施法范围成长最大值</v>
      </c>
      <c r="D63" s="4" t="str">
        <f>IF(VLOOKUP($B63,spell_header!$B$2:$G$373,3,FALSE)="√","√","")</f>
        <v>√</v>
      </c>
      <c r="E63" s="4" t="str">
        <f>IF(VLOOKUP($B63,spell_header!$B$2:$G$373,4,FALSE)="√","√","")</f>
        <v>√</v>
      </c>
      <c r="F63" t="str">
        <f>_xlfn.LET(_xlpm.x,VLOOKUP($B63,spell_header!$B$2:$G$373,5,FALSE),IF(_xlpm.x="","",_xlpm.x))</f>
        <v/>
      </c>
      <c r="G63">
        <v>54</v>
      </c>
    </row>
    <row r="64" spans="1:7" ht="15" x14ac:dyDescent="0.2">
      <c r="A64">
        <v>62</v>
      </c>
      <c r="B64" s="1" t="s">
        <v>1625</v>
      </c>
      <c r="C64" t="str">
        <f>_xlfn.LET(_xlpm.x,VLOOKUP($B64,spell_header!$B$2:$G$373,2,FALSE),IF(_xlpm.x="","",_xlpm.x))</f>
        <v>施法范围成长开始时间</v>
      </c>
      <c r="D64" s="4" t="str">
        <f>IF(VLOOKUP($B64,spell_header!$B$2:$G$373,3,FALSE)="√","√","")</f>
        <v>√</v>
      </c>
      <c r="E64" s="4" t="str">
        <f>IF(VLOOKUP($B64,spell_header!$B$2:$G$373,4,FALSE)="√","√","")</f>
        <v>√</v>
      </c>
      <c r="F64" t="str">
        <f>_xlfn.LET(_xlpm.x,VLOOKUP($B64,spell_header!$B$2:$G$373,5,FALSE),IF(_xlpm.x="","",_xlpm.x))</f>
        <v/>
      </c>
      <c r="G64">
        <v>55</v>
      </c>
    </row>
    <row r="65" spans="1:7" ht="15" x14ac:dyDescent="0.2">
      <c r="A65">
        <v>63</v>
      </c>
      <c r="B65" s="1" t="s">
        <v>1626</v>
      </c>
      <c r="C65" t="str">
        <f>_xlfn.LET(_xlpm.x,VLOOKUP($B65,spell_header!$B$2:$G$373,2,FALSE),IF(_xlpm.x="","",_xlpm.x))</f>
        <v>施法范围成长持续时间</v>
      </c>
      <c r="D65" s="4" t="str">
        <f>IF(VLOOKUP($B65,spell_header!$B$2:$G$373,3,FALSE)="√","√","")</f>
        <v>√</v>
      </c>
      <c r="E65" s="4" t="str">
        <f>IF(VLOOKUP($B65,spell_header!$B$2:$G$373,4,FALSE)="√","√","")</f>
        <v>√</v>
      </c>
      <c r="F65" t="str">
        <f>_xlfn.LET(_xlpm.x,VLOOKUP($B65,spell_header!$B$2:$G$373,5,FALSE),IF(_xlpm.x="","",_xlpm.x))</f>
        <v/>
      </c>
      <c r="G65">
        <v>56</v>
      </c>
    </row>
    <row r="66" spans="1:7" ht="15" x14ac:dyDescent="0.2">
      <c r="A66">
        <v>64</v>
      </c>
      <c r="B66" s="1" t="s">
        <v>1627</v>
      </c>
      <c r="C66" t="str">
        <f>_xlfn.LET(_xlpm.x,VLOOKUP($B66,spell_header!$B$2:$G$373,2,FALSE),IF(_xlpm.x="","",_xlpm.x))</f>
        <v/>
      </c>
      <c r="D66" s="4" t="str">
        <f>IF(VLOOKUP($B66,spell_header!$B$2:$G$373,3,FALSE)="√","√","")</f>
        <v>√</v>
      </c>
      <c r="E66" s="4" t="str">
        <f>IF(VLOOKUP($B66,spell_header!$B$2:$G$373,4,FALSE)="√","√","")</f>
        <v>√</v>
      </c>
      <c r="F66" t="str">
        <f>_xlfn.LET(_xlpm.x,VLOOKUP($B66,spell_header!$B$2:$G$373,5,FALSE),IF(_xlpm.x="","",_xlpm.x))</f>
        <v/>
      </c>
      <c r="G66">
        <v>89</v>
      </c>
    </row>
    <row r="67" spans="1:7" ht="15" x14ac:dyDescent="0.2">
      <c r="A67">
        <v>65</v>
      </c>
      <c r="B67" s="1" t="s">
        <v>1628</v>
      </c>
      <c r="C67" t="str">
        <f>_xlfn.LET(_xlpm.x,VLOOKUP($B67,spell_header!$B$2:$G$373,2,FALSE),IF(_xlpm.x="","",_xlpm.x))</f>
        <v/>
      </c>
      <c r="D67" s="4" t="str">
        <f>IF(VLOOKUP($B67,spell_header!$B$2:$G$373,3,FALSE)="√","√","")</f>
        <v>√</v>
      </c>
      <c r="E67" s="4" t="str">
        <f>IF(VLOOKUP($B67,spell_header!$B$2:$G$373,4,FALSE)="√","√","")</f>
        <v>√</v>
      </c>
      <c r="F67" t="str">
        <f>_xlfn.LET(_xlpm.x,VLOOKUP($B67,spell_header!$B$2:$G$373,5,FALSE),IF(_xlpm.x="","",_xlpm.x))</f>
        <v/>
      </c>
      <c r="G67">
        <v>90</v>
      </c>
    </row>
    <row r="68" spans="1:7" ht="15" x14ac:dyDescent="0.2">
      <c r="A68">
        <v>66</v>
      </c>
      <c r="B68" s="1" t="s">
        <v>1629</v>
      </c>
      <c r="C68" t="str">
        <f>_xlfn.LET(_xlpm.x,VLOOKUP($B68,spell_header!$B$2:$G$373,2,FALSE),IF(_xlpm.x="","",_xlpm.x))</f>
        <v>最大充能数</v>
      </c>
      <c r="D68" s="4" t="str">
        <f>IF(VLOOKUP($B68,spell_header!$B$2:$G$373,3,FALSE)="√","√","")</f>
        <v>√</v>
      </c>
      <c r="E68" s="4" t="str">
        <f>IF(VLOOKUP($B68,spell_header!$B$2:$G$373,4,FALSE)="√","√","")</f>
        <v>√</v>
      </c>
      <c r="F68" t="str">
        <f>_xlfn.LET(_xlpm.x,VLOOKUP($B68,spell_header!$B$2:$G$373,5,FALSE),IF(_xlpm.x="","",_xlpm.x))</f>
        <v/>
      </c>
      <c r="G68">
        <v>35</v>
      </c>
    </row>
    <row r="69" spans="1:7" ht="15" x14ac:dyDescent="0.2">
      <c r="A69">
        <v>67</v>
      </c>
      <c r="B69" s="1" t="s">
        <v>1630</v>
      </c>
      <c r="C69" t="str">
        <f>_xlfn.LET(_xlpm.x,VLOOKUP($B69,spell_header!$B$2:$G$373,2,FALSE),IF(_xlpm.x="","",_xlpm.x))</f>
        <v>可用充能数</v>
      </c>
      <c r="D69" s="4" t="str">
        <f>IF(VLOOKUP($B69,spell_header!$B$2:$G$373,3,FALSE)="√","√","")</f>
        <v>√</v>
      </c>
      <c r="E69" s="4" t="str">
        <f>IF(VLOOKUP($B69,spell_header!$B$2:$G$373,4,FALSE)="√","√","")</f>
        <v>√</v>
      </c>
      <c r="F69" t="str">
        <f>_xlfn.LET(_xlpm.x,VLOOKUP($B69,spell_header!$B$2:$G$373,5,FALSE),IF(_xlpm.x="","",_xlpm.x))</f>
        <v/>
      </c>
      <c r="G69">
        <v>36</v>
      </c>
    </row>
    <row r="70" spans="1:7" ht="15" x14ac:dyDescent="0.2">
      <c r="A70">
        <v>68</v>
      </c>
      <c r="B70" s="1" t="s">
        <v>1631</v>
      </c>
      <c r="C70" t="str">
        <f>_xlfn.LET(_xlpm.x,VLOOKUP($B70,spell_header!$B$2:$G$373,2,FALSE),IF(_xlpm.x="","",_xlpm.x))</f>
        <v>基础充能时间</v>
      </c>
      <c r="D70" s="4" t="str">
        <f>IF(VLOOKUP($B70,spell_header!$B$2:$G$373,3,FALSE)="√","√","")</f>
        <v>√</v>
      </c>
      <c r="E70" s="4" t="str">
        <f>IF(VLOOKUP($B70,spell_header!$B$2:$G$373,4,FALSE)="√","√","")</f>
        <v>√</v>
      </c>
      <c r="F70" t="str">
        <f>_xlfn.LET(_xlpm.x,VLOOKUP($B70,spell_header!$B$2:$G$373,5,FALSE),IF(_xlpm.x="","",_xlpm.x))</f>
        <v/>
      </c>
      <c r="G70">
        <v>37</v>
      </c>
    </row>
    <row r="71" spans="1:7" ht="15" x14ac:dyDescent="0.2">
      <c r="A71">
        <v>69</v>
      </c>
      <c r="B71" s="1" t="s">
        <v>1632</v>
      </c>
      <c r="C71" t="str">
        <f>_xlfn.LET(_xlpm.x,VLOOKUP($B71,spell_header!$B$2:$G$373,2,FALSE),IF(_xlpm.x="","",_xlpm.x))</f>
        <v>充能时间不受冷却缩减影响</v>
      </c>
      <c r="D71" s="4" t="str">
        <f>IF(VLOOKUP($B71,spell_header!$B$2:$G$373,3,FALSE)="√","√","")</f>
        <v>√</v>
      </c>
      <c r="E71" s="4" t="str">
        <f>IF(VLOOKUP($B71,spell_header!$B$2:$G$373,4,FALSE)="√","√","")</f>
        <v>√</v>
      </c>
      <c r="F71" t="b">
        <f>_xlfn.LET(_xlpm.x,VLOOKUP($B71,spell_header!$B$2:$G$373,5,FALSE),IF(_xlpm.x="","",_xlpm.x))</f>
        <v>0</v>
      </c>
      <c r="G71">
        <v>39</v>
      </c>
    </row>
    <row r="72" spans="1:7" ht="15" x14ac:dyDescent="0.2">
      <c r="A72">
        <v>70</v>
      </c>
      <c r="B72" s="1" t="s">
        <v>1633</v>
      </c>
      <c r="C72" t="str">
        <f>_xlfn.LET(_xlpm.x,VLOOKUP($B72,spell_header!$B$2:$G$373,2,FALSE),IF(_xlpm.x="","",_xlpm.x))</f>
        <v>总是显示技能消耗</v>
      </c>
      <c r="D72" s="4" t="str">
        <f>IF(VLOOKUP($B72,spell_header!$B$2:$G$373,3,FALSE)="√","√","")</f>
        <v>√</v>
      </c>
      <c r="E72" s="4" t="str">
        <f>IF(VLOOKUP($B72,spell_header!$B$2:$G$373,4,FALSE)="√","√","")</f>
        <v>√</v>
      </c>
      <c r="F72" t="b">
        <f>_xlfn.LET(_xlpm.x,VLOOKUP($B72,spell_header!$B$2:$G$373,5,FALSE),IF(_xlpm.x="","",_xlpm.x))</f>
        <v>0</v>
      </c>
      <c r="G72">
        <v>26</v>
      </c>
    </row>
    <row r="73" spans="1:7" ht="15" x14ac:dyDescent="0.2">
      <c r="A73">
        <v>71</v>
      </c>
      <c r="B73" s="1" t="s">
        <v>1634</v>
      </c>
      <c r="C73" t="str">
        <f>_xlfn.LET(_xlpm.x,VLOOKUP($B73,spell_header!$B$2:$G$373,2,FALSE),IF(_xlpm.x="","",_xlpm.x))</f>
        <v>冷却时间不受冷却缩减影响</v>
      </c>
      <c r="D73" s="4" t="str">
        <f>IF(VLOOKUP($B73,spell_header!$B$2:$G$373,3,FALSE)="√","√","")</f>
        <v>√</v>
      </c>
      <c r="E73" s="4" t="str">
        <f>IF(VLOOKUP($B73,spell_header!$B$2:$G$373,4,FALSE)="√","√","")</f>
        <v>√</v>
      </c>
      <c r="F73" t="b">
        <f>_xlfn.LET(_xlpm.x,VLOOKUP($B73,spell_header!$B$2:$G$373,5,FALSE),IF(_xlpm.x="","",_xlpm.x))</f>
        <v>0</v>
      </c>
      <c r="G73">
        <v>33</v>
      </c>
    </row>
    <row r="74" spans="1:7" ht="15" x14ac:dyDescent="0.2">
      <c r="A74">
        <v>72</v>
      </c>
      <c r="B74" s="1" t="s">
        <v>1635</v>
      </c>
      <c r="C74" t="str">
        <f>_xlfn.LET(_xlpm.x,VLOOKUP($B74,spell_header!$B$2:$G$373,2,FALSE),IF(_xlpm.x="","",_xlpm.x))</f>
        <v>充能数隐藏</v>
      </c>
      <c r="D74" s="4" t="str">
        <f>IF(VLOOKUP($B74,spell_header!$B$2:$G$373,3,FALSE)="√","√","")</f>
        <v>√</v>
      </c>
      <c r="E74" s="4" t="str">
        <f>IF(VLOOKUP($B74,spell_header!$B$2:$G$373,4,FALSE)="√","√","")</f>
        <v>√</v>
      </c>
      <c r="F74" t="b">
        <f>_xlfn.LET(_xlpm.x,VLOOKUP($B74,spell_header!$B$2:$G$373,5,FALSE),IF(_xlpm.x="","",_xlpm.x))</f>
        <v>0</v>
      </c>
      <c r="G74">
        <v>40</v>
      </c>
    </row>
    <row r="75" spans="1:7" ht="15" x14ac:dyDescent="0.2">
      <c r="A75">
        <v>73</v>
      </c>
      <c r="B75" s="1" t="s">
        <v>1636</v>
      </c>
      <c r="C75" t="str">
        <f>_xlfn.LET(_xlpm.x,VLOOKUP($B75,spell_header!$B$2:$G$373,2,FALSE),IF(_xlpm.x="","",_xlpm.x))</f>
        <v>不受压制影响</v>
      </c>
      <c r="D75" s="4" t="str">
        <f>IF(VLOOKUP($B75,spell_header!$B$2:$G$373,3,FALSE)="√","√","")</f>
        <v>√</v>
      </c>
      <c r="E75" s="4" t="str">
        <f>IF(VLOOKUP($B75,spell_header!$B$2:$G$373,4,FALSE)="√","√","")</f>
        <v>√</v>
      </c>
      <c r="F75" t="b">
        <f>_xlfn.LET(_xlpm.x,VLOOKUP($B75,spell_header!$B$2:$G$373,5,FALSE),IF(_xlpm.x="","",_xlpm.x))</f>
        <v>0</v>
      </c>
      <c r="G75">
        <v>107</v>
      </c>
    </row>
    <row r="76" spans="1:7" ht="15" x14ac:dyDescent="0.2">
      <c r="A76">
        <v>74</v>
      </c>
      <c r="B76" s="1" t="s">
        <v>1637</v>
      </c>
      <c r="C76" t="str">
        <f>_xlfn.LET(_xlpm.x,VLOOKUP($B76,spell_header!$B$2:$G$373,2,FALSE),IF(_xlpm.x="","",_xlpm.x))</f>
        <v>受到限制效果时仍能触发冲锋技能</v>
      </c>
      <c r="D76" s="4" t="str">
        <f>IF(VLOOKUP($B76,spell_header!$B$2:$G$373,3,FALSE)="√","√","")</f>
        <v>√</v>
      </c>
      <c r="E76" s="4" t="str">
        <f>IF(VLOOKUP($B76,spell_header!$B$2:$G$373,4,FALSE)="√","√","")</f>
        <v>√</v>
      </c>
      <c r="F76" t="b">
        <f>_xlfn.LET(_xlpm.x,VLOOKUP($B76,spell_header!$B$2:$G$373,5,FALSE),IF(_xlpm.x="","",_xlpm.x))</f>
        <v>0</v>
      </c>
      <c r="G76">
        <v>99</v>
      </c>
    </row>
    <row r="77" spans="1:7" ht="15" x14ac:dyDescent="0.2">
      <c r="A77">
        <v>75</v>
      </c>
      <c r="B77" s="1" t="s">
        <v>1638</v>
      </c>
      <c r="C77" t="str">
        <f>_xlfn.LET(_xlpm.x,VLOOKUP($B77,spell_header!$B$2:$G$373,2,FALSE),IF(_xlpm.x="","",_xlpm.x))</f>
        <v>受到限制效果时仍能施法</v>
      </c>
      <c r="D77" s="4" t="str">
        <f>IF(VLOOKUP($B77,spell_header!$B$2:$G$373,3,FALSE)="√","√","")</f>
        <v>√</v>
      </c>
      <c r="E77" s="4" t="str">
        <f>IF(VLOOKUP($B77,spell_header!$B$2:$G$373,4,FALSE)="√","√","")</f>
        <v>√</v>
      </c>
      <c r="F77" t="b">
        <f>_xlfn.LET(_xlpm.x,VLOOKUP($B77,spell_header!$B$2:$G$373,5,FALSE),IF(_xlpm.x="","",_xlpm.x))</f>
        <v>0</v>
      </c>
      <c r="G77">
        <v>98</v>
      </c>
    </row>
    <row r="78" spans="1:7" ht="15" x14ac:dyDescent="0.2">
      <c r="A78">
        <v>76</v>
      </c>
      <c r="B78" s="1" t="s">
        <v>1639</v>
      </c>
      <c r="C78" t="str">
        <f>_xlfn.LET(_xlpm.x,VLOOKUP($B78,spell_header!$B$2:$G$373,2,FALSE),IF(_xlpm.x="","",_xlpm.x))</f>
        <v>施放其它技能时允许施法或进入施法队列</v>
      </c>
      <c r="D78" s="4" t="str">
        <f>IF(VLOOKUP($B78,spell_header!$B$2:$G$373,3,FALSE)="√","√","")</f>
        <v>√</v>
      </c>
      <c r="E78" s="4" t="str">
        <f>IF(VLOOKUP($B78,spell_header!$B$2:$G$373,4,FALSE)="√","√","")</f>
        <v>√</v>
      </c>
      <c r="F78" t="b">
        <f>_xlfn.LET(_xlpm.x,VLOOKUP($B78,spell_header!$B$2:$G$373,5,FALSE),IF(_xlpm.x="","",_xlpm.x))</f>
        <v>0</v>
      </c>
      <c r="G78">
        <v>108</v>
      </c>
    </row>
    <row r="79" spans="1:7" ht="15" x14ac:dyDescent="0.2">
      <c r="A79">
        <v>77</v>
      </c>
      <c r="B79" s="1" t="s">
        <v>1640</v>
      </c>
      <c r="C79" t="str">
        <f>_xlfn.LET(_xlpm.x,VLOOKUP($B79,spell_header!$B$2:$G$373,2,FALSE),IF(_xlpm.x="","",_xlpm.x))</f>
        <v>施法后无法取消</v>
      </c>
      <c r="D79" s="4" t="str">
        <f>IF(VLOOKUP($B79,spell_header!$B$2:$G$373,3,FALSE)="√","√","")</f>
        <v>√</v>
      </c>
      <c r="E79" s="4" t="str">
        <f>IF(VLOOKUP($B79,spell_header!$B$2:$G$373,4,FALSE)="√","√","")</f>
        <v>√</v>
      </c>
      <c r="F79" t="b">
        <f>_xlfn.LET(_xlpm.x,VLOOKUP($B79,spell_header!$B$2:$G$373,5,FALSE),IF(_xlpm.x="","",_xlpm.x))</f>
        <v>0</v>
      </c>
      <c r="G79">
        <v>102</v>
      </c>
    </row>
    <row r="80" spans="1:7" ht="15" x14ac:dyDescent="0.2">
      <c r="A80">
        <v>78</v>
      </c>
      <c r="B80" s="1" t="s">
        <v>1641</v>
      </c>
      <c r="C80" t="str">
        <f>_xlfn.LET(_xlpm.x,VLOOKUP($B80,spell_header!$B$2:$G$373,2,FALSE),IF(_xlpm.x="","",_xlpm.x))</f>
        <v>对目标英雄施放后无法取消</v>
      </c>
      <c r="D80" s="4" t="str">
        <f>IF(VLOOKUP($B80,spell_header!$B$2:$G$373,3,FALSE)="√","√","")</f>
        <v>√</v>
      </c>
      <c r="E80" s="4" t="str">
        <f>IF(VLOOKUP($B80,spell_header!$B$2:$G$373,4,FALSE)="√","√","")</f>
        <v>√</v>
      </c>
      <c r="F80" t="b">
        <f>_xlfn.LET(_xlpm.x,VLOOKUP($B80,spell_header!$B$2:$G$373,5,FALSE),IF(_xlpm.x="","",_xlpm.x))</f>
        <v>0</v>
      </c>
      <c r="G80">
        <v>103</v>
      </c>
    </row>
    <row r="81" spans="1:7" ht="15" x14ac:dyDescent="0.2">
      <c r="A81">
        <v>79</v>
      </c>
      <c r="B81" s="1" t="s">
        <v>1642</v>
      </c>
      <c r="C81" t="str">
        <f>_xlfn.LET(_xlpm.x,VLOOKUP($B81,spell_header!$B$2:$G$373,2,FALSE),IF(_xlpm.x="","",_xlpm.x))</f>
        <v>引导时无法取消</v>
      </c>
      <c r="D81" s="4" t="str">
        <f>IF(VLOOKUP($B81,spell_header!$B$2:$G$373,3,FALSE)="√","√","")</f>
        <v>√</v>
      </c>
      <c r="E81" s="4" t="str">
        <f>IF(VLOOKUP($B81,spell_header!$B$2:$G$373,4,FALSE)="√","√","")</f>
        <v>√</v>
      </c>
      <c r="F81" t="b">
        <f>_xlfn.LET(_xlpm.x,VLOOKUP($B81,spell_header!$B$2:$G$373,5,FALSE),IF(_xlpm.x="","",_xlpm.x))</f>
        <v>0</v>
      </c>
      <c r="G81">
        <v>104</v>
      </c>
    </row>
    <row r="82" spans="1:7" ht="15" x14ac:dyDescent="0.2">
      <c r="A82">
        <v>80</v>
      </c>
      <c r="B82" s="1" t="s">
        <v>1643</v>
      </c>
      <c r="C82" t="str">
        <f>_xlfn.LET(_xlpm.x,VLOOKUP($B82,spell_header!$B$2:$G$373,2,FALSE),IF(_xlpm.x="","",_xlpm.x))</f>
        <v>定身时无法施放</v>
      </c>
      <c r="D82" s="4" t="str">
        <f>IF(VLOOKUP($B82,spell_header!$B$2:$G$373,3,FALSE)="√","√","")</f>
        <v>√</v>
      </c>
      <c r="E82" s="4" t="str">
        <f>IF(VLOOKUP($B82,spell_header!$B$2:$G$373,4,FALSE)="√","√","")</f>
        <v>√</v>
      </c>
      <c r="F82" t="b">
        <f>_xlfn.LET(_xlpm.x,VLOOKUP($B82,spell_header!$B$2:$G$373,5,FALSE),IF(_xlpm.x="","",_xlpm.x))</f>
        <v>0</v>
      </c>
      <c r="G82">
        <v>100</v>
      </c>
    </row>
    <row r="83" spans="1:7" ht="15" x14ac:dyDescent="0.2">
      <c r="A83">
        <v>81</v>
      </c>
      <c r="B83" s="1" t="s">
        <v>1644</v>
      </c>
      <c r="C83" t="str">
        <f>_xlfn.LET(_xlpm.x,VLOOKUP($B83,spell_header!$B$2:$G$373,2,FALSE),IF(_xlpm.x="","",_xlpm.x))</f>
        <v>引导过程会被限制效果打断</v>
      </c>
      <c r="D83" s="4" t="str">
        <f>IF(VLOOKUP($B83,spell_header!$B$2:$G$373,3,FALSE)="√","√","")</f>
        <v>√</v>
      </c>
      <c r="E83" s="4" t="str">
        <f>IF(VLOOKUP($B83,spell_header!$B$2:$G$373,4,FALSE)="√","√","")</f>
        <v>√</v>
      </c>
      <c r="F83" t="b">
        <f>_xlfn.LET(_xlpm.x,VLOOKUP($B83,spell_header!$B$2:$G$373,5,FALSE),IF(_xlpm.x="","",_xlpm.x))</f>
        <v>1</v>
      </c>
      <c r="G83">
        <v>111</v>
      </c>
    </row>
    <row r="84" spans="1:7" ht="15" x14ac:dyDescent="0.2">
      <c r="A84">
        <v>82</v>
      </c>
      <c r="B84" s="1" t="s">
        <v>1645</v>
      </c>
      <c r="C84" t="str">
        <f>_xlfn.LET(_xlpm.x,VLOOKUP($B84,spell_header!$B$2:$G$373,2,FALSE),IF(_xlpm.x="","",_xlpm.x))</f>
        <v>引导过程会被普通攻击打断</v>
      </c>
      <c r="D84" s="4" t="str">
        <f>IF(VLOOKUP($B84,spell_header!$B$2:$G$373,3,FALSE)="√","√","")</f>
        <v>√</v>
      </c>
      <c r="E84" s="4" t="str">
        <f>IF(VLOOKUP($B84,spell_header!$B$2:$G$373,4,FALSE)="√","√","")</f>
        <v>√</v>
      </c>
      <c r="F84" t="b">
        <f>_xlfn.LET(_xlpm.x,VLOOKUP($B84,spell_header!$B$2:$G$373,5,FALSE),IF(_xlpm.x="","",_xlpm.x))</f>
        <v>1</v>
      </c>
      <c r="G84">
        <v>112</v>
      </c>
    </row>
    <row r="85" spans="1:7" ht="15" x14ac:dyDescent="0.2">
      <c r="A85">
        <v>83</v>
      </c>
      <c r="B85" s="1" t="s">
        <v>1646</v>
      </c>
      <c r="C85" t="str">
        <f>_xlfn.LET(_xlpm.x,VLOOKUP($B85,spell_header!$B$2:$G$373,2,FALSE),IF(_xlpm.x="","",_xlpm.x))</f>
        <v>施加攻击伤害</v>
      </c>
      <c r="D85" s="4" t="str">
        <f>IF(VLOOKUP($B85,spell_header!$B$2:$G$373,3,FALSE)="√","√","")</f>
        <v>√</v>
      </c>
      <c r="E85" s="4" t="str">
        <f>IF(VLOOKUP($B85,spell_header!$B$2:$G$373,4,FALSE)="√","√","")</f>
        <v>√</v>
      </c>
      <c r="F85" t="b">
        <f>_xlfn.LET(_xlpm.x,VLOOKUP($B85,spell_header!$B$2:$G$373,5,FALSE),IF(_xlpm.x="","",_xlpm.x))</f>
        <v>0</v>
      </c>
      <c r="G85">
        <v>94</v>
      </c>
    </row>
    <row r="86" spans="1:7" ht="15" x14ac:dyDescent="0.2">
      <c r="A86">
        <v>84</v>
      </c>
      <c r="B86" s="1" t="s">
        <v>1647</v>
      </c>
      <c r="C86" t="str">
        <f>_xlfn.LET(_xlpm.x,VLOOKUP($B86,spell_header!$B$2:$G$373,2,FALSE),IF(_xlpm.x="","",_xlpm.x))</f>
        <v>施加攻击效果</v>
      </c>
      <c r="D86" s="4" t="str">
        <f>IF(VLOOKUP($B86,spell_header!$B$2:$G$373,3,FALSE)="√","√","")</f>
        <v>√</v>
      </c>
      <c r="E86" s="4" t="str">
        <f>IF(VLOOKUP($B86,spell_header!$B$2:$G$373,4,FALSE)="√","√","")</f>
        <v>√</v>
      </c>
      <c r="F86" t="b">
        <f>_xlfn.LET(_xlpm.x,VLOOKUP($B86,spell_header!$B$2:$G$373,5,FALSE),IF(_xlpm.x="","",_xlpm.x))</f>
        <v>0</v>
      </c>
      <c r="G86">
        <v>95</v>
      </c>
    </row>
    <row r="87" spans="1:7" ht="15" x14ac:dyDescent="0.2">
      <c r="A87">
        <v>85</v>
      </c>
      <c r="B87" s="1" t="s">
        <v>1648</v>
      </c>
      <c r="C87" t="str">
        <f>_xlfn.LET(_xlpm.x,VLOOKUP($B87,spell_header!$B$2:$G$373,2,FALSE),IF(_xlpm.x="","",_xlpm.x))</f>
        <v>命中时触发音效</v>
      </c>
      <c r="D87" s="4" t="str">
        <f>IF(VLOOKUP($B87,spell_header!$B$2:$G$373,3,FALSE)="√","√","")</f>
        <v>√</v>
      </c>
      <c r="E87" s="4" t="str">
        <f>IF(VLOOKUP($B87,spell_header!$B$2:$G$373,4,FALSE)="√","√","")</f>
        <v>√</v>
      </c>
      <c r="F87" t="b">
        <f>_xlfn.LET(_xlpm.x,VLOOKUP($B87,spell_header!$B$2:$G$373,5,FALSE),IF(_xlpm.x="","",_xlpm.x))</f>
        <v>0</v>
      </c>
      <c r="G87">
        <v>116</v>
      </c>
    </row>
    <row r="88" spans="1:7" ht="15" x14ac:dyDescent="0.2">
      <c r="A88">
        <v>86</v>
      </c>
      <c r="B88" s="1" t="s">
        <v>1649</v>
      </c>
      <c r="C88" t="str">
        <f>_xlfn.LET(_xlpm.x,VLOOKUP($B88,spell_header!$B$2:$G$373,2,FALSE),IF(_xlpm.x="","",_xlpm.x))</f>
        <v>不打断引导过程</v>
      </c>
      <c r="D88" s="4" t="str">
        <f>IF(VLOOKUP($B88,spell_header!$B$2:$G$373,3,FALSE)="√","√","")</f>
        <v>√</v>
      </c>
      <c r="E88" s="4" t="str">
        <f>IF(VLOOKUP($B88,spell_header!$B$2:$G$373,4,FALSE)="√","√","")</f>
        <v>√</v>
      </c>
      <c r="F88" t="b">
        <f>_xlfn.LET(_xlpm.x,VLOOKUP($B88,spell_header!$B$2:$G$373,5,FALSE),IF(_xlpm.x="","",_xlpm.x))</f>
        <v>0</v>
      </c>
      <c r="G88">
        <v>110</v>
      </c>
    </row>
    <row r="89" spans="1:7" ht="15" x14ac:dyDescent="0.2">
      <c r="A89">
        <v>87</v>
      </c>
      <c r="B89" s="1" t="s">
        <v>1650</v>
      </c>
      <c r="C89" t="str">
        <f>_xlfn.LET(_xlpm.x,VLOOKUP($B89,spell_header!$B$2:$G$373,2,FALSE),IF(_xlpm.x="","",_xlpm.x))</f>
        <v>鼠标指针在草丛中变化</v>
      </c>
      <c r="D89" s="4" t="str">
        <f>IF(VLOOKUP($B89,spell_header!$B$2:$G$373,3,FALSE)="√","√","")</f>
        <v>√</v>
      </c>
      <c r="E89" s="4" t="str">
        <f>IF(VLOOKUP($B89,spell_header!$B$2:$G$373,4,FALSE)="√","√","")</f>
        <v>√</v>
      </c>
      <c r="F89" t="b">
        <f>_xlfn.LET(_xlpm.x,VLOOKUP($B89,spell_header!$B$2:$G$373,5,FALSE),IF(_xlpm.x="","",_xlpm.x))</f>
        <v>0</v>
      </c>
      <c r="G89">
        <v>117</v>
      </c>
    </row>
    <row r="90" spans="1:7" ht="15" x14ac:dyDescent="0.2">
      <c r="A90">
        <v>88</v>
      </c>
      <c r="B90" s="1" t="s">
        <v>1651</v>
      </c>
      <c r="C90" t="str">
        <f>_xlfn.LET(_xlpm.x,VLOOKUP($B90,spell_header!$B$2:$G$373,2,FALSE),IF(_xlpm.x="","",_xlpm.x))</f>
        <v>鼠标指针在地形中变化</v>
      </c>
      <c r="D90" s="4" t="str">
        <f>IF(VLOOKUP($B90,spell_header!$B$2:$G$373,3,FALSE)="√","√","")</f>
        <v>√</v>
      </c>
      <c r="E90" s="4" t="str">
        <f>IF(VLOOKUP($B90,spell_header!$B$2:$G$373,4,FALSE)="√","√","")</f>
        <v>√</v>
      </c>
      <c r="F90" t="b">
        <f>_xlfn.LET(_xlpm.x,VLOOKUP($B90,spell_header!$B$2:$G$373,5,FALSE),IF(_xlpm.x="","",_xlpm.x))</f>
        <v>0</v>
      </c>
      <c r="G90">
        <v>118</v>
      </c>
    </row>
    <row r="91" spans="1:7" ht="15" x14ac:dyDescent="0.2">
      <c r="A91">
        <v>89</v>
      </c>
      <c r="B91" s="1" t="s">
        <v>1652</v>
      </c>
      <c r="C91" t="str">
        <f>_xlfn.LET(_xlpm.x,VLOOKUP($B91,spell_header!$B$2:$G$373,2,FALSE),IF(_xlpm.x="","",_xlpm.x))</f>
        <v>阵亡时禁用</v>
      </c>
      <c r="D91" s="4" t="str">
        <f>IF(VLOOKUP($B91,spell_header!$B$2:$G$373,3,FALSE)="√","√","")</f>
        <v>√</v>
      </c>
      <c r="E91" s="4" t="str">
        <f>IF(VLOOKUP($B91,spell_header!$B$2:$G$373,4,FALSE)="√","√","")</f>
        <v>√</v>
      </c>
      <c r="F91" t="b">
        <f>_xlfn.LET(_xlpm.x,VLOOKUP($B91,spell_header!$B$2:$G$373,5,FALSE),IF(_xlpm.x="","",_xlpm.x))</f>
        <v>1</v>
      </c>
      <c r="G91">
        <v>114</v>
      </c>
    </row>
    <row r="92" spans="1:7" ht="15" x14ac:dyDescent="0.2">
      <c r="A92">
        <v>90</v>
      </c>
      <c r="B92" s="1" t="s">
        <v>1653</v>
      </c>
      <c r="C92" t="str">
        <f>_xlfn.LET(_xlpm.x,VLOOKUP($B92,spell_header!$B$2:$G$373,2,FALSE),IF(_xlpm.x="","",_xlpm.x))</f>
        <v>仅阵亡时可施放</v>
      </c>
      <c r="D92" s="4" t="str">
        <f>IF(VLOOKUP($B92,spell_header!$B$2:$G$373,3,FALSE)="√","√","")</f>
        <v>√</v>
      </c>
      <c r="E92" s="4" t="str">
        <f>IF(VLOOKUP($B92,spell_header!$B$2:$G$373,4,FALSE)="√","√","")</f>
        <v>√</v>
      </c>
      <c r="F92" t="b">
        <f>_xlfn.LET(_xlpm.x,VLOOKUP($B92,spell_header!$B$2:$G$373,5,FALSE),IF(_xlpm.x="","",_xlpm.x))</f>
        <v>0</v>
      </c>
      <c r="G92">
        <v>115</v>
      </c>
    </row>
    <row r="93" spans="1:7" ht="15" x14ac:dyDescent="0.2">
      <c r="A93">
        <v>91</v>
      </c>
      <c r="B93" s="1" t="s">
        <v>1654</v>
      </c>
      <c r="C93" t="str">
        <f>_xlfn.LET(_xlpm.x,VLOOKUP($B93,spell_header!$B$2:$G$373,2,FALSE),IF(_xlpm.x="","",_xlpm.x))</f>
        <v>化身型技能</v>
      </c>
      <c r="D93" s="4" t="str">
        <f>IF(VLOOKUP($B93,spell_header!$B$2:$G$373,3,FALSE)="√","√","")</f>
        <v>√</v>
      </c>
      <c r="E93" s="4" t="str">
        <f>IF(VLOOKUP($B93,spell_header!$B$2:$G$373,4,FALSE)="√","√","")</f>
        <v>√</v>
      </c>
      <c r="F93" t="b">
        <f>_xlfn.LET(_xlpm.x,VLOOKUP($B93,spell_header!$B$2:$G$373,5,FALSE),IF(_xlpm.x="","",_xlpm.x))</f>
        <v>0</v>
      </c>
      <c r="G93">
        <v>93</v>
      </c>
    </row>
    <row r="94" spans="1:7" ht="15" x14ac:dyDescent="0.2">
      <c r="A94">
        <v>92</v>
      </c>
      <c r="B94" s="1" t="s">
        <v>1655</v>
      </c>
      <c r="C94" t="str">
        <f>_xlfn.LET(_xlpm.x,VLOOKUP($B94,spell_header!$B$2:$G$373,2,FALSE),IF(_xlpm.x="","",_xlpm.x))</f>
        <v>仅在最大施法位置处施放</v>
      </c>
      <c r="D94" s="4" t="str">
        <f>IF(VLOOKUP($B94,spell_header!$B$2:$G$373,3,FALSE)="√","√","")</f>
        <v>√</v>
      </c>
      <c r="E94" s="4" t="str">
        <f>IF(VLOOKUP($B94,spell_header!$B$2:$G$373,4,FALSE)="√","√","")</f>
        <v>√</v>
      </c>
      <c r="F94" t="b">
        <f>_xlfn.LET(_xlpm.x,VLOOKUP($B94,spell_header!$B$2:$G$373,5,FALSE),IF(_xlpm.x="","",_xlpm.x))</f>
        <v>0</v>
      </c>
      <c r="G94">
        <v>119</v>
      </c>
    </row>
    <row r="95" spans="1:7" ht="15" x14ac:dyDescent="0.2">
      <c r="A95">
        <v>93</v>
      </c>
      <c r="B95" s="1" t="s">
        <v>1656</v>
      </c>
      <c r="C95" t="str">
        <f>_xlfn.LET(_xlpm.x,VLOOKUP($B95,spell_header!$B$2:$G$373,2,FALSE),IF(_xlpm.x="","",_xlpm.x))</f>
        <v>技能暴露施法者视野</v>
      </c>
      <c r="D95" s="4" t="str">
        <f>IF(VLOOKUP($B95,spell_header!$B$2:$G$373,3,FALSE)="√","√","")</f>
        <v>√</v>
      </c>
      <c r="E95" s="4" t="str">
        <f>IF(VLOOKUP($B95,spell_header!$B$2:$G$373,4,FALSE)="√","√","")</f>
        <v>√</v>
      </c>
      <c r="F95" t="b">
        <f>_xlfn.LET(_xlpm.x,VLOOKUP($B95,spell_header!$B$2:$G$373,5,FALSE),IF(_xlpm.x="","",_xlpm.x))</f>
        <v>1</v>
      </c>
      <c r="G95">
        <v>122</v>
      </c>
    </row>
    <row r="96" spans="1:7" ht="15" x14ac:dyDescent="0.2">
      <c r="A96">
        <v>94</v>
      </c>
      <c r="B96" s="1" t="s">
        <v>1657</v>
      </c>
      <c r="C96" t="str">
        <f>_xlfn.LET(_xlpm.x,VLOOKUP($B96,spell_header!$B$2:$G$373,2,FALSE),IF(_xlpm.x="","",_xlpm.x))</f>
        <v>允许通过小地图施法</v>
      </c>
      <c r="D96" s="4" t="str">
        <f>IF(VLOOKUP($B96,spell_header!$B$2:$G$373,3,FALSE)="√","√","")</f>
        <v>√</v>
      </c>
      <c r="E96" s="4" t="str">
        <f>IF(VLOOKUP($B96,spell_header!$B$2:$G$373,4,FALSE)="√","√","")</f>
        <v>√</v>
      </c>
      <c r="F96" t="b">
        <f>_xlfn.LET(_xlpm.x,VLOOKUP($B96,spell_header!$B$2:$G$373,5,FALSE),IF(_xlpm.x="","",_xlpm.x))</f>
        <v>0</v>
      </c>
      <c r="G96">
        <v>96</v>
      </c>
    </row>
    <row r="97" spans="1:7" ht="15" x14ac:dyDescent="0.2">
      <c r="A97">
        <v>95</v>
      </c>
      <c r="B97" s="1" t="s">
        <v>1658</v>
      </c>
      <c r="C97" t="str">
        <f>_xlfn.LET(_xlpm.x,VLOOKUP($B97,spell_header!$B$2:$G$373,2,FALSE),IF(_xlpm.x="","",_xlpm.x))</f>
        <v>小地图图标可旋转</v>
      </c>
      <c r="D97" s="4" t="str">
        <f>IF(VLOOKUP($B97,spell_header!$B$2:$G$373,3,FALSE)="√","√","")</f>
        <v>√</v>
      </c>
      <c r="E97" s="4" t="str">
        <f>IF(VLOOKUP($B97,spell_header!$B$2:$G$373,4,FALSE)="√","√","")</f>
        <v>√</v>
      </c>
      <c r="F97" t="b">
        <f>_xlfn.LET(_xlpm.x,VLOOKUP($B97,spell_header!$B$2:$G$373,5,FALSE),IF(_xlpm.x="","",_xlpm.x))</f>
        <v>0</v>
      </c>
      <c r="G97">
        <v>97</v>
      </c>
    </row>
    <row r="98" spans="1:7" ht="15" x14ac:dyDescent="0.2">
      <c r="A98">
        <v>96</v>
      </c>
      <c r="B98" s="1" t="s">
        <v>1659</v>
      </c>
      <c r="C98" t="str">
        <f>_xlfn.LET(_xlpm.x,VLOOKUP($B98,spell_header!$B$2:$G$373,2,FALSE),IF(_xlpm.x="","",_xlpm.x))</f>
        <v>引导时冲锋</v>
      </c>
      <c r="D98" s="4" t="str">
        <f>IF(VLOOKUP($B98,spell_header!$B$2:$G$373,3,FALSE)="√","√","")</f>
        <v>√</v>
      </c>
      <c r="E98" s="4" t="str">
        <f>IF(VLOOKUP($B98,spell_header!$B$2:$G$373,4,FALSE)="√","√","")</f>
        <v>√</v>
      </c>
      <c r="F98" t="b">
        <f>_xlfn.LET(_xlpm.x,VLOOKUP($B98,spell_header!$B$2:$G$373,5,FALSE),IF(_xlpm.x="","",_xlpm.x))</f>
        <v>0</v>
      </c>
      <c r="G98">
        <v>105</v>
      </c>
    </row>
    <row r="99" spans="1:7" ht="15" x14ac:dyDescent="0.2">
      <c r="A99">
        <v>97</v>
      </c>
      <c r="B99" s="1" t="s">
        <v>1660</v>
      </c>
      <c r="C99" t="str">
        <f>_xlfn.LET(_xlpm.x,VLOOKUP($B99,spell_header!$B$2:$G$373,2,FALSE),IF(_xlpm.x="","",_xlpm.x))</f>
        <v>不同等级是否展示引导条</v>
      </c>
      <c r="D99" s="4" t="str">
        <f>IF(VLOOKUP($B99,spell_header!$B$2:$G$373,3,FALSE)="√","√","")</f>
        <v>√</v>
      </c>
      <c r="E99" s="4" t="str">
        <f>IF(VLOOKUP($B99,spell_header!$B$2:$G$373,4,FALSE)="√","√","")</f>
        <v>√</v>
      </c>
      <c r="F99" t="str">
        <f>_xlfn.LET(_xlpm.x,VLOOKUP($B99,spell_header!$B$2:$G$373,5,FALSE),IF(_xlpm.x="","",_xlpm.x))</f>
        <v/>
      </c>
      <c r="G99">
        <v>113</v>
      </c>
    </row>
    <row r="100" spans="1:7" ht="15" x14ac:dyDescent="0.2">
      <c r="A100">
        <v>98</v>
      </c>
      <c r="B100" s="1" t="s">
        <v>1661</v>
      </c>
      <c r="C100" t="str">
        <f>_xlfn.LET(_xlpm.x,VLOOKUP($B100,spell_header!$B$2:$G$373,2,FALSE),IF(_xlpm.x="","",_xlpm.x))</f>
        <v>从边界框开始计算施法距离</v>
      </c>
      <c r="D100" s="4" t="str">
        <f>IF(VLOOKUP($B100,spell_header!$B$2:$G$373,3,FALSE)="√","√","")</f>
        <v>√</v>
      </c>
      <c r="E100" s="4" t="str">
        <f>IF(VLOOKUP($B100,spell_header!$B$2:$G$373,4,FALSE)="√","√","")</f>
        <v>√</v>
      </c>
      <c r="F100" t="b">
        <f>_xlfn.LET(_xlpm.x,VLOOKUP($B100,spell_header!$B$2:$G$373,5,FALSE),IF(_xlpm.x="","",_xlpm.x))</f>
        <v>0</v>
      </c>
      <c r="G100">
        <v>57</v>
      </c>
    </row>
    <row r="101" spans="1:7" ht="15" x14ac:dyDescent="0.2">
      <c r="A101">
        <v>99</v>
      </c>
      <c r="B101" s="1" t="s">
        <v>1662</v>
      </c>
      <c r="C101" t="str">
        <f>_xlfn.LET(_xlpm.x,VLOOKUP($B101,spell_header!$B$2:$G$373,2,FALSE),IF(_xlpm.x="","",_xlpm.x))</f>
        <v>引导时可移动</v>
      </c>
      <c r="D101" s="4" t="str">
        <f>IF(VLOOKUP($B101,spell_header!$B$2:$G$373,3,FALSE)="√","√","")</f>
        <v>√</v>
      </c>
      <c r="E101" s="4" t="str">
        <f>IF(VLOOKUP($B101,spell_header!$B$2:$G$373,4,FALSE)="√","√","")</f>
        <v>√</v>
      </c>
      <c r="F101" t="b">
        <f>_xlfn.LET(_xlpm.x,VLOOKUP($B101,spell_header!$B$2:$G$373,5,FALSE),IF(_xlpm.x="","",_xlpm.x))</f>
        <v>0</v>
      </c>
      <c r="G101">
        <v>106</v>
      </c>
    </row>
    <row r="102" spans="1:7" ht="15" x14ac:dyDescent="0.2">
      <c r="A102">
        <v>100</v>
      </c>
      <c r="B102" s="1" t="s">
        <v>1663</v>
      </c>
      <c r="C102" t="str">
        <f>_xlfn.LET(_xlpm.x,VLOOKUP($B102,spell_header!$B$2:$G$373,2,FALSE),IF(_xlpm.x="","",_xlpm.x))</f>
        <v>禁用施法条</v>
      </c>
      <c r="D102" s="4" t="str">
        <f>IF(VLOOKUP($B102,spell_header!$B$2:$G$373,3,FALSE)="√","√","")</f>
        <v>√</v>
      </c>
      <c r="E102" s="4" t="str">
        <f>IF(VLOOKUP($B102,spell_header!$B$2:$G$373,4,FALSE)="√","√","")</f>
        <v>√</v>
      </c>
      <c r="F102" t="b">
        <f>_xlfn.LET(_xlpm.x,VLOOKUP($B102,spell_header!$B$2:$G$373,5,FALSE),IF(_xlpm.x="","",_xlpm.x))</f>
        <v>0</v>
      </c>
      <c r="G102">
        <v>66</v>
      </c>
    </row>
    <row r="103" spans="1:7" ht="15" x14ac:dyDescent="0.2">
      <c r="A103">
        <v>101</v>
      </c>
      <c r="B103" s="1" t="s">
        <v>1664</v>
      </c>
      <c r="C103" t="str">
        <f>_xlfn.LET(_xlpm.x,VLOOKUP($B103,spell_header!$B$2:$G$373,2,FALSE),IF(_xlpm.x="","",_xlpm.x))</f>
        <v>显示引导条</v>
      </c>
      <c r="D103" s="4" t="str">
        <f>IF(VLOOKUP($B103,spell_header!$B$2:$G$373,3,FALSE)="√","√","")</f>
        <v>√</v>
      </c>
      <c r="E103" s="4" t="str">
        <f>IF(VLOOKUP($B103,spell_header!$B$2:$G$373,4,FALSE)="√","√","")</f>
        <v>√</v>
      </c>
      <c r="F103" t="b">
        <f>_xlfn.LET(_xlpm.x,VLOOKUP($B103,spell_header!$B$2:$G$373,5,FALSE),IF(_xlpm.x="","",_xlpm.x))</f>
        <v>1</v>
      </c>
      <c r="G103">
        <v>67</v>
      </c>
    </row>
    <row r="104" spans="1:7" ht="15" x14ac:dyDescent="0.2">
      <c r="A104">
        <v>102</v>
      </c>
      <c r="B104" s="1" t="s">
        <v>1665</v>
      </c>
      <c r="C104" t="str">
        <f>_xlfn.LET(_xlpm.x,VLOOKUP($B104,spell_header!$B$2:$G$373,2,FALSE),IF(_xlpm.x="","",_xlpm.x))</f>
        <v>施法时立即转向</v>
      </c>
      <c r="D104" s="4" t="str">
        <f>IF(VLOOKUP($B104,spell_header!$B$2:$G$373,3,FALSE)="√","√","")</f>
        <v>√</v>
      </c>
      <c r="E104" s="4" t="str">
        <f>IF(VLOOKUP($B104,spell_header!$B$2:$G$373,4,FALSE)="√","√","")</f>
        <v>√</v>
      </c>
      <c r="F104" t="b">
        <f>_xlfn.LET(_xlpm.x,VLOOKUP($B104,spell_header!$B$2:$G$373,5,FALSE),IF(_xlpm.x="","",_xlpm.x))</f>
        <v>0</v>
      </c>
      <c r="G104">
        <v>77</v>
      </c>
    </row>
    <row r="105" spans="1:7" ht="15" x14ac:dyDescent="0.2">
      <c r="A105">
        <v>103</v>
      </c>
      <c r="B105" s="1" t="s">
        <v>1666</v>
      </c>
      <c r="C105" t="str">
        <f>_xlfn.LET(_xlpm.x,VLOOKUP($B105,spell_header!$B$2:$G$373,2,FALSE),IF(_xlpm.x="","",_xlpm.x))</f>
        <v>使用动画生成器帧率</v>
      </c>
      <c r="D105" s="4" t="str">
        <f>IF(VLOOKUP($B105,spell_header!$B$2:$G$373,3,FALSE)="√","√","")</f>
        <v>√</v>
      </c>
      <c r="E105" s="4" t="str">
        <f>IF(VLOOKUP($B105,spell_header!$B$2:$G$373,4,FALSE)="√","√","")</f>
        <v>√</v>
      </c>
      <c r="F105" t="b">
        <f>_xlfn.LET(_xlpm.x,VLOOKUP($B105,spell_header!$B$2:$G$373,5,FALSE),IF(_xlpm.x="","",_xlpm.x))</f>
        <v>0</v>
      </c>
      <c r="G105">
        <v>143</v>
      </c>
    </row>
    <row r="106" spans="1:7" ht="15" x14ac:dyDescent="0.2">
      <c r="A106">
        <v>104</v>
      </c>
      <c r="B106" s="1" t="s">
        <v>1667</v>
      </c>
      <c r="C106" t="str">
        <f>_xlfn.LET(_xlpm.x,VLOOKUP($B106,spell_header!$B$2:$G$373,2,FALSE),IF(_xlpm.x="","",_xlpm.x))</f>
        <v>具有命中特效</v>
      </c>
      <c r="D106" s="4" t="str">
        <f>IF(VLOOKUP($B106,spell_header!$B$2:$G$373,3,FALSE)="√","√","")</f>
        <v>√</v>
      </c>
      <c r="E106" s="4" t="str">
        <f>IF(VLOOKUP($B106,spell_header!$B$2:$G$373,4,FALSE)="√","√","")</f>
        <v>√</v>
      </c>
      <c r="F106" t="b">
        <f>_xlfn.LET(_xlpm.x,VLOOKUP($B106,spell_header!$B$2:$G$373,5,FALSE),IF(_xlpm.x="","",_xlpm.x))</f>
        <v>0</v>
      </c>
      <c r="G106">
        <v>160</v>
      </c>
    </row>
    <row r="107" spans="1:7" ht="15" x14ac:dyDescent="0.2">
      <c r="A107">
        <v>105</v>
      </c>
      <c r="B107" s="1" t="s">
        <v>1668</v>
      </c>
      <c r="C107" t="str">
        <f>_xlfn.LET(_xlpm.x,VLOOKUP($B107,spell_header!$B$2:$G$373,2,FALSE),IF(_xlpm.x="","",_xlpm.x))</f>
        <v>从玩家定义纹理半径</v>
      </c>
      <c r="D107" s="4" t="str">
        <f>IF(VLOOKUP($B107,spell_header!$B$2:$G$373,3,FALSE)="√","√","")</f>
        <v>√</v>
      </c>
      <c r="E107" s="4" t="str">
        <f>IF(VLOOKUP($B107,spell_header!$B$2:$G$373,4,FALSE)="√","√","")</f>
        <v>√</v>
      </c>
      <c r="F107" t="b">
        <f>_xlfn.LET(_xlpm.x,VLOOKUP($B107,spell_header!$B$2:$G$373,5,FALSE),IF(_xlpm.x="","",_xlpm.x))</f>
        <v>0</v>
      </c>
      <c r="G107">
        <v>145</v>
      </c>
    </row>
    <row r="108" spans="1:7" ht="15" x14ac:dyDescent="0.2">
      <c r="A108">
        <v>106</v>
      </c>
      <c r="B108" s="1" t="s">
        <v>1669</v>
      </c>
      <c r="C108" t="str">
        <f>_xlfn.LET(_xlpm.x,VLOOKUP($B108,spell_header!$B$2:$G$373,2,FALSE),IF(_xlpm.x="","",_xlpm.x))</f>
        <v>开关型技能</v>
      </c>
      <c r="D108" s="4" t="str">
        <f>IF(VLOOKUP($B108,spell_header!$B$2:$G$373,3,FALSE)="√","√","")</f>
        <v>√</v>
      </c>
      <c r="E108" s="4" t="str">
        <f>IF(VLOOKUP($B108,spell_header!$B$2:$G$373,4,FALSE)="√","√","")</f>
        <v>√</v>
      </c>
      <c r="F108" t="b">
        <f>_xlfn.LET(_xlpm.x,VLOOKUP($B108,spell_header!$B$2:$G$373,5,FALSE),IF(_xlpm.x="","",_xlpm.x))</f>
        <v>0</v>
      </c>
      <c r="G108">
        <v>21</v>
      </c>
    </row>
    <row r="109" spans="1:7" ht="15" x14ac:dyDescent="0.2">
      <c r="A109">
        <v>107</v>
      </c>
      <c r="B109" s="1" t="s">
        <v>1670</v>
      </c>
      <c r="C109" t="str">
        <f>_xlfn.LET(_xlpm.x,VLOOKUP($B109,spell_header!$B$2:$G$373,2,FALSE),IF(_xlpm.x="","",_xlpm.x))</f>
        <v>施法时不需要面向目标</v>
      </c>
      <c r="D109" s="4" t="str">
        <f>IF(VLOOKUP($B109,spell_header!$B$2:$G$373,3,FALSE)="√","√","")</f>
        <v>√</v>
      </c>
      <c r="E109" s="4" t="str">
        <f>IF(VLOOKUP($B109,spell_header!$B$2:$G$373,4,FALSE)="√","√","")</f>
        <v>√</v>
      </c>
      <c r="F109" t="b">
        <f>_xlfn.LET(_xlpm.x,VLOOKUP($B109,spell_header!$B$2:$G$373,5,FALSE),IF(_xlpm.x="","",_xlpm.x))</f>
        <v>0</v>
      </c>
      <c r="G109">
        <v>78</v>
      </c>
    </row>
    <row r="110" spans="1:7" ht="15" x14ac:dyDescent="0.2">
      <c r="A110">
        <v>108</v>
      </c>
      <c r="B110" s="1" t="s">
        <v>1671</v>
      </c>
      <c r="C110" t="str">
        <f>_xlfn.LET(_xlpm.x,VLOOKUP($B110,spell_header!$B$2:$G$373,2,FALSE),IF(_xlpm.x="","",_xlpm.x))</f>
        <v>打断后不会触发技能结束效果</v>
      </c>
      <c r="D110" s="4" t="str">
        <f>IF(VLOOKUP($B110,spell_header!$B$2:$G$373,3,FALSE)="√","√","")</f>
        <v>√</v>
      </c>
      <c r="E110" s="4" t="str">
        <f>IF(VLOOKUP($B110,spell_header!$B$2:$G$373,4,FALSE)="√","√","")</f>
        <v>√</v>
      </c>
      <c r="F110" t="b">
        <f>_xlfn.LET(_xlpm.x,VLOOKUP($B110,spell_header!$B$2:$G$373,5,FALSE),IF(_xlpm.x="","",_xlpm.x))</f>
        <v>0</v>
      </c>
      <c r="G110">
        <v>126</v>
      </c>
    </row>
    <row r="111" spans="1:7" ht="15" x14ac:dyDescent="0.2">
      <c r="A111">
        <v>109</v>
      </c>
      <c r="B111" s="1" t="s">
        <v>1672</v>
      </c>
      <c r="C111" t="str">
        <f>_xlfn.LET(_xlpm.x,VLOOKUP($B111,spell_header!$B$2:$G$373,2,FALSE),IF(_xlpm.x="","",_xlpm.x))</f>
        <v>转向速度标量</v>
      </c>
      <c r="D111" s="4" t="str">
        <f>IF(VLOOKUP($B111,spell_header!$B$2:$G$373,3,FALSE)="√","√","")</f>
        <v>√</v>
      </c>
      <c r="E111" s="4" t="str">
        <f>IF(VLOOKUP($B111,spell_header!$B$2:$G$373,4,FALSE)="√","√","")</f>
        <v>√</v>
      </c>
      <c r="F111" t="str">
        <f>_xlfn.LET(_xlpm.x,VLOOKUP($B111,spell_header!$B$2:$G$373,5,FALSE),IF(_xlpm.x="","",_xlpm.x))</f>
        <v/>
      </c>
      <c r="G111">
        <v>147</v>
      </c>
    </row>
    <row r="112" spans="1:7" ht="15" x14ac:dyDescent="0.2">
      <c r="A112">
        <v>110</v>
      </c>
      <c r="B112" s="1" t="s">
        <v>1673</v>
      </c>
      <c r="C112" t="str">
        <f>_xlfn.LET(_xlpm.x,VLOOKUP($B112,spell_header!$B$2:$G$373,2,FALSE),IF(_xlpm.x="","",_xlpm.x))</f>
        <v>施法时不检查距离</v>
      </c>
      <c r="D112" s="4" t="str">
        <f>IF(VLOOKUP($B112,spell_header!$B$2:$G$373,3,FALSE)="√","√","")</f>
        <v>√</v>
      </c>
      <c r="E112" s="4" t="str">
        <f>IF(VLOOKUP($B112,spell_header!$B$2:$G$373,4,FALSE)="√","√","")</f>
        <v>√</v>
      </c>
      <c r="F112" t="b">
        <f>_xlfn.LET(_xlpm.x,VLOOKUP($B112,spell_header!$B$2:$G$373,5,FALSE),IF(_xlpm.x="","",_xlpm.x))</f>
        <v>0</v>
      </c>
      <c r="G112">
        <v>120</v>
      </c>
    </row>
    <row r="113" spans="1:7" ht="15" x14ac:dyDescent="0.2">
      <c r="A113">
        <v>111</v>
      </c>
      <c r="B113" s="1" t="s">
        <v>1674</v>
      </c>
      <c r="C113" t="str">
        <f>_xlfn.LET(_xlpm.x,VLOOKUP($B113,spell_header!$B$2:$G$373,2,FALSE),IF(_xlpm.x="","",_xlpm.x))</f>
        <v>施法时更新服务器轮转</v>
      </c>
      <c r="D113" s="4" t="str">
        <f>IF(VLOOKUP($B113,spell_header!$B$2:$G$373,3,FALSE)="√","√","")</f>
        <v>√</v>
      </c>
      <c r="E113" s="4" t="str">
        <f>IF(VLOOKUP($B113,spell_header!$B$2:$G$373,4,FALSE)="√","√","")</f>
        <v>√</v>
      </c>
      <c r="F113" t="b">
        <f>_xlfn.LET(_xlpm.x,VLOOKUP($B113,spell_header!$B$2:$G$373,5,FALSE),IF(_xlpm.x="","",_xlpm.x))</f>
        <v>0</v>
      </c>
      <c r="G113">
        <v>150</v>
      </c>
    </row>
    <row r="114" spans="1:7" ht="15" x14ac:dyDescent="0.2">
      <c r="A114">
        <v>112</v>
      </c>
      <c r="B114" s="1" t="s">
        <v>1675</v>
      </c>
      <c r="C114" t="str">
        <f>_xlfn.LET(_xlpm.x,VLOOKUP($B114,spell_header!$B$2:$G$373,2,FALSE),IF(_xlpm.x="","",_xlpm.x))</f>
        <v>禁用时可标记</v>
      </c>
      <c r="D114" s="4" t="str">
        <f>IF(VLOOKUP($B114,spell_header!$B$2:$G$373,3,FALSE)="√","√","")</f>
        <v>√</v>
      </c>
      <c r="E114" s="4" t="str">
        <f>IF(VLOOKUP($B114,spell_header!$B$2:$G$373,4,FALSE)="√","√","")</f>
        <v>√</v>
      </c>
      <c r="F114" t="b">
        <f>_xlfn.LET(_xlpm.x,VLOOKUP($B114,spell_header!$B$2:$G$373,5,FALSE),IF(_xlpm.x="","",_xlpm.x))</f>
        <v>0</v>
      </c>
      <c r="G114">
        <v>101</v>
      </c>
    </row>
    <row r="115" spans="1:7" ht="15" x14ac:dyDescent="0.2">
      <c r="A115">
        <v>113</v>
      </c>
      <c r="B115" s="1" t="s">
        <v>1821</v>
      </c>
      <c r="C115" t="str">
        <f>_xlfn.LET(_xlpm.x,VLOOKUP($B115,spell_header!$B$2:$G$373,2,FALSE),IF(_xlpm.x="","",_xlpm.x))</f>
        <v>覆盖攻击时间计算</v>
      </c>
      <c r="D115" s="4" t="str">
        <f>IF(VLOOKUP($B115,spell_header!$B$2:$G$373,3,FALSE)="√","√","")</f>
        <v>√</v>
      </c>
      <c r="E115" s="4" t="str">
        <f>IF(VLOOKUP($B115,spell_header!$B$2:$G$373,4,FALSE)="√","√","")</f>
        <v>√</v>
      </c>
      <c r="F115" t="str">
        <f>_xlfn.LET(_xlpm.x,VLOOKUP($B115,spell_header!$B$2:$G$373,5,FALSE),IF(_xlpm.x="","",_xlpm.x))</f>
        <v/>
      </c>
      <c r="G115">
        <v>152</v>
      </c>
    </row>
    <row r="116" spans="1:7" ht="15" x14ac:dyDescent="0.2">
      <c r="A116">
        <v>114</v>
      </c>
      <c r="B116" s="1" t="s">
        <v>1822</v>
      </c>
      <c r="C116" t="str">
        <f>_xlfn.LET(_xlpm.x,VLOOKUP($B116,spell_header!$B$2:$G$373,2,FALSE),IF(_xlpm.x="","",_xlpm.x))</f>
        <v>启用攻击延迟覆盖</v>
      </c>
      <c r="D116" s="4" t="str">
        <f>IF(VLOOKUP($B116,spell_header!$B$2:$G$373,3,FALSE)="√","√","")</f>
        <v>√</v>
      </c>
      <c r="E116" s="4" t="str">
        <f>IF(VLOOKUP($B116,spell_header!$B$2:$G$373,4,FALSE)="√","√","")</f>
        <v>√</v>
      </c>
      <c r="F116" t="b">
        <f>_xlfn.LET(_xlpm.x,VLOOKUP($B116,spell_header!$B$2:$G$373,5,FALSE),IF(_xlpm.x="","",_xlpm.x))</f>
        <v>1</v>
      </c>
      <c r="G116">
        <v>151</v>
      </c>
    </row>
    <row r="117" spans="1:7" ht="15" x14ac:dyDescent="0.2">
      <c r="A117">
        <v>115</v>
      </c>
      <c r="B117" s="1" t="s">
        <v>1823</v>
      </c>
      <c r="C117" t="str">
        <f>_xlfn.LET(_xlpm.x,VLOOKUP($B117,spell_header!$B$2:$G$373,2,FALSE),IF(_xlpm.x="","",_xlpm.x))</f>
        <v>施放时间百分比</v>
      </c>
      <c r="D117" s="4" t="str">
        <f>IF(VLOOKUP($B117,spell_header!$B$2:$G$373,3,FALSE)="√","√","")</f>
        <v>√</v>
      </c>
      <c r="E117" s="4" t="str">
        <f>IF(VLOOKUP($B117,spell_header!$B$2:$G$373,4,FALSE)="√","√","")</f>
        <v>√</v>
      </c>
      <c r="F117" t="str">
        <f>_xlfn.LET(_xlpm.x,VLOOKUP($B117,spell_header!$B$2:$G$373,5,FALSE),IF(_xlpm.x="","",_xlpm.x))</f>
        <v/>
      </c>
      <c r="G117">
        <v>153</v>
      </c>
    </row>
    <row r="118" spans="1:7" ht="15" x14ac:dyDescent="0.2">
      <c r="A118">
        <v>116</v>
      </c>
      <c r="B118" s="1" t="s">
        <v>1827</v>
      </c>
      <c r="C118" t="str">
        <f>_xlfn.LET(_xlpm.x,VLOOKUP($B118,spell_header!$B$2:$G$373,2,FALSE),IF(_xlpm.x="","",_xlpm.x))</f>
        <v>自动攻击时间计算</v>
      </c>
      <c r="D118" s="4" t="str">
        <f>IF(VLOOKUP($B118,spell_header!$B$2:$G$373,3,FALSE)="√","√","")</f>
        <v>√</v>
      </c>
      <c r="E118" s="4" t="str">
        <f>IF(VLOOKUP($B118,spell_header!$B$2:$G$373,4,FALSE)="√","√","")</f>
        <v>√</v>
      </c>
      <c r="F118" t="str">
        <f>_xlfn.LET(_xlpm.x,VLOOKUP($B118,spell_header!$B$2:$G$373,5,FALSE),IF(_xlpm.x="","",_xlpm.x))</f>
        <v/>
      </c>
      <c r="G118">
        <v>155</v>
      </c>
    </row>
    <row r="119" spans="1:7" ht="15" x14ac:dyDescent="0.2">
      <c r="A119">
        <v>117</v>
      </c>
      <c r="B119" s="1" t="s">
        <v>1828</v>
      </c>
      <c r="C119" t="str">
        <f>_xlfn.LET(_xlpm.x,VLOOKUP($B119,spell_header!$B$2:$G$373,2,FALSE),IF(_xlpm.x="","",_xlpm.x))</f>
        <v>自动攻击时间作为总攻击时间</v>
      </c>
      <c r="D119" s="4" t="str">
        <f>IF(VLOOKUP($B119,spell_header!$B$2:$G$373,3,FALSE)="√","√","")</f>
        <v>√</v>
      </c>
      <c r="E119" s="4" t="str">
        <f>IF(VLOOKUP($B119,spell_header!$B$2:$G$373,4,FALSE)="√","√","")</f>
        <v>√</v>
      </c>
      <c r="F119" t="b">
        <f>_xlfn.LET(_xlpm.x,VLOOKUP($B119,spell_header!$B$2:$G$373,5,FALSE),IF(_xlpm.x="","",_xlpm.x))</f>
        <v>1</v>
      </c>
      <c r="G119">
        <v>156</v>
      </c>
    </row>
    <row r="120" spans="1:7" ht="15" x14ac:dyDescent="0.2">
      <c r="A120">
        <v>118</v>
      </c>
      <c r="B120" s="1" t="s">
        <v>1676</v>
      </c>
      <c r="C120" t="str">
        <f>_xlfn.LET(_xlpm.x,VLOOKUP($B120,spell_header!$B$2:$G$373,2,FALSE),IF(_xlpm.x="","",_xlpm.x))</f>
        <v>视为自动攻击</v>
      </c>
      <c r="D120" s="4" t="str">
        <f>IF(VLOOKUP($B120,spell_header!$B$2:$G$373,3,FALSE)="√","√","")</f>
        <v>√</v>
      </c>
      <c r="E120" s="4" t="str">
        <f>IF(VLOOKUP($B120,spell_header!$B$2:$G$373,4,FALSE)="√","√","")</f>
        <v>√</v>
      </c>
      <c r="F120" t="b">
        <f>_xlfn.LET(_xlpm.x,VLOOKUP($B120,spell_header!$B$2:$G$373,5,FALSE),IF(_xlpm.x="","",_xlpm.x))</f>
        <v>0</v>
      </c>
      <c r="G120">
        <v>154</v>
      </c>
    </row>
    <row r="121" spans="1:7" ht="15" x14ac:dyDescent="0.2">
      <c r="A121">
        <v>119</v>
      </c>
      <c r="B121" s="1" t="s">
        <v>1677</v>
      </c>
      <c r="C121" t="str">
        <f>_xlfn.LET(_xlpm.x,VLOOKUP($B121,spell_header!$B$2:$G$373,2,FALSE),IF(_xlpm.x="","",_xlpm.x))</f>
        <v>动画直到施放帧时持续</v>
      </c>
      <c r="D121" s="4" t="str">
        <f>IF(VLOOKUP($B121,spell_header!$B$2:$G$373,3,FALSE)="√","√","")</f>
        <v>√</v>
      </c>
      <c r="E121" s="4" t="str">
        <f>IF(VLOOKUP($B121,spell_header!$B$2:$G$373,4,FALSE)="√","√","")</f>
        <v>√</v>
      </c>
      <c r="F121" t="b">
        <f>_xlfn.LET(_xlpm.x,VLOOKUP($B121,spell_header!$B$2:$G$373,5,FALSE),IF(_xlpm.x="","",_xlpm.x))</f>
        <v>0</v>
      </c>
      <c r="G121">
        <v>146</v>
      </c>
    </row>
    <row r="122" spans="1:7" ht="15" x14ac:dyDescent="0.2">
      <c r="A122">
        <v>120</v>
      </c>
      <c r="B122" s="1" t="s">
        <v>1678</v>
      </c>
      <c r="C122" t="str">
        <f>_xlfn.LET(_xlpm.x,VLOOKUP($B122,spell_header!$B$2:$G$373,2,FALSE),IF(_xlpm.x="","",_xlpm.x))</f>
        <v>施法时隐藏距离指示器</v>
      </c>
      <c r="D122" s="4" t="str">
        <f>IF(VLOOKUP($B122,spell_header!$B$2:$G$373,3,FALSE)="√","√","")</f>
        <v>√</v>
      </c>
      <c r="E122" s="4" t="str">
        <f>IF(VLOOKUP($B122,spell_header!$B$2:$G$373,4,FALSE)="√","√","")</f>
        <v>√</v>
      </c>
      <c r="F122" t="b">
        <f>_xlfn.LET(_xlpm.x,VLOOKUP($B122,spell_header!$B$2:$G$373,5,FALSE),IF(_xlpm.x="","",_xlpm.x))</f>
        <v>0</v>
      </c>
      <c r="G122">
        <v>121</v>
      </c>
    </row>
    <row r="123" spans="1:7" ht="15" x14ac:dyDescent="0.2">
      <c r="A123">
        <v>121</v>
      </c>
      <c r="B123" s="1" t="s">
        <v>1679</v>
      </c>
      <c r="C123" t="str">
        <f>_xlfn.LET(_xlpm.x,VLOOKUP($B123,spell_header!$B$2:$G$373,2,FALSE),IF(_xlpm.x="","",_xlpm.x))</f>
        <v>不消耗法力值</v>
      </c>
      <c r="D123" s="4" t="str">
        <f>IF(VLOOKUP($B123,spell_header!$B$2:$G$373,3,FALSE)="√","√","")</f>
        <v>√</v>
      </c>
      <c r="E123" s="4" t="str">
        <f>IF(VLOOKUP($B123,spell_header!$B$2:$G$373,4,FALSE)="√","√","")</f>
        <v>√</v>
      </c>
      <c r="F123" t="b">
        <f>_xlfn.LET(_xlpm.x,VLOOKUP($B123,spell_header!$B$2:$G$373,5,FALSE),IF(_xlpm.x="","",_xlpm.x))</f>
        <v>0</v>
      </c>
      <c r="G123">
        <v>22</v>
      </c>
    </row>
    <row r="124" spans="1:7" ht="15" x14ac:dyDescent="0.2">
      <c r="A124">
        <v>122</v>
      </c>
      <c r="B124" s="1" t="s">
        <v>1680</v>
      </c>
      <c r="C124" t="str">
        <f>_xlfn.LET(_xlpm.x,VLOOKUP($B124,spell_header!$B$2:$G$373,2,FALSE),IF(_xlpm.x="","",_xlpm.x))</f>
        <v>激活时锁定技能施放起源ID</v>
      </c>
      <c r="D124" s="4" t="str">
        <f>IF(VLOOKUP($B124,spell_header!$B$2:$G$373,3,FALSE)="√","√","")</f>
        <v>√</v>
      </c>
      <c r="E124" s="4" t="str">
        <f>IF(VLOOKUP($B124,spell_header!$B$2:$G$373,4,FALSE)="√","√","")</f>
        <v>√</v>
      </c>
      <c r="F124" t="b">
        <f>_xlfn.LET(_xlpm.x,VLOOKUP($B124,spell_header!$B$2:$G$373,5,FALSE),IF(_xlpm.x="","",_xlpm.x))</f>
        <v>0</v>
      </c>
      <c r="G124">
        <v>128</v>
      </c>
    </row>
    <row r="125" spans="1:7" ht="15" x14ac:dyDescent="0.2">
      <c r="A125">
        <v>123</v>
      </c>
      <c r="B125" s="1" t="s">
        <v>1681</v>
      </c>
      <c r="C125" t="str">
        <f>_xlfn.LET(_xlpm.x,VLOOKUP($B125,spell_header!$B$2:$G$373,2,FALSE),IF(_xlpm.x="","",_xlpm.x))</f>
        <v>不立即进入冷却时间</v>
      </c>
      <c r="D125" s="4" t="str">
        <f>IF(VLOOKUP($B125,spell_header!$B$2:$G$373,3,FALSE)="√","√","")</f>
        <v>√</v>
      </c>
      <c r="E125" s="4" t="str">
        <f>IF(VLOOKUP($B125,spell_header!$B$2:$G$373,4,FALSE)="√","√","")</f>
        <v>√</v>
      </c>
      <c r="F125" t="b">
        <f>_xlfn.LET(_xlpm.x,VLOOKUP($B125,spell_header!$B$2:$G$373,5,FALSE),IF(_xlpm.x="","",_xlpm.x))</f>
        <v>0</v>
      </c>
      <c r="G125">
        <v>127</v>
      </c>
    </row>
    <row r="126" spans="1:7" ht="15" x14ac:dyDescent="0.2">
      <c r="A126">
        <v>124</v>
      </c>
      <c r="B126" s="1" t="s">
        <v>1682</v>
      </c>
      <c r="C126" t="str">
        <f>_xlfn.LET(_xlpm.x,VLOOKUP($B126,spell_header!$B$2:$G$373,2,FALSE),IF(_xlpm.x="","",_xlpm.x))</f>
        <v>参与暴击概率计算</v>
      </c>
      <c r="D126" s="4" t="str">
        <f>IF(VLOOKUP($B126,spell_header!$B$2:$G$373,3,FALSE)="√","√","")</f>
        <v>√</v>
      </c>
      <c r="E126" s="4" t="str">
        <f>IF(VLOOKUP($B126,spell_header!$B$2:$G$373,4,FALSE)="√","√","")</f>
        <v>√</v>
      </c>
      <c r="F126" t="b">
        <f>_xlfn.LET(_xlpm.x,VLOOKUP($B126,spell_header!$B$2:$G$373,5,FALSE),IF(_xlpm.x="","",_xlpm.x))</f>
        <v>0</v>
      </c>
      <c r="G126">
        <v>129</v>
      </c>
    </row>
    <row r="127" spans="1:7" ht="15" x14ac:dyDescent="0.2">
      <c r="A127">
        <v>125</v>
      </c>
      <c r="B127" s="1" t="s">
        <v>1683</v>
      </c>
      <c r="C127" t="str">
        <f>_xlfn.LET(_xlpm.x,VLOOKUP($B127,spell_header!$B$2:$G$373,2,FALSE),IF(_xlpm.x="","",_xlpm.x))</f>
        <v>小地图缩略图显示旗标</v>
      </c>
      <c r="D127" s="4" t="str">
        <f>IF(VLOOKUP($B127,spell_header!$B$2:$G$373,3,FALSE)="√","√","")</f>
        <v>√</v>
      </c>
      <c r="E127" s="4" t="str">
        <f>IF(VLOOKUP($B127,spell_header!$B$2:$G$373,4,FALSE)="√","√","")</f>
        <v>√</v>
      </c>
      <c r="F127" t="str">
        <f>_xlfn.LET(_xlpm.x,VLOOKUP($B127,spell_header!$B$2:$G$373,5,FALSE),IF(_xlpm.x="","",_xlpm.x))</f>
        <v/>
      </c>
      <c r="G127">
        <v>157</v>
      </c>
    </row>
    <row r="128" spans="1:7" ht="15" x14ac:dyDescent="0.2">
      <c r="A128">
        <v>126</v>
      </c>
      <c r="B128" s="1" t="s">
        <v>1684</v>
      </c>
      <c r="C128" t="str">
        <f>_xlfn.LET(_xlpm.x,VLOOKUP($B128,spell_header!$B$2:$G$373,2,FALSE),IF(_xlpm.x="","",_xlpm.x))</f>
        <v>需要接收输入事件以保持</v>
      </c>
      <c r="D128" s="4" t="str">
        <f>IF(VLOOKUP($B128,spell_header!$B$2:$G$373,3,FALSE)="√","√","")</f>
        <v>√</v>
      </c>
      <c r="E128" s="4" t="str">
        <f>IF(VLOOKUP($B128,spell_header!$B$2:$G$373,4,FALSE)="√","√","")</f>
        <v>√</v>
      </c>
      <c r="F128" t="b">
        <f>_xlfn.LET(_xlpm.x,VLOOKUP($B128,spell_header!$B$2:$G$373,5,FALSE),IF(_xlpm.x="","",_xlpm.x))</f>
        <v>0</v>
      </c>
      <c r="G128">
        <v>130</v>
      </c>
    </row>
    <row r="129" spans="1:7" ht="15" x14ac:dyDescent="0.2">
      <c r="A129">
        <v>127</v>
      </c>
      <c r="B129" s="1" t="s">
        <v>1685</v>
      </c>
      <c r="C129" t="str">
        <f>_xlfn.LET(_xlpm.x,VLOOKUP($B129,spell_header!$B$2:$G$373,2,FALSE),IF(_xlpm.x="","",_xlpm.x))</f>
        <v>施法范围</v>
      </c>
      <c r="D129" s="4" t="str">
        <f>IF(VLOOKUP($B129,spell_header!$B$2:$G$373,3,FALSE)="√","√","")</f>
        <v>√</v>
      </c>
      <c r="E129" s="4" t="str">
        <f>IF(VLOOKUP($B129,spell_header!$B$2:$G$373,4,FALSE)="√","√","")</f>
        <v>√</v>
      </c>
      <c r="F129" t="str">
        <f>_xlfn.LET(_xlpm.x,VLOOKUP($B129,spell_header!$B$2:$G$373,5,FALSE),IF(_xlpm.x="","",_xlpm.x))</f>
        <v/>
      </c>
      <c r="G129">
        <v>50</v>
      </c>
    </row>
    <row r="130" spans="1:7" ht="15" x14ac:dyDescent="0.2">
      <c r="A130">
        <v>128</v>
      </c>
      <c r="B130" s="1" t="s">
        <v>1686</v>
      </c>
      <c r="C130" t="str">
        <f>_xlfn.LET(_xlpm.x,VLOOKUP($B130,spell_header!$B$2:$G$373,2,FALSE),IF(_xlpm.x="","",_xlpm.x))</f>
        <v>显示施法范围</v>
      </c>
      <c r="D130" s="4" t="str">
        <f>IF(VLOOKUP($B130,spell_header!$B$2:$G$373,3,FALSE)="√","√","")</f>
        <v>√</v>
      </c>
      <c r="E130" s="4" t="str">
        <f>IF(VLOOKUP($B130,spell_header!$B$2:$G$373,4,FALSE)="√","√","")</f>
        <v>√</v>
      </c>
      <c r="F130" t="str">
        <f>_xlfn.LET(_xlpm.x,VLOOKUP($B130,spell_header!$B$2:$G$373,5,FALSE),IF(_xlpm.x="","",_xlpm.x))</f>
        <v/>
      </c>
      <c r="G130">
        <v>53</v>
      </c>
    </row>
    <row r="131" spans="1:7" ht="15" x14ac:dyDescent="0.2">
      <c r="A131">
        <v>129</v>
      </c>
      <c r="B131" s="1" t="s">
        <v>1687</v>
      </c>
      <c r="C131" t="str">
        <f>_xlfn.LET(_xlpm.x,VLOOKUP($B131,spell_header!$B$2:$G$373,2,FALSE),IF(_xlpm.x="","",_xlpm.x))</f>
        <v>施法半径</v>
      </c>
      <c r="D131" s="4" t="str">
        <f>IF(VLOOKUP($B131,spell_header!$B$2:$G$373,3,FALSE)="√","√","")</f>
        <v>√</v>
      </c>
      <c r="E131" s="4" t="str">
        <f>IF(VLOOKUP($B131,spell_header!$B$2:$G$373,4,FALSE)="√","√","")</f>
        <v>√</v>
      </c>
      <c r="F131" t="str">
        <f>_xlfn.LET(_xlpm.x,VLOOKUP($B131,spell_header!$B$2:$G$373,5,FALSE),IF(_xlpm.x="","",_xlpm.x))</f>
        <v/>
      </c>
      <c r="G131">
        <v>58</v>
      </c>
    </row>
    <row r="132" spans="1:7" ht="15" x14ac:dyDescent="0.2">
      <c r="A132">
        <v>130</v>
      </c>
      <c r="B132" s="1" t="s">
        <v>1688</v>
      </c>
      <c r="C132" t="str">
        <f>_xlfn.LET(_xlpm.x,VLOOKUP($B132,spell_header!$B$2:$G$373,2,FALSE),IF(_xlpm.x="","",_xlpm.x))</f>
        <v>次要施法半径</v>
      </c>
      <c r="D132" s="4" t="str">
        <f>IF(VLOOKUP($B132,spell_header!$B$2:$G$373,3,FALSE)="√","√","")</f>
        <v>√</v>
      </c>
      <c r="E132" s="4" t="str">
        <f>IF(VLOOKUP($B132,spell_header!$B$2:$G$373,4,FALSE)="√","√","")</f>
        <v>√</v>
      </c>
      <c r="F132" t="str">
        <f>_xlfn.LET(_xlpm.x,VLOOKUP($B132,spell_header!$B$2:$G$373,5,FALSE),IF(_xlpm.x="","",_xlpm.x))</f>
        <v/>
      </c>
      <c r="G132">
        <v>59</v>
      </c>
    </row>
    <row r="133" spans="1:7" ht="15" x14ac:dyDescent="0.2">
      <c r="A133">
        <v>131</v>
      </c>
      <c r="B133" s="1" t="s">
        <v>1689</v>
      </c>
      <c r="C133" t="str">
        <f>_xlfn.LET(_xlpm.x,VLOOKUP($B133,spell_header!$B$2:$G$373,2,FALSE),IF(_xlpm.x="","",_xlpm.x))</f>
        <v>施法锥角度</v>
      </c>
      <c r="D133" s="4" t="str">
        <f>IF(VLOOKUP($B133,spell_header!$B$2:$G$373,3,FALSE)="√","√","")</f>
        <v>√</v>
      </c>
      <c r="E133" s="4" t="str">
        <f>IF(VLOOKUP($B133,spell_header!$B$2:$G$373,4,FALSE)="√","√","")</f>
        <v>√</v>
      </c>
      <c r="F133" t="str">
        <f>_xlfn.LET(_xlpm.x,VLOOKUP($B133,spell_header!$B$2:$G$373,5,FALSE),IF(_xlpm.x="","",_xlpm.x))</f>
        <v/>
      </c>
      <c r="G133">
        <v>63</v>
      </c>
    </row>
    <row r="134" spans="1:7" ht="15" x14ac:dyDescent="0.2">
      <c r="A134">
        <v>132</v>
      </c>
      <c r="B134" s="1" t="s">
        <v>1690</v>
      </c>
      <c r="C134" t="str">
        <f>_xlfn.LET(_xlpm.x,VLOOKUP($B134,spell_header!$B$2:$G$373,2,FALSE),IF(_xlpm.x="","",_xlpm.x))</f>
        <v>施法锥距离</v>
      </c>
      <c r="D134" s="4" t="str">
        <f>IF(VLOOKUP($B134,spell_header!$B$2:$G$373,3,FALSE)="√","√","")</f>
        <v>√</v>
      </c>
      <c r="E134" s="4" t="str">
        <f>IF(VLOOKUP($B134,spell_header!$B$2:$G$373,4,FALSE)="√","√","")</f>
        <v>√</v>
      </c>
      <c r="F134" t="str">
        <f>_xlfn.LET(_xlpm.x,VLOOKUP($B134,spell_header!$B$2:$G$373,5,FALSE),IF(_xlpm.x="","",_xlpm.x))</f>
        <v/>
      </c>
      <c r="G134">
        <v>64</v>
      </c>
    </row>
    <row r="135" spans="1:7" ht="15" x14ac:dyDescent="0.2">
      <c r="A135">
        <v>133</v>
      </c>
      <c r="B135" s="1" t="s">
        <v>1691</v>
      </c>
      <c r="C135" t="str">
        <f>_xlfn.LET(_xlpm.x,VLOOKUP($B135,spell_header!$B$2:$G$373,2,FALSE),IF(_xlpm.x="","",_xlpm.x))</f>
        <v>施法物体作用半径</v>
      </c>
      <c r="D135" s="4" t="str">
        <f>IF(VLOOKUP($B135,spell_header!$B$2:$G$373,3,FALSE)="√","√","")</f>
        <v>√</v>
      </c>
      <c r="E135" s="4" t="str">
        <f>IF(VLOOKUP($B135,spell_header!$B$2:$G$373,4,FALSE)="√","√","")</f>
        <v>√</v>
      </c>
      <c r="F135" t="str">
        <f>_xlfn.LET(_xlpm.x,VLOOKUP($B135,spell_header!$B$2:$G$373,5,FALSE),IF(_xlpm.x="","",_xlpm.x))</f>
        <v/>
      </c>
      <c r="G135">
        <v>65</v>
      </c>
    </row>
    <row r="136" spans="1:7" ht="15" x14ac:dyDescent="0.2">
      <c r="A136">
        <v>134</v>
      </c>
      <c r="B136" s="1" t="s">
        <v>3760</v>
      </c>
      <c r="C136" t="str">
        <f>_xlfn.LET(_xlpm.x,VLOOKUP($B136,spell_header!$B$2:$G$373,2,FALSE),IF(_xlpm.x="","",_xlpm.x))</f>
        <v>施法范围值</v>
      </c>
      <c r="D136" s="4" t="str">
        <f>IF(VLOOKUP($B136,spell_header!$B$2:$G$373,3,FALSE)="√","√","")</f>
        <v>√</v>
      </c>
      <c r="E136" s="4" t="str">
        <f>IF(VLOOKUP($B136,spell_header!$B$2:$G$373,4,FALSE)="√","√","")</f>
        <v/>
      </c>
      <c r="F136" t="str">
        <f>_xlfn.LET(_xlpm.x,VLOOKUP($B136,spell_header!$B$2:$G$373,5,FALSE),IF(_xlpm.x="","",_xlpm.x))</f>
        <v/>
      </c>
      <c r="G136">
        <v>51</v>
      </c>
    </row>
    <row r="137" spans="1:7" ht="15" x14ac:dyDescent="0.2">
      <c r="A137">
        <v>135</v>
      </c>
      <c r="B137" s="1" t="s">
        <v>3762</v>
      </c>
      <c r="C137" t="str">
        <f>_xlfn.LET(_xlpm.x,VLOOKUP($B137,spell_header!$B$2:$G$373,2,FALSE),IF(_xlpm.x="","",_xlpm.x))</f>
        <v>施法范围值简化表示</v>
      </c>
      <c r="D137" s="4" t="str">
        <f>IF(VLOOKUP($B137,spell_header!$B$2:$G$373,3,FALSE)="√","√","")</f>
        <v>√</v>
      </c>
      <c r="E137" s="4" t="str">
        <f>IF(VLOOKUP($B137,spell_header!$B$2:$G$373,4,FALSE)="√","√","")</f>
        <v>√</v>
      </c>
      <c r="F137" t="str">
        <f>_xlfn.LET(_xlpm.x,VLOOKUP($B137,spell_header!$B$2:$G$373,5,FALSE),IF(_xlpm.x="","",_xlpm.x))</f>
        <v/>
      </c>
      <c r="G137">
        <v>52</v>
      </c>
    </row>
    <row r="138" spans="1:7" ht="15" x14ac:dyDescent="0.2">
      <c r="A138">
        <v>136</v>
      </c>
      <c r="B138" s="1" t="s">
        <v>1692</v>
      </c>
      <c r="C138" t="str">
        <f>_xlfn.LET(_xlpm.x,VLOOKUP($B138,spell_header!$B$2:$G$373,2,FALSE),IF(_xlpm.x="","",_xlpm.x))</f>
        <v>Lua脚本更新导弹距离间隔</v>
      </c>
      <c r="D138" s="4" t="str">
        <f>IF(VLOOKUP($B138,spell_header!$B$2:$G$373,3,FALSE)="√","√","")</f>
        <v>√</v>
      </c>
      <c r="E138" s="4" t="str">
        <f>IF(VLOOKUP($B138,spell_header!$B$2:$G$373,4,FALSE)="√","√","")</f>
        <v>√</v>
      </c>
      <c r="F138" t="str">
        <f>_xlfn.LET(_xlpm.x,VLOOKUP($B138,spell_header!$B$2:$G$373,5,FALSE),IF(_xlpm.x="","",_xlpm.x))</f>
        <v/>
      </c>
      <c r="G138">
        <v>158</v>
      </c>
    </row>
    <row r="139" spans="1:7" ht="15" x14ac:dyDescent="0.2">
      <c r="A139">
        <v>137</v>
      </c>
      <c r="B139" s="1" t="s">
        <v>1847</v>
      </c>
      <c r="C139" t="str">
        <f>_xlfn.LET(_xlpm.x,VLOOKUP($B139,spell_header!$B$2:$G$373,2,FALSE),IF(_xlpm.x="","",_xlpm.x))</f>
        <v>弹体宽度</v>
      </c>
      <c r="D139" s="4" t="str">
        <f>IF(VLOOKUP($B139,spell_header!$B$2:$G$373,3,FALSE)="√","√","")</f>
        <v>√</v>
      </c>
      <c r="E139" s="4" t="str">
        <f>IF(VLOOKUP($B139,spell_header!$B$2:$G$373,4,FALSE)="√","√","")</f>
        <v>√</v>
      </c>
      <c r="F139" t="str">
        <f>_xlfn.LET(_xlpm.x,VLOOKUP($B139,spell_header!$B$2:$G$373,5,FALSE),IF(_xlpm.x="","",_xlpm.x))</f>
        <v/>
      </c>
      <c r="G139">
        <v>296</v>
      </c>
    </row>
    <row r="140" spans="1:7" ht="15" x14ac:dyDescent="0.2">
      <c r="A140">
        <v>138</v>
      </c>
      <c r="B140" s="1" t="s">
        <v>1851</v>
      </c>
      <c r="C140" t="str">
        <f>_xlfn.LET(_xlpm.x,VLOOKUP($B140,spell_header!$B$2:$G$373,2,FALSE),IF(_xlpm.x="","",_xlpm.x))</f>
        <v>弹体移动要素：在目标位置使用高度偏移</v>
      </c>
      <c r="D140" s="4" t="str">
        <f>IF(VLOOKUP($B140,spell_header!$B$2:$G$373,3,FALSE)="√","√","")</f>
        <v>√</v>
      </c>
      <c r="E140" s="4" t="str">
        <f>IF(VLOOKUP($B140,spell_header!$B$2:$G$373,4,FALSE)="√","√","")</f>
        <v>√</v>
      </c>
      <c r="F140" t="b">
        <f>_xlfn.LET(_xlpm.x,VLOOKUP($B140,spell_header!$B$2:$G$373,5,FALSE),IF(_xlpm.x="","",_xlpm.x))</f>
        <v>0</v>
      </c>
      <c r="G140">
        <v>302</v>
      </c>
    </row>
    <row r="141" spans="1:7" ht="15" x14ac:dyDescent="0.2">
      <c r="A141">
        <v>139</v>
      </c>
      <c r="B141" s="1" t="s">
        <v>1852</v>
      </c>
      <c r="C141" t="str">
        <f>_xlfn.LET(_xlpm.x,VLOOKUP($B141,spell_header!$B$2:$G$373,2,FALSE),IF(_xlpm.x="","",_xlpm.x))</f>
        <v>弹体移动要素：视觉效果追踪隐形目标</v>
      </c>
      <c r="D141" s="4" t="str">
        <f>IF(VLOOKUP($B141,spell_header!$B$2:$G$373,3,FALSE)="√","√","")</f>
        <v>√</v>
      </c>
      <c r="E141" s="4" t="str">
        <f>IF(VLOOKUP($B141,spell_header!$B$2:$G$373,4,FALSE)="√","√","")</f>
        <v>√</v>
      </c>
      <c r="F141" t="b">
        <f>_xlfn.LET(_xlpm.x,VLOOKUP($B141,spell_header!$B$2:$G$373,5,FALSE),IF(_xlpm.x="","",_xlpm.x))</f>
        <v>0</v>
      </c>
      <c r="G141">
        <v>299</v>
      </c>
    </row>
    <row r="142" spans="1:7" ht="15" x14ac:dyDescent="0.2">
      <c r="A142">
        <v>140</v>
      </c>
      <c r="B142" s="1" t="s">
        <v>1853</v>
      </c>
      <c r="C142" t="str">
        <f>_xlfn.LET(_xlpm.x,VLOOKUP($B142,spell_header!$B$2:$G$373,2,FALSE),IF(_xlpm.x="","",_xlpm.x))</f>
        <v/>
      </c>
      <c r="D142" s="4" t="str">
        <f>IF(VLOOKUP($B142,spell_header!$B$2:$G$373,3,FALSE)="√","√","")</f>
        <v>√</v>
      </c>
      <c r="E142" s="4" t="str">
        <f>IF(VLOOKUP($B142,spell_header!$B$2:$G$373,4,FALSE)="√","√","")</f>
        <v>√</v>
      </c>
      <c r="F142" t="b">
        <f>_xlfn.LET(_xlpm.x,VLOOKUP($B142,spell_header!$B$2:$G$373,5,FALSE),IF(_xlpm.x="","",_xlpm.x))</f>
        <v>0</v>
      </c>
      <c r="G142">
        <v>303</v>
      </c>
    </row>
    <row r="143" spans="1:7" ht="15" x14ac:dyDescent="0.2">
      <c r="A143">
        <v>141</v>
      </c>
      <c r="B143" s="1" t="s">
        <v>1854</v>
      </c>
      <c r="C143" t="str">
        <f>_xlfn.LET(_xlpm.x,VLOOKUP($B143,spell_header!$B$2:$G$373,2,FALSE),IF(_xlpm.x="","",_xlpm.x))</f>
        <v>弹体移动要素：追踪目标</v>
      </c>
      <c r="D143" s="4" t="str">
        <f>IF(VLOOKUP($B143,spell_header!$B$2:$G$373,3,FALSE)="√","√","")</f>
        <v>√</v>
      </c>
      <c r="E143" s="4" t="str">
        <f>IF(VLOOKUP($B143,spell_header!$B$2:$G$373,4,FALSE)="√","√","")</f>
        <v>√</v>
      </c>
      <c r="F143" t="b">
        <f>_xlfn.LET(_xlpm.x,VLOOKUP($B143,spell_header!$B$2:$G$373,5,FALSE),IF(_xlpm.x="","",_xlpm.x))</f>
        <v>1</v>
      </c>
      <c r="G143">
        <v>298</v>
      </c>
    </row>
    <row r="144" spans="1:7" ht="15" x14ac:dyDescent="0.2">
      <c r="A144">
        <v>142</v>
      </c>
      <c r="B144" s="1" t="s">
        <v>1855</v>
      </c>
      <c r="C144" t="str">
        <f>_xlfn.LET(_xlpm.x,VLOOKUP($B144,spell_header!$B$2:$G$373,2,FALSE),IF(_xlpm.x="","",_xlpm.x))</f>
        <v>弹体移动要素：目标高度调整值</v>
      </c>
      <c r="D144" s="4" t="str">
        <f>IF(VLOOKUP($B144,spell_header!$B$2:$G$373,3,FALSE)="√","√","")</f>
        <v>√</v>
      </c>
      <c r="E144" s="4" t="str">
        <f>IF(VLOOKUP($B144,spell_header!$B$2:$G$373,4,FALSE)="√","√","")</f>
        <v>√</v>
      </c>
      <c r="F144" t="str">
        <f>_xlfn.LET(_xlpm.x,VLOOKUP($B144,spell_header!$B$2:$G$373,5,FALSE),IF(_xlpm.x="","",_xlpm.x))</f>
        <v/>
      </c>
      <c r="G144">
        <v>300</v>
      </c>
    </row>
    <row r="145" spans="1:7" ht="15" x14ac:dyDescent="0.2">
      <c r="A145">
        <v>143</v>
      </c>
      <c r="B145" s="1" t="s">
        <v>1856</v>
      </c>
      <c r="C145" t="str">
        <f>_xlfn.LET(_xlpm.x,VLOOKUP($B145,spell_header!$B$2:$G$373,2,FALSE),IF(_xlpm.x="","",_xlpm.x))</f>
        <v>弹体移动要素：初始目标高度偏移量</v>
      </c>
      <c r="D145" s="4" t="str">
        <f>IF(VLOOKUP($B145,spell_header!$B$2:$G$373,3,FALSE)="√","√","")</f>
        <v>√</v>
      </c>
      <c r="E145" s="4" t="str">
        <f>IF(VLOOKUP($B145,spell_header!$B$2:$G$373,4,FALSE)="√","√","")</f>
        <v>√</v>
      </c>
      <c r="F145" t="str">
        <f>_xlfn.LET(_xlpm.x,VLOOKUP($B145,spell_header!$B$2:$G$373,5,FALSE),IF(_xlpm.x="","",_xlpm.x))</f>
        <v/>
      </c>
      <c r="G145">
        <v>301</v>
      </c>
    </row>
    <row r="146" spans="1:7" ht="15" x14ac:dyDescent="0.2">
      <c r="A146">
        <v>144</v>
      </c>
      <c r="B146" s="1" t="s">
        <v>1857</v>
      </c>
      <c r="C146" t="str">
        <f>_xlfn.LET(_xlpm.x,VLOOKUP($B146,spell_header!$B$2:$G$373,2,FALSE),IF(_xlpm.x="","",_xlpm.x))</f>
        <v>弹体移动要素：起始骨骼名称</v>
      </c>
      <c r="D146" s="4" t="str">
        <f>IF(VLOOKUP($B146,spell_header!$B$2:$G$373,3,FALSE)="√","√","")</f>
        <v>√</v>
      </c>
      <c r="E146" s="4" t="str">
        <f>IF(VLOOKUP($B146,spell_header!$B$2:$G$373,4,FALSE)="√","√","")</f>
        <v>√</v>
      </c>
      <c r="F146" t="str">
        <f>_xlfn.LET(_xlpm.x,VLOOKUP($B146,spell_header!$B$2:$G$373,5,FALSE),IF(_xlpm.x="","",_xlpm.x))</f>
        <v/>
      </c>
      <c r="G146">
        <v>306</v>
      </c>
    </row>
    <row r="147" spans="1:7" ht="15" x14ac:dyDescent="0.2">
      <c r="A147">
        <v>145</v>
      </c>
      <c r="B147" s="1" t="s">
        <v>1858</v>
      </c>
      <c r="C147" t="str">
        <f>_xlfn.LET(_xlpm.x,VLOOKUP($B147,spell_header!$B$2:$G$373,2,FALSE),IF(_xlpm.x="","",_xlpm.x))</f>
        <v>弹体移动要素：皮肤覆盖起始骨骼名称</v>
      </c>
      <c r="D147" s="4" t="str">
        <f>IF(VLOOKUP($B147,spell_header!$B$2:$G$373,3,FALSE)="√","√","")</f>
        <v>√</v>
      </c>
      <c r="E147" s="4" t="str">
        <f>IF(VLOOKUP($B147,spell_header!$B$2:$G$373,4,FALSE)="√","√","")</f>
        <v>√</v>
      </c>
      <c r="F147" t="str">
        <f>_xlfn.LET(_xlpm.x,VLOOKUP($B147,spell_header!$B$2:$G$373,5,FALSE),IF(_xlpm.x="","",_xlpm.x))</f>
        <v/>
      </c>
      <c r="G147">
        <v>307</v>
      </c>
    </row>
    <row r="148" spans="1:7" ht="15" x14ac:dyDescent="0.2">
      <c r="A148">
        <v>146</v>
      </c>
      <c r="B148" s="1" t="s">
        <v>3731</v>
      </c>
      <c r="C148" t="str">
        <f>_xlfn.LET(_xlpm.x,VLOOKUP($B148,spell_header!$B$2:$G$373,2,FALSE),IF(_xlpm.x="","",_xlpm.x))</f>
        <v>弹体移动要素：起始延迟</v>
      </c>
      <c r="D148" s="4" t="str">
        <f>IF(VLOOKUP($B148,spell_header!$B$2:$G$373,3,FALSE)="√","√","")</f>
        <v>√</v>
      </c>
      <c r="E148" s="4" t="str">
        <f>IF(VLOOKUP($B148,spell_header!$B$2:$G$373,4,FALSE)="√","√","")</f>
        <v>√</v>
      </c>
      <c r="F148" t="str">
        <f>_xlfn.LET(_xlpm.x,VLOOKUP($B148,spell_header!$B$2:$G$373,5,FALSE),IF(_xlpm.x="","",_xlpm.x))</f>
        <v/>
      </c>
      <c r="G148">
        <v>314</v>
      </c>
    </row>
    <row r="149" spans="1:7" ht="15" x14ac:dyDescent="0.2">
      <c r="A149">
        <v>147</v>
      </c>
      <c r="B149" s="1" t="s">
        <v>1859</v>
      </c>
      <c r="C149" t="str">
        <f>_xlfn.LET(_xlpm.x,VLOOKUP($B149,spell_header!$B$2:$G$373,2,FALSE),IF(_xlpm.x="","",_xlpm.x))</f>
        <v>弹体移动要素：目标骨骼名称</v>
      </c>
      <c r="D149" s="4" t="str">
        <f>IF(VLOOKUP($B149,spell_header!$B$2:$G$373,3,FALSE)="√","√","")</f>
        <v>√</v>
      </c>
      <c r="E149" s="4" t="str">
        <f>IF(VLOOKUP($B149,spell_header!$B$2:$G$373,4,FALSE)="√","√","")</f>
        <v>√</v>
      </c>
      <c r="F149" t="str">
        <f>_xlfn.LET(_xlpm.x,VLOOKUP($B149,spell_header!$B$2:$G$373,5,FALSE),IF(_xlpm.x="","",_xlpm.x))</f>
        <v/>
      </c>
      <c r="G149">
        <v>308</v>
      </c>
    </row>
    <row r="150" spans="1:7" ht="15" x14ac:dyDescent="0.2">
      <c r="A150">
        <v>148</v>
      </c>
      <c r="B150" s="1" t="s">
        <v>1860</v>
      </c>
      <c r="C150" t="str">
        <f>_xlfn.LET(_xlpm.x,VLOOKUP($B150,spell_header!$B$2:$G$373,2,FALSE),IF(_xlpm.x="","",_xlpm.x))</f>
        <v>弹体移动要素：需要时从面向推断移动方向</v>
      </c>
      <c r="D150" s="4" t="str">
        <f>IF(VLOOKUP($B150,spell_header!$B$2:$G$373,3,FALSE)="√","√","")</f>
        <v>√</v>
      </c>
      <c r="E150" s="4" t="str">
        <f>IF(VLOOKUP($B150,spell_header!$B$2:$G$373,4,FALSE)="√","√","")</f>
        <v>√</v>
      </c>
      <c r="F150" t="b">
        <f>_xlfn.LET(_xlpm.x,VLOOKUP($B150,spell_header!$B$2:$G$373,5,FALSE),IF(_xlpm.x="","",_xlpm.x))</f>
        <v>1</v>
      </c>
      <c r="G150">
        <v>309</v>
      </c>
    </row>
    <row r="151" spans="1:7" ht="15" x14ac:dyDescent="0.2">
      <c r="A151">
        <v>149</v>
      </c>
      <c r="B151" s="1" t="s">
        <v>1861</v>
      </c>
      <c r="C151" t="str">
        <f>_xlfn.LET(_xlpm.x,VLOOKUP($B151,spell_header!$B$2:$G$373,2,FALSE),IF(_xlpm.x="","",_xlpm.x))</f>
        <v>弹体移动要素：将弹体投射到施法范围内</v>
      </c>
      <c r="D151" s="4" t="str">
        <f>IF(VLOOKUP($B151,spell_header!$B$2:$G$373,3,FALSE)="√","√","")</f>
        <v>√</v>
      </c>
      <c r="E151" s="4" t="str">
        <f>IF(VLOOKUP($B151,spell_header!$B$2:$G$373,4,FALSE)="√","√","")</f>
        <v>√</v>
      </c>
      <c r="F151" t="b">
        <f>_xlfn.LET(_xlpm.x,VLOOKUP($B151,spell_header!$B$2:$G$373,5,FALSE),IF(_xlpm.x="","",_xlpm.x))</f>
        <v>0</v>
      </c>
      <c r="G151">
        <v>310</v>
      </c>
    </row>
    <row r="152" spans="1:7" ht="15" x14ac:dyDescent="0.2">
      <c r="A152">
        <v>150</v>
      </c>
      <c r="B152" s="1" t="s">
        <v>1862</v>
      </c>
      <c r="C152" t="str">
        <f>_xlfn.LET(_xlpm.x,VLOOKUP($B152,spell_header!$B$2:$G$373,2,FALSE),IF(_xlpm.x="","",_xlpm.x))</f>
        <v>弹体移动要素：基于额外攻击距离提升施法距离</v>
      </c>
      <c r="D152" s="4" t="str">
        <f>IF(VLOOKUP($B152,spell_header!$B$2:$G$373,3,FALSE)="√","√","")</f>
        <v>√</v>
      </c>
      <c r="E152" s="4" t="str">
        <f>IF(VLOOKUP($B152,spell_header!$B$2:$G$373,4,FALSE)="√","√","")</f>
        <v>√</v>
      </c>
      <c r="F152" t="b">
        <f>_xlfn.LET(_xlpm.x,VLOOKUP($B152,spell_header!$B$2:$G$373,5,FALSE),IF(_xlpm.x="","",_xlpm.x))</f>
        <v>0</v>
      </c>
      <c r="G152">
        <v>311</v>
      </c>
    </row>
    <row r="153" spans="1:7" ht="15" x14ac:dyDescent="0.2">
      <c r="A153">
        <v>151</v>
      </c>
      <c r="B153" s="1" t="s">
        <v>1887</v>
      </c>
      <c r="C153" t="str">
        <f>_xlfn.LET(_xlpm.x,VLOOKUP($B153,spell_header!$B$2:$G$373,2,FALSE),IF(_xlpm.x="","",_xlpm.x))</f>
        <v>弹体移动要素：基于等级的转向半径</v>
      </c>
      <c r="D153" s="4" t="str">
        <f>IF(VLOOKUP($B153,spell_header!$B$2:$G$373,3,FALSE)="√","√","")</f>
        <v>√</v>
      </c>
      <c r="E153" s="4" t="str">
        <f>IF(VLOOKUP($B153,spell_header!$B$2:$G$373,4,FALSE)="√","√","")</f>
        <v>√</v>
      </c>
      <c r="F153" t="str">
        <f>_xlfn.LET(_xlpm.x,VLOOKUP($B153,spell_header!$B$2:$G$373,5,FALSE),IF(_xlpm.x="","",_xlpm.x))</f>
        <v/>
      </c>
      <c r="G153">
        <v>312</v>
      </c>
    </row>
    <row r="154" spans="1:7" ht="15" x14ac:dyDescent="0.2">
      <c r="A154">
        <v>152</v>
      </c>
      <c r="B154" s="1" t="s">
        <v>1863</v>
      </c>
      <c r="C154" t="str">
        <f>_xlfn.LET(_xlpm.x,VLOOKUP($B154,spell_header!$B$2:$G$373,2,FALSE),IF(_xlpm.x="","",_xlpm.x))</f>
        <v>弹体移动要素：在目标位置使用地面高度</v>
      </c>
      <c r="D154" s="4" t="str">
        <f>IF(VLOOKUP($B154,spell_header!$B$2:$G$373,3,FALSE)="√","√","")</f>
        <v>√</v>
      </c>
      <c r="E154" s="4" t="str">
        <f>IF(VLOOKUP($B154,spell_header!$B$2:$G$373,4,FALSE)="√","√","")</f>
        <v>√</v>
      </c>
      <c r="F154" t="b">
        <f>_xlfn.LET(_xlpm.x,VLOOKUP($B154,spell_header!$B$2:$G$373,5,FALSE),IF(_xlpm.x="","",_xlpm.x))</f>
        <v>1</v>
      </c>
      <c r="G154">
        <v>313</v>
      </c>
    </row>
    <row r="155" spans="1:7" ht="15" x14ac:dyDescent="0.2">
      <c r="A155">
        <v>153</v>
      </c>
      <c r="B155" s="1" t="s">
        <v>1921</v>
      </c>
      <c r="C155" t="str">
        <f>_xlfn.LET(_xlpm.x,VLOOKUP($B155,spell_header!$B$2:$G$373,2,FALSE),IF(_xlpm.x="","",_xlpm.x))</f>
        <v>弹体移动要素：样条曲线信息：起始位置偏移量</v>
      </c>
      <c r="D155" s="4" t="str">
        <f>IF(VLOOKUP($B155,spell_header!$B$2:$G$373,3,FALSE)="√","√","")</f>
        <v>√</v>
      </c>
      <c r="E155" s="4" t="str">
        <f>IF(VLOOKUP($B155,spell_header!$B$2:$G$373,4,FALSE)="√","√","")</f>
        <v>√</v>
      </c>
      <c r="F155" t="str">
        <f>_xlfn.LET(_xlpm.x,VLOOKUP($B155,spell_header!$B$2:$G$373,5,FALSE),IF(_xlpm.x="","",_xlpm.x))</f>
        <v/>
      </c>
      <c r="G155">
        <v>315</v>
      </c>
    </row>
    <row r="156" spans="1:7" ht="15" x14ac:dyDescent="0.2">
      <c r="A156">
        <v>154</v>
      </c>
      <c r="B156" s="1" t="s">
        <v>1922</v>
      </c>
      <c r="C156" t="str">
        <f>_xlfn.LET(_xlpm.x,VLOOKUP($B156,spell_header!$B$2:$G$373,2,FALSE),IF(_xlpm.x="","",_xlpm.x))</f>
        <v>弹体移动要素：样条曲线信息：使用弹体当前位置作为曲线原点</v>
      </c>
      <c r="D156" s="4" t="str">
        <f>IF(VLOOKUP($B156,spell_header!$B$2:$G$373,3,FALSE)="√","√","")</f>
        <v>√</v>
      </c>
      <c r="E156" s="4" t="str">
        <f>IF(VLOOKUP($B156,spell_header!$B$2:$G$373,4,FALSE)="√","√","")</f>
        <v>√</v>
      </c>
      <c r="F156" t="b">
        <f>_xlfn.LET(_xlpm.x,VLOOKUP($B156,spell_header!$B$2:$G$373,5,FALSE),IF(_xlpm.x="","",_xlpm.x))</f>
        <v>0</v>
      </c>
      <c r="G156">
        <v>316</v>
      </c>
    </row>
    <row r="157" spans="1:7" ht="15" x14ac:dyDescent="0.2">
      <c r="A157">
        <v>155</v>
      </c>
      <c r="B157" s="1" t="s">
        <v>1923</v>
      </c>
      <c r="C157" t="str">
        <f>_xlfn.LET(_xlpm.x,VLOOKUP($B157,spell_header!$B$2:$G$373,2,FALSE),IF(_xlpm.x="","",_xlpm.x))</f>
        <v>弹体移动要素：样条曲线信息：控制点1</v>
      </c>
      <c r="D157" s="4" t="str">
        <f>IF(VLOOKUP($B157,spell_header!$B$2:$G$373,3,FALSE)="√","√","")</f>
        <v>√</v>
      </c>
      <c r="E157" s="4" t="str">
        <f>IF(VLOOKUP($B157,spell_header!$B$2:$G$373,4,FALSE)="√","√","")</f>
        <v/>
      </c>
      <c r="F157" t="str">
        <f>_xlfn.LET(_xlpm.x,VLOOKUP($B157,spell_header!$B$2:$G$373,5,FALSE),IF(_xlpm.x="","",_xlpm.x))</f>
        <v/>
      </c>
      <c r="G157">
        <v>317</v>
      </c>
    </row>
    <row r="158" spans="1:7" ht="15" x14ac:dyDescent="0.2">
      <c r="A158">
        <v>156</v>
      </c>
      <c r="B158" s="1" t="s">
        <v>1924</v>
      </c>
      <c r="C158" t="str">
        <f>_xlfn.LET(_xlpm.x,VLOOKUP($B158,spell_header!$B$2:$G$373,2,FALSE),IF(_xlpm.x="","",_xlpm.x))</f>
        <v>弹体移动要素：样条曲线信息：控制点2</v>
      </c>
      <c r="D158" s="4" t="str">
        <f>IF(VLOOKUP($B158,spell_header!$B$2:$G$373,3,FALSE)="√","√","")</f>
        <v>√</v>
      </c>
      <c r="E158" s="4" t="str">
        <f>IF(VLOOKUP($B158,spell_header!$B$2:$G$373,4,FALSE)="√","√","")</f>
        <v/>
      </c>
      <c r="F158" t="str">
        <f>_xlfn.LET(_xlpm.x,VLOOKUP($B158,spell_header!$B$2:$G$373,5,FALSE),IF(_xlpm.x="","",_xlpm.x))</f>
        <v/>
      </c>
      <c r="G158">
        <v>318</v>
      </c>
    </row>
    <row r="159" spans="1:7" ht="15" x14ac:dyDescent="0.2">
      <c r="A159">
        <v>157</v>
      </c>
      <c r="B159" s="1" t="s">
        <v>1925</v>
      </c>
      <c r="C159" t="str">
        <f>_xlfn.LET(_xlpm.x,VLOOKUP($B159,spell_header!$B$2:$G$373,2,FALSE),IF(_xlpm.x="","",_xlpm.x))</f>
        <v>弹体移动要素：样条曲线信息：曲线类型</v>
      </c>
      <c r="D159" s="4" t="str">
        <f>IF(VLOOKUP($B159,spell_header!$B$2:$G$373,3,FALSE)="√","√","")</f>
        <v>√</v>
      </c>
      <c r="E159" s="4" t="str">
        <f>IF(VLOOKUP($B159,spell_header!$B$2:$G$373,4,FALSE)="√","√","")</f>
        <v/>
      </c>
      <c r="F159" t="str">
        <f>_xlfn.LET(_xlpm.x,VLOOKUP($B159,spell_header!$B$2:$G$373,5,FALSE),IF(_xlpm.x="","",_xlpm.x))</f>
        <v/>
      </c>
      <c r="G159">
        <v>319</v>
      </c>
    </row>
    <row r="160" spans="1:7" ht="15" x14ac:dyDescent="0.2">
      <c r="A160">
        <v>158</v>
      </c>
      <c r="B160" s="1" t="s">
        <v>3730</v>
      </c>
      <c r="C160" t="str">
        <f>_xlfn.LET(_xlpm.x,VLOOKUP($B160,spell_header!$B$2:$G$373,2,FALSE),IF(_xlpm.x="","",_xlpm.x))</f>
        <v/>
      </c>
      <c r="D160" s="4" t="str">
        <f>IF(VLOOKUP($B160,spell_header!$B$2:$G$373,3,FALSE)="√","√","")</f>
        <v>√</v>
      </c>
      <c r="E160" s="4" t="str">
        <f>IF(VLOOKUP($B160,spell_header!$B$2:$G$373,4,FALSE)="√","√","")</f>
        <v>√</v>
      </c>
      <c r="F160" t="str">
        <f>_xlfn.LET(_xlpm.x,VLOOKUP($B160,spell_header!$B$2:$G$373,5,FALSE),IF(_xlpm.x="","",_xlpm.x))</f>
        <v/>
      </c>
      <c r="G160">
        <v>336</v>
      </c>
    </row>
    <row r="161" spans="1:7" ht="15" x14ac:dyDescent="0.2">
      <c r="A161">
        <v>159</v>
      </c>
      <c r="B161" s="1" t="s">
        <v>1866</v>
      </c>
      <c r="C161" t="str">
        <f>_xlfn.LET(_xlpm.x,VLOOKUP($B161,spell_header!$B$2:$G$373,2,FALSE),IF(_xlpm.x="","",_xlpm.x))</f>
        <v>弹体移动要素：使用弹体当前位置作为原点</v>
      </c>
      <c r="D161" s="4" t="str">
        <f>IF(VLOOKUP($B161,spell_header!$B$2:$G$373,3,FALSE)="√","√","")</f>
        <v>√</v>
      </c>
      <c r="E161" s="4" t="str">
        <f>IF(VLOOKUP($B161,spell_header!$B$2:$G$373,4,FALSE)="√","√","")</f>
        <v>√</v>
      </c>
      <c r="F161" t="b">
        <f>_xlfn.LET(_xlpm.x,VLOOKUP($B161,spell_header!$B$2:$G$373,5,FALSE),IF(_xlpm.x="","",_xlpm.x))</f>
        <v>1</v>
      </c>
      <c r="G161">
        <v>320</v>
      </c>
    </row>
    <row r="162" spans="1:7" ht="15" x14ac:dyDescent="0.2">
      <c r="A162">
        <v>160</v>
      </c>
      <c r="B162" s="1" t="s">
        <v>1864</v>
      </c>
      <c r="C162" t="str">
        <f>_xlfn.LET(_xlpm.x,VLOOKUP($B162,spell_header!$B$2:$G$373,2,FALSE),IF(_xlpm.x="","",_xlpm.x))</f>
        <v>弹体移动要素：移动速度</v>
      </c>
      <c r="D162" s="4" t="str">
        <f>IF(VLOOKUP($B162,spell_header!$B$2:$G$373,3,FALSE)="√","√","")</f>
        <v>√</v>
      </c>
      <c r="E162" s="4" t="str">
        <f>IF(VLOOKUP($B162,spell_header!$B$2:$G$373,4,FALSE)="√","√","")</f>
        <v>√</v>
      </c>
      <c r="F162" t="str">
        <f>_xlfn.LET(_xlpm.x,VLOOKUP($B162,spell_header!$B$2:$G$373,5,FALSE),IF(_xlpm.x="","",_xlpm.x))</f>
        <v/>
      </c>
      <c r="G162">
        <v>321</v>
      </c>
    </row>
    <row r="163" spans="1:7" ht="15" x14ac:dyDescent="0.2">
      <c r="A163">
        <v>161</v>
      </c>
      <c r="B163" s="1" t="s">
        <v>1867</v>
      </c>
      <c r="C163" t="str">
        <f>_xlfn.LET(_xlpm.x,VLOOKUP($B163,spell_header!$B$2:$G$373,2,FALSE),IF(_xlpm.x="","",_xlpm.x))</f>
        <v>弹体移动要素：飞行时间</v>
      </c>
      <c r="D163" s="4" t="str">
        <f>IF(VLOOKUP($B163,spell_header!$B$2:$G$373,3,FALSE)="√","√","")</f>
        <v>√</v>
      </c>
      <c r="E163" s="4" t="str">
        <f>IF(VLOOKUP($B163,spell_header!$B$2:$G$373,4,FALSE)="√","√","")</f>
        <v>√</v>
      </c>
      <c r="F163" t="str">
        <f>_xlfn.LET(_xlpm.x,VLOOKUP($B163,spell_header!$B$2:$G$373,5,FALSE),IF(_xlpm.x="","",_xlpm.x))</f>
        <v/>
      </c>
      <c r="G163">
        <v>322</v>
      </c>
    </row>
    <row r="164" spans="1:7" ht="15" x14ac:dyDescent="0.2">
      <c r="A164">
        <v>162</v>
      </c>
      <c r="B164" s="1" t="s">
        <v>1868</v>
      </c>
      <c r="C164" t="str">
        <f>_xlfn.LET(_xlpm.x,VLOOKUP($B164,spell_header!$B$2:$G$373,2,FALSE),IF(_xlpm.x="","",_xlpm.x))</f>
        <v>弹体移动要素：加速度</v>
      </c>
      <c r="D164" s="4" t="str">
        <f>IF(VLOOKUP($B164,spell_header!$B$2:$G$373,3,FALSE)="√","√","")</f>
        <v>√</v>
      </c>
      <c r="E164" s="4" t="str">
        <f>IF(VLOOKUP($B164,spell_header!$B$2:$G$373,4,FALSE)="√","√","")</f>
        <v>√</v>
      </c>
      <c r="F164" t="str">
        <f>_xlfn.LET(_xlpm.x,VLOOKUP($B164,spell_header!$B$2:$G$373,5,FALSE),IF(_xlpm.x="","",_xlpm.x))</f>
        <v/>
      </c>
      <c r="G164">
        <v>323</v>
      </c>
    </row>
    <row r="165" spans="1:7" ht="15" x14ac:dyDescent="0.2">
      <c r="A165">
        <v>163</v>
      </c>
      <c r="B165" s="1" t="s">
        <v>1869</v>
      </c>
      <c r="C165" t="str">
        <f>_xlfn.LET(_xlpm.x,VLOOKUP($B165,spell_header!$B$2:$G$373,2,FALSE),IF(_xlpm.x="","",_xlpm.x))</f>
        <v>弹体移动要素：最小速度</v>
      </c>
      <c r="D165" s="4" t="str">
        <f>IF(VLOOKUP($B165,spell_header!$B$2:$G$373,3,FALSE)="√","√","")</f>
        <v>√</v>
      </c>
      <c r="E165" s="4" t="str">
        <f>IF(VLOOKUP($B165,spell_header!$B$2:$G$373,4,FALSE)="√","√","")</f>
        <v>√</v>
      </c>
      <c r="F165" t="str">
        <f>_xlfn.LET(_xlpm.x,VLOOKUP($B165,spell_header!$B$2:$G$373,5,FALSE),IF(_xlpm.x="","",_xlpm.x))</f>
        <v/>
      </c>
      <c r="G165">
        <v>324</v>
      </c>
    </row>
    <row r="166" spans="1:7" ht="15" x14ac:dyDescent="0.2">
      <c r="A166">
        <v>164</v>
      </c>
      <c r="B166" s="1" t="s">
        <v>1870</v>
      </c>
      <c r="C166" t="str">
        <f>_xlfn.LET(_xlpm.x,VLOOKUP($B166,spell_header!$B$2:$G$373,2,FALSE),IF(_xlpm.x="","",_xlpm.x))</f>
        <v>弹体移动要素：最大速度</v>
      </c>
      <c r="D166" s="4" t="str">
        <f>IF(VLOOKUP($B166,spell_header!$B$2:$G$373,3,FALSE)="√","√","")</f>
        <v>√</v>
      </c>
      <c r="E166" s="4" t="str">
        <f>IF(VLOOKUP($B166,spell_header!$B$2:$G$373,4,FALSE)="√","√","")</f>
        <v>√</v>
      </c>
      <c r="F166" t="str">
        <f>_xlfn.LET(_xlpm.x,VLOOKUP($B166,spell_header!$B$2:$G$373,5,FALSE),IF(_xlpm.x="","",_xlpm.x))</f>
        <v/>
      </c>
      <c r="G166">
        <v>325</v>
      </c>
    </row>
    <row r="167" spans="1:7" ht="15" x14ac:dyDescent="0.2">
      <c r="A167">
        <v>165</v>
      </c>
      <c r="B167" s="1" t="s">
        <v>1871</v>
      </c>
      <c r="C167" t="str">
        <f>_xlfn.LET(_xlpm.x,VLOOKUP($B167,spell_header!$B$2:$G$373,2,FALSE),IF(_xlpm.x="","",_xlpm.x))</f>
        <v>弹体移动要素：初始速度</v>
      </c>
      <c r="D167" s="4" t="str">
        <f>IF(VLOOKUP($B167,spell_header!$B$2:$G$373,3,FALSE)="√","√","")</f>
        <v>√</v>
      </c>
      <c r="E167" s="4" t="str">
        <f>IF(VLOOKUP($B167,spell_header!$B$2:$G$373,4,FALSE)="√","√","")</f>
        <v>√</v>
      </c>
      <c r="F167" t="str">
        <f>_xlfn.LET(_xlpm.x,VLOOKUP($B167,spell_header!$B$2:$G$373,5,FALSE),IF(_xlpm.x="","",_xlpm.x))</f>
        <v/>
      </c>
      <c r="G167">
        <v>326</v>
      </c>
    </row>
    <row r="168" spans="1:7" ht="15" x14ac:dyDescent="0.2">
      <c r="A168">
        <v>166</v>
      </c>
      <c r="B168" s="1" t="s">
        <v>1872</v>
      </c>
      <c r="C168" t="str">
        <f>_xlfn.LET(_xlpm.x,VLOOKUP($B168,spell_header!$B$2:$G$373,2,FALSE),IF(_xlpm.x="","",_xlpm.x))</f>
        <v>弹体移动要素：角速度</v>
      </c>
      <c r="D168" s="4" t="str">
        <f>IF(VLOOKUP($B168,spell_header!$B$2:$G$373,3,FALSE)="√","√","")</f>
        <v>√</v>
      </c>
      <c r="E168" s="4" t="str">
        <f>IF(VLOOKUP($B168,spell_header!$B$2:$G$373,4,FALSE)="√","√","")</f>
        <v>√</v>
      </c>
      <c r="F168" t="str">
        <f>_xlfn.LET(_xlpm.x,VLOOKUP($B168,spell_header!$B$2:$G$373,5,FALSE),IF(_xlpm.x="","",_xlpm.x))</f>
        <v/>
      </c>
      <c r="G168">
        <v>327</v>
      </c>
    </row>
    <row r="169" spans="1:7" ht="15" x14ac:dyDescent="0.2">
      <c r="A169">
        <v>167</v>
      </c>
      <c r="B169" s="1" t="s">
        <v>1876</v>
      </c>
      <c r="C169" t="str">
        <f>_xlfn.LET(_xlpm.x,VLOOKUP($B169,spell_header!$B$2:$G$373,2,FALSE),IF(_xlpm.x="","",_xlpm.x))</f>
        <v>弹体移动要素：线速度</v>
      </c>
      <c r="D169" s="4" t="str">
        <f>IF(VLOOKUP($B169,spell_header!$B$2:$G$373,3,FALSE)="√","√","")</f>
        <v>√</v>
      </c>
      <c r="E169" s="4" t="str">
        <f>IF(VLOOKUP($B169,spell_header!$B$2:$G$373,4,FALSE)="√","√","")</f>
        <v>√</v>
      </c>
      <c r="F169" t="str">
        <f>_xlfn.LET(_xlpm.x,VLOOKUP($B169,spell_header!$B$2:$G$373,5,FALSE),IF(_xlpm.x="","",_xlpm.x))</f>
        <v/>
      </c>
      <c r="G169">
        <v>328</v>
      </c>
    </row>
    <row r="170" spans="1:7" ht="15" x14ac:dyDescent="0.2">
      <c r="A170">
        <v>168</v>
      </c>
      <c r="B170" s="1" t="s">
        <v>1873</v>
      </c>
      <c r="C170" t="str">
        <f>_xlfn.LET(_xlpm.x,VLOOKUP($B170,spell_header!$B$2:$G$373,2,FALSE),IF(_xlpm.x="","",_xlpm.x))</f>
        <v>弹体移动要素：生命周期</v>
      </c>
      <c r="D170" s="4" t="str">
        <f>IF(VLOOKUP($B170,spell_header!$B$2:$G$373,3,FALSE)="√","√","")</f>
        <v>√</v>
      </c>
      <c r="E170" s="4" t="str">
        <f>IF(VLOOKUP($B170,spell_header!$B$2:$G$373,4,FALSE)="√","√","")</f>
        <v>√</v>
      </c>
      <c r="F170" t="str">
        <f>_xlfn.LET(_xlpm.x,VLOOKUP($B170,spell_header!$B$2:$G$373,5,FALSE),IF(_xlpm.x="","",_xlpm.x))</f>
        <v/>
      </c>
      <c r="G170">
        <v>329</v>
      </c>
    </row>
    <row r="171" spans="1:7" ht="15" x14ac:dyDescent="0.2">
      <c r="A171">
        <v>169</v>
      </c>
      <c r="B171" s="1" t="s">
        <v>1874</v>
      </c>
      <c r="C171" t="str">
        <f>_xlfn.LET(_xlpm.x,VLOOKUP($B171,spell_header!$B$2:$G$373,2,FALSE),IF(_xlpm.x="","",_xlpm.x))</f>
        <v>弹体移动要素：旋转轴</v>
      </c>
      <c r="D171" s="4" t="str">
        <f>IF(VLOOKUP($B171,spell_header!$B$2:$G$373,3,FALSE)="√","√","")</f>
        <v>√</v>
      </c>
      <c r="E171" s="4" t="str">
        <f>IF(VLOOKUP($B171,spell_header!$B$2:$G$373,4,FALSE)="√","√","")</f>
        <v>√</v>
      </c>
      <c r="F171" t="str">
        <f>_xlfn.LET(_xlpm.x,VLOOKUP($B171,spell_header!$B$2:$G$373,5,FALSE),IF(_xlpm.x="","",_xlpm.x))</f>
        <v/>
      </c>
      <c r="G171">
        <v>330</v>
      </c>
    </row>
    <row r="172" spans="1:7" ht="15" x14ac:dyDescent="0.2">
      <c r="A172">
        <v>170</v>
      </c>
      <c r="B172" s="1" t="s">
        <v>1875</v>
      </c>
      <c r="C172" t="str">
        <f>_xlfn.LET(_xlpm.x,VLOOKUP($B172,spell_header!$B$2:$G$373,2,FALSE),IF(_xlpm.x="","",_xlpm.x))</f>
        <v>弹体移动要素：围绕施法者面向方向旋转</v>
      </c>
      <c r="D172" s="4" t="str">
        <f>IF(VLOOKUP($B172,spell_header!$B$2:$G$373,3,FALSE)="√","√","")</f>
        <v>√</v>
      </c>
      <c r="E172" s="4" t="str">
        <f>IF(VLOOKUP($B172,spell_header!$B$2:$G$373,4,FALSE)="√","√","")</f>
        <v>√</v>
      </c>
      <c r="F172" t="b">
        <f>_xlfn.LET(_xlpm.x,VLOOKUP($B172,spell_header!$B$2:$G$373,5,FALSE),IF(_xlpm.x="","",_xlpm.x))</f>
        <v>0</v>
      </c>
      <c r="G172">
        <v>331</v>
      </c>
    </row>
    <row r="173" spans="1:7" ht="15" x14ac:dyDescent="0.2">
      <c r="A173">
        <v>171</v>
      </c>
      <c r="B173" s="1" t="s">
        <v>1877</v>
      </c>
      <c r="C173" t="str">
        <f>_xlfn.LET(_xlpm.x,VLOOKUP($B173,spell_header!$B$2:$G$373,2,FALSE),IF(_xlpm.x="","",_xlpm.x))</f>
        <v>弹体移动要素：阻力系数</v>
      </c>
      <c r="D173" s="4" t="str">
        <f>IF(VLOOKUP($B173,spell_header!$B$2:$G$373,3,FALSE)="√","√","")</f>
        <v>√</v>
      </c>
      <c r="E173" s="4" t="str">
        <f>IF(VLOOKUP($B173,spell_header!$B$2:$G$373,4,FALSE)="√","√","")</f>
        <v>√</v>
      </c>
      <c r="F173" t="str">
        <f>_xlfn.LET(_xlpm.x,VLOOKUP($B173,spell_header!$B$2:$G$373,5,FALSE),IF(_xlpm.x="","",_xlpm.x))</f>
        <v/>
      </c>
      <c r="G173">
        <v>332</v>
      </c>
    </row>
    <row r="174" spans="1:7" ht="15" x14ac:dyDescent="0.2">
      <c r="A174">
        <v>172</v>
      </c>
      <c r="B174" s="1" t="s">
        <v>1878</v>
      </c>
      <c r="C174" t="str">
        <f>_xlfn.LET(_xlpm.x,VLOOKUP($B174,spell_header!$B$2:$G$373,2,FALSE),IF(_xlpm.x="","",_xlpm.x))</f>
        <v>弹体移动要素：是否沿墙壁滑动</v>
      </c>
      <c r="D174" s="4" t="str">
        <f>IF(VLOOKUP($B174,spell_header!$B$2:$G$373,3,FALSE)="√","√","")</f>
        <v>√</v>
      </c>
      <c r="E174" s="4" t="str">
        <f>IF(VLOOKUP($B174,spell_header!$B$2:$G$373,4,FALSE)="√","√","")</f>
        <v>√</v>
      </c>
      <c r="F174" t="b">
        <f>_xlfn.LET(_xlpm.x,VLOOKUP($B174,spell_header!$B$2:$G$373,5,FALSE),IF(_xlpm.x="","",_xlpm.x))</f>
        <v>0</v>
      </c>
      <c r="G174">
        <v>333</v>
      </c>
    </row>
    <row r="175" spans="1:7" ht="15" x14ac:dyDescent="0.2">
      <c r="A175">
        <v>173</v>
      </c>
      <c r="B175" s="1" t="s">
        <v>1879</v>
      </c>
      <c r="C175" t="str">
        <f>_xlfn.LET(_xlpm.x,VLOOKUP($B175,spell_header!$B$2:$G$373,2,FALSE),IF(_xlpm.x="","",_xlpm.x))</f>
        <v>弹体移动要素：墙壁滑动摩擦系数</v>
      </c>
      <c r="D175" s="4" t="str">
        <f>IF(VLOOKUP($B175,spell_header!$B$2:$G$373,3,FALSE)="√","√","")</f>
        <v>√</v>
      </c>
      <c r="E175" s="4" t="str">
        <f>IF(VLOOKUP($B175,spell_header!$B$2:$G$373,4,FALSE)="√","√","")</f>
        <v>√</v>
      </c>
      <c r="F175" t="str">
        <f>_xlfn.LET(_xlpm.x,VLOOKUP($B175,spell_header!$B$2:$G$373,5,FALSE),IF(_xlpm.x="","",_xlpm.x))</f>
        <v/>
      </c>
      <c r="G175">
        <v>334</v>
      </c>
    </row>
    <row r="176" spans="1:7" ht="15" x14ac:dyDescent="0.2">
      <c r="A176">
        <v>174</v>
      </c>
      <c r="B176" s="1" t="s">
        <v>1946</v>
      </c>
      <c r="C176" t="str">
        <f>_xlfn.LET(_xlpm.x,VLOOKUP($B176,spell_header!$B$2:$G$373,2,FALSE),IF(_xlpm.x="","",_xlpm.x))</f>
        <v>弹体移动要素：参数化移动类型</v>
      </c>
      <c r="D176" s="4" t="str">
        <f>IF(VLOOKUP($B176,spell_header!$B$2:$G$373,3,FALSE)="√","√","")</f>
        <v>√</v>
      </c>
      <c r="E176" s="4" t="str">
        <f>IF(VLOOKUP($B176,spell_header!$B$2:$G$373,4,FALSE)="√","√","")</f>
        <v/>
      </c>
      <c r="F176" t="str">
        <f>_xlfn.LET(_xlpm.x,VLOOKUP($B176,spell_header!$B$2:$G$373,5,FALSE),IF(_xlpm.x="","",_xlpm.x))</f>
        <v/>
      </c>
      <c r="G176">
        <v>338</v>
      </c>
    </row>
    <row r="177" spans="1:7" ht="15" x14ac:dyDescent="0.2">
      <c r="A177">
        <v>175</v>
      </c>
      <c r="B177" s="1" t="s">
        <v>1880</v>
      </c>
      <c r="C177" t="str">
        <f>_xlfn.LET(_xlpm.x,VLOOKUP($B177,spell_header!$B$2:$G$373,2,FALSE),IF(_xlpm.x="","",_xlpm.x))</f>
        <v>弹体移动要素：移动项目</v>
      </c>
      <c r="D177" s="4" t="str">
        <f>IF(VLOOKUP($B177,spell_header!$B$2:$G$373,3,FALSE)="√","√","")</f>
        <v>√</v>
      </c>
      <c r="E177" s="4" t="str">
        <f>IF(VLOOKUP($B177,spell_header!$B$2:$G$373,4,FALSE)="√","√","")</f>
        <v>√</v>
      </c>
      <c r="F177" t="str">
        <f>_xlfn.LET(_xlpm.x,VLOOKUP($B177,spell_header!$B$2:$G$373,5,FALSE),IF(_xlpm.x="","",_xlpm.x))</f>
        <v/>
      </c>
      <c r="G177">
        <v>339</v>
      </c>
    </row>
    <row r="178" spans="1:7" ht="15" x14ac:dyDescent="0.2">
      <c r="A178">
        <v>176</v>
      </c>
      <c r="B178" s="1" t="s">
        <v>1881</v>
      </c>
      <c r="C178" t="str">
        <f>_xlfn.LET(_xlpm.x,VLOOKUP($B178,spell_header!$B$2:$G$373,2,FALSE),IF(_xlpm.x="","",_xlpm.x))</f>
        <v>弹体移动要素：逆时针旋转</v>
      </c>
      <c r="D178" s="4" t="str">
        <f>IF(VLOOKUP($B178,spell_header!$B$2:$G$373,3,FALSE)="√","√","")</f>
        <v>√</v>
      </c>
      <c r="E178" s="4" t="str">
        <f>IF(VLOOKUP($B178,spell_header!$B$2:$G$373,4,FALSE)="√","√","")</f>
        <v>√</v>
      </c>
      <c r="F178" t="b">
        <f>_xlfn.LET(_xlpm.x,VLOOKUP($B178,spell_header!$B$2:$G$373,5,FALSE),IF(_xlpm.x="","",_xlpm.x))</f>
        <v>0</v>
      </c>
      <c r="G178">
        <v>340</v>
      </c>
    </row>
    <row r="179" spans="1:7" ht="15" x14ac:dyDescent="0.2">
      <c r="A179">
        <v>177</v>
      </c>
      <c r="B179" s="1" t="s">
        <v>1882</v>
      </c>
      <c r="C179" t="str">
        <f>_xlfn.LET(_xlpm.x,VLOOKUP($B179,spell_header!$B$2:$G$373,2,FALSE),IF(_xlpm.x="","",_xlpm.x))</f>
        <v>弹体移动要素：向墙外偏移量</v>
      </c>
      <c r="D179" s="4" t="str">
        <f>IF(VLOOKUP($B179,spell_header!$B$2:$G$373,3,FALSE)="√","√","")</f>
        <v>√</v>
      </c>
      <c r="E179" s="4" t="str">
        <f>IF(VLOOKUP($B179,spell_header!$B$2:$G$373,4,FALSE)="√","√","")</f>
        <v>√</v>
      </c>
      <c r="F179" t="str">
        <f>_xlfn.LET(_xlpm.x,VLOOKUP($B179,spell_header!$B$2:$G$373,5,FALSE),IF(_xlpm.x="","",_xlpm.x))</f>
        <v/>
      </c>
      <c r="G179">
        <v>341</v>
      </c>
    </row>
    <row r="180" spans="1:7" ht="15" x14ac:dyDescent="0.2">
      <c r="A180">
        <v>178</v>
      </c>
      <c r="B180" s="1" t="s">
        <v>1883</v>
      </c>
      <c r="C180" t="str">
        <f>_xlfn.LET(_xlpm.x,VLOOKUP($B180,spell_header!$B$2:$G$373,2,FALSE),IF(_xlpm.x="","",_xlpm.x))</f>
        <v>弹体移动要素：沿墙壁移动长度</v>
      </c>
      <c r="D180" s="4" t="str">
        <f>IF(VLOOKUP($B180,spell_header!$B$2:$G$373,3,FALSE)="√","√","")</f>
        <v>√</v>
      </c>
      <c r="E180" s="4" t="str">
        <f>IF(VLOOKUP($B180,spell_header!$B$2:$G$373,4,FALSE)="√","√","")</f>
        <v>√</v>
      </c>
      <c r="F180" t="str">
        <f>_xlfn.LET(_xlpm.x,VLOOKUP($B180,spell_header!$B$2:$G$373,5,FALSE),IF(_xlpm.x="","",_xlpm.x))</f>
        <v/>
      </c>
      <c r="G180">
        <v>342</v>
      </c>
    </row>
    <row r="181" spans="1:7" ht="15" x14ac:dyDescent="0.2">
      <c r="A181">
        <v>179</v>
      </c>
      <c r="B181" s="1" t="s">
        <v>1884</v>
      </c>
      <c r="C181" t="str">
        <f>_xlfn.LET(_xlpm.x,VLOOKUP($B181,spell_header!$B$2:$G$373,2,FALSE),IF(_xlpm.x="","",_xlpm.x))</f>
        <v>弹体移动要素：墙壁搜索半径</v>
      </c>
      <c r="D181" s="4" t="str">
        <f>IF(VLOOKUP($B181,spell_header!$B$2:$G$373,3,FALSE)="√","√","")</f>
        <v>√</v>
      </c>
      <c r="E181" s="4" t="str">
        <f>IF(VLOOKUP($B181,spell_header!$B$2:$G$373,4,FALSE)="√","√","")</f>
        <v>√</v>
      </c>
      <c r="F181" t="str">
        <f>_xlfn.LET(_xlpm.x,VLOOKUP($B181,spell_header!$B$2:$G$373,5,FALSE),IF(_xlpm.x="","",_xlpm.x))</f>
        <v/>
      </c>
      <c r="G181">
        <v>343</v>
      </c>
    </row>
    <row r="182" spans="1:7" ht="15" x14ac:dyDescent="0.2">
      <c r="A182">
        <v>180</v>
      </c>
      <c r="B182" s="1" t="s">
        <v>1885</v>
      </c>
      <c r="C182" t="str">
        <f>_xlfn.LET(_xlpm.x,VLOOKUP($B182,spell_header!$B$2:$G$373,2,FALSE),IF(_xlpm.x="","",_xlpm.x))</f>
        <v>弹体移动要素：中途停止</v>
      </c>
      <c r="D182" s="4" t="str">
        <f>IF(VLOOKUP($B182,spell_header!$B$2:$G$373,3,FALSE)="√","√","")</f>
        <v>√</v>
      </c>
      <c r="E182" s="4" t="str">
        <f>IF(VLOOKUP($B182,spell_header!$B$2:$G$373,4,FALSE)="√","√","")</f>
        <v>√</v>
      </c>
      <c r="F182" t="b">
        <f>_xlfn.LET(_xlpm.x,VLOOKUP($B182,spell_header!$B$2:$G$373,5,FALSE),IF(_xlpm.x="","",_xlpm.x))</f>
        <v>0</v>
      </c>
      <c r="G182">
        <v>344</v>
      </c>
    </row>
    <row r="183" spans="1:7" ht="15" x14ac:dyDescent="0.2">
      <c r="A183">
        <v>181</v>
      </c>
      <c r="B183" s="1" t="s">
        <v>1886</v>
      </c>
      <c r="C183" t="str">
        <f>_xlfn.LET(_xlpm.x,VLOOKUP($B183,spell_header!$B$2:$G$373,2,FALSE),IF(_xlpm.x="","",_xlpm.x))</f>
        <v>弹体移动要素：使用点平滑处理</v>
      </c>
      <c r="D183" s="4" t="str">
        <f>IF(VLOOKUP($B183,spell_header!$B$2:$G$373,3,FALSE)="√","√","")</f>
        <v>√</v>
      </c>
      <c r="E183" s="4" t="str">
        <f>IF(VLOOKUP($B183,spell_header!$B$2:$G$373,4,FALSE)="√","√","")</f>
        <v>√</v>
      </c>
      <c r="F183" t="b">
        <f>_xlfn.LET(_xlpm.x,VLOOKUP($B183,spell_header!$B$2:$G$373,5,FALSE),IF(_xlpm.x="","",_xlpm.x))</f>
        <v>0</v>
      </c>
      <c r="G183">
        <v>345</v>
      </c>
    </row>
    <row r="184" spans="1:7" ht="15" x14ac:dyDescent="0.2">
      <c r="A184">
        <v>182</v>
      </c>
      <c r="B184" s="1" t="s">
        <v>1888</v>
      </c>
      <c r="C184" t="str">
        <f>_xlfn.LET(_xlpm.x,VLOOKUP($B184,spell_header!$B$2:$G$373,2,FALSE),IF(_xlpm.x="","",_xlpm.x))</f>
        <v>弹体移动要素：实时引导抗延迟补偿</v>
      </c>
      <c r="D184" s="4" t="str">
        <f>IF(VLOOKUP($B184,spell_header!$B$2:$G$373,3,FALSE)="√","√","")</f>
        <v>√</v>
      </c>
      <c r="E184" s="4" t="str">
        <f>IF(VLOOKUP($B184,spell_header!$B$2:$G$373,4,FALSE)="√","√","")</f>
        <v>√</v>
      </c>
      <c r="F184" t="str">
        <f>_xlfn.LET(_xlpm.x,VLOOKUP($B184,spell_header!$B$2:$G$373,5,FALSE),IF(_xlpm.x="","",_xlpm.x))</f>
        <v/>
      </c>
      <c r="G184">
        <v>346</v>
      </c>
    </row>
    <row r="185" spans="1:7" ht="15" x14ac:dyDescent="0.2">
      <c r="A185">
        <v>183</v>
      </c>
      <c r="B185" s="1" t="s">
        <v>3732</v>
      </c>
      <c r="C185" t="str">
        <f>_xlfn.LET(_xlpm.x,VLOOKUP($B185,spell_header!$B$2:$G$373,2,FALSE),IF(_xlpm.x="","",_xlpm.x))</f>
        <v>弹体移动要素：缩放比例</v>
      </c>
      <c r="D185" s="4" t="str">
        <f>IF(VLOOKUP($B185,spell_header!$B$2:$G$373,3,FALSE)="√","√","")</f>
        <v>√</v>
      </c>
      <c r="E185" s="4" t="str">
        <f>IF(VLOOKUP($B185,spell_header!$B$2:$G$373,4,FALSE)="√","√","")</f>
        <v>√</v>
      </c>
      <c r="F185" t="str">
        <f>_xlfn.LET(_xlpm.x,VLOOKUP($B185,spell_header!$B$2:$G$373,5,FALSE),IF(_xlpm.x="","",_xlpm.x))</f>
        <v/>
      </c>
      <c r="G185">
        <v>335</v>
      </c>
    </row>
    <row r="186" spans="1:7" ht="15" x14ac:dyDescent="0.2">
      <c r="A186">
        <v>184</v>
      </c>
      <c r="B186" s="1" t="s">
        <v>3733</v>
      </c>
      <c r="C186" t="str">
        <f>_xlfn.LET(_xlpm.x,VLOOKUP($B186,spell_header!$B$2:$G$373,2,FALSE),IF(_xlpm.x="","",_xlpm.x))</f>
        <v/>
      </c>
      <c r="D186" s="4" t="str">
        <f>IF(VLOOKUP($B186,spell_header!$B$2:$G$373,3,FALSE)="√","√","")</f>
        <v>√</v>
      </c>
      <c r="E186" s="4" t="str">
        <f>IF(VLOOKUP($B186,spell_header!$B$2:$G$373,4,FALSE)="√","√","")</f>
        <v>√</v>
      </c>
      <c r="F186" t="str">
        <f>_xlfn.LET(_xlpm.x,VLOOKUP($B186,spell_header!$B$2:$G$373,5,FALSE),IF(_xlpm.x="","",_xlpm.x))</f>
        <v/>
      </c>
      <c r="G186">
        <v>337</v>
      </c>
    </row>
    <row r="187" spans="1:7" ht="15" x14ac:dyDescent="0.2">
      <c r="A187">
        <v>185</v>
      </c>
      <c r="B187" s="1" t="s">
        <v>1865</v>
      </c>
      <c r="C187" t="str">
        <f>_xlfn.LET(_xlpm.x,VLOOKUP($B187,spell_header!$B$2:$G$373,2,FALSE),IF(_xlpm.x="","",_xlpm.x))</f>
        <v>弹体移动要素类型</v>
      </c>
      <c r="D187" s="4" t="str">
        <f>IF(VLOOKUP($B187,spell_header!$B$2:$G$373,3,FALSE)="√","√","")</f>
        <v>√</v>
      </c>
      <c r="E187" s="4" t="str">
        <f>IF(VLOOKUP($B187,spell_header!$B$2:$G$373,4,FALSE)="√","√","")</f>
        <v/>
      </c>
      <c r="F187" t="str">
        <f>_xlfn.LET(_xlpm.x,VLOOKUP($B187,spell_header!$B$2:$G$373,5,FALSE),IF(_xlpm.x="","",_xlpm.x))</f>
        <v/>
      </c>
      <c r="G187">
        <v>297</v>
      </c>
    </row>
    <row r="188" spans="1:7" ht="15" x14ac:dyDescent="0.2">
      <c r="A188">
        <v>186</v>
      </c>
      <c r="B188" s="1" t="s">
        <v>1848</v>
      </c>
      <c r="C188" t="str">
        <f>_xlfn.LET(_xlpm.x,VLOOKUP($B188,spell_header!$B$2:$G$373,2,FALSE),IF(_xlpm.x="","",_xlpm.x))</f>
        <v>弹体组生成器</v>
      </c>
      <c r="D188" s="4" t="str">
        <f>IF(VLOOKUP($B188,spell_header!$B$2:$G$373,3,FALSE)="√","√","")</f>
        <v>√</v>
      </c>
      <c r="E188" s="4" t="str">
        <f>IF(VLOOKUP($B188,spell_header!$B$2:$G$373,4,FALSE)="√","√","")</f>
        <v>√</v>
      </c>
      <c r="F188" t="str">
        <f>_xlfn.LET(_xlpm.x,VLOOKUP($B188,spell_header!$B$2:$G$373,5,FALSE),IF(_xlpm.x="","",_xlpm.x))</f>
        <v/>
      </c>
      <c r="G188">
        <v>347</v>
      </c>
    </row>
    <row r="189" spans="1:7" ht="15" x14ac:dyDescent="0.2">
      <c r="A189">
        <v>187</v>
      </c>
      <c r="B189" s="1" t="s">
        <v>1900</v>
      </c>
      <c r="C189" t="str">
        <f>_xlfn.LET(_xlpm.x,VLOOKUP($B189,spell_header!$B$2:$G$373,2,FALSE),IF(_xlpm.x="","",_xlpm.x))</f>
        <v>弹体可视要素：目标可见性可控</v>
      </c>
      <c r="D189" s="4" t="str">
        <f>IF(VLOOKUP($B189,spell_header!$B$2:$G$373,3,FALSE)="√","√","")</f>
        <v>√</v>
      </c>
      <c r="E189" s="4" t="str">
        <f>IF(VLOOKUP($B189,spell_header!$B$2:$G$373,4,FALSE)="√","√","")</f>
        <v>√</v>
      </c>
      <c r="F189" t="b">
        <f>_xlfn.LET(_xlpm.x,VLOOKUP($B189,spell_header!$B$2:$G$373,5,FALSE),IF(_xlpm.x="","",_xlpm.x))</f>
        <v>0</v>
      </c>
      <c r="G189">
        <v>349</v>
      </c>
    </row>
    <row r="190" spans="1:7" ht="15" x14ac:dyDescent="0.2">
      <c r="A190">
        <v>188</v>
      </c>
      <c r="B190" s="1" t="s">
        <v>1901</v>
      </c>
      <c r="C190" t="str">
        <f>_xlfn.LET(_xlpm.x,VLOOKUP($B190,spell_header!$B$2:$G$373,2,FALSE),IF(_xlpm.x="","",_xlpm.x))</f>
        <v>弹体可视要素：预测弹体脱离战争迷雾时的移动</v>
      </c>
      <c r="D190" s="4" t="str">
        <f>IF(VLOOKUP($B190,spell_header!$B$2:$G$373,3,FALSE)="√","√","")</f>
        <v>√</v>
      </c>
      <c r="E190" s="4" t="str">
        <f>IF(VLOOKUP($B190,spell_header!$B$2:$G$373,4,FALSE)="√","√","")</f>
        <v>√</v>
      </c>
      <c r="F190" t="b">
        <f>_xlfn.LET(_xlpm.x,VLOOKUP($B190,spell_header!$B$2:$G$373,5,FALSE),IF(_xlpm.x="","",_xlpm.x))</f>
        <v>0</v>
      </c>
      <c r="G190">
        <v>350</v>
      </c>
    </row>
    <row r="191" spans="1:7" ht="15" x14ac:dyDescent="0.2">
      <c r="A191">
        <v>189</v>
      </c>
      <c r="B191" s="1" t="s">
        <v>1902</v>
      </c>
      <c r="C191" t="str">
        <f>_xlfn.LET(_xlpm.x,VLOOKUP($B191,spell_header!$B$2:$G$373,2,FALSE),IF(_xlpm.x="","",_xlpm.x))</f>
        <v>弹体可视要素：感知气泡半径</v>
      </c>
      <c r="D191" s="4" t="str">
        <f>IF(VLOOKUP($B191,spell_header!$B$2:$G$373,3,FALSE)="√","√","")</f>
        <v>√</v>
      </c>
      <c r="E191" s="4" t="str">
        <f>IF(VLOOKUP($B191,spell_header!$B$2:$G$373,4,FALSE)="√","√","")</f>
        <v>√</v>
      </c>
      <c r="F191" t="str">
        <f>_xlfn.LET(_xlpm.x,VLOOKUP($B191,spell_header!$B$2:$G$373,5,FALSE),IF(_xlpm.x="","",_xlpm.x))</f>
        <v/>
      </c>
      <c r="G191">
        <v>351</v>
      </c>
    </row>
    <row r="192" spans="1:7" ht="15" x14ac:dyDescent="0.2">
      <c r="A192">
        <v>190</v>
      </c>
      <c r="B192" s="1" t="s">
        <v>1903</v>
      </c>
      <c r="C192" t="str">
        <f>_xlfn.LET(_xlpm.x,VLOOKUP($B192,spell_header!$B$2:$G$373,2,FALSE),IF(_xlpm.x="","",_xlpm.x))</f>
        <v>弹体可视要素：客户端显示弹体前等待目标更新</v>
      </c>
      <c r="D192" s="4" t="str">
        <f>IF(VLOOKUP($B192,spell_header!$B$2:$G$373,3,FALSE)="√","√","")</f>
        <v>√</v>
      </c>
      <c r="E192" s="4" t="str">
        <f>IF(VLOOKUP($B192,spell_header!$B$2:$G$373,4,FALSE)="√","√","")</f>
        <v>√</v>
      </c>
      <c r="F192" t="b">
        <f>_xlfn.LET(_xlpm.x,VLOOKUP($B192,spell_header!$B$2:$G$373,5,FALSE),IF(_xlpm.x="","",_xlpm.x))</f>
        <v>0</v>
      </c>
      <c r="G192">
        <v>352</v>
      </c>
    </row>
    <row r="193" spans="1:7" ht="15" x14ac:dyDescent="0.2">
      <c r="A193">
        <v>191</v>
      </c>
      <c r="B193" s="1" t="s">
        <v>1904</v>
      </c>
      <c r="C193" t="str">
        <f>_xlfn.LET(_xlpm.x,VLOOKUP($B193,spell_header!$B$2:$G$373,2,FALSE),IF(_xlpm.x="","",_xlpm.x))</f>
        <v>弹体可视要素：用于可见性考虑的轨迹存留时间</v>
      </c>
      <c r="D193" s="4" t="str">
        <f>IF(VLOOKUP($B193,spell_header!$B$2:$G$373,3,FALSE)="√","√","")</f>
        <v>√</v>
      </c>
      <c r="E193" s="4" t="str">
        <f>IF(VLOOKUP($B193,spell_header!$B$2:$G$373,4,FALSE)="√","√","")</f>
        <v>√</v>
      </c>
      <c r="F193" t="str">
        <f>_xlfn.LET(_xlpm.x,VLOOKUP($B193,spell_header!$B$2:$G$373,5,FALSE),IF(_xlpm.x="","",_xlpm.x))</f>
        <v/>
      </c>
      <c r="G193">
        <v>353</v>
      </c>
    </row>
    <row r="194" spans="1:7" ht="15" x14ac:dyDescent="0.2">
      <c r="A194">
        <v>192</v>
      </c>
      <c r="B194" s="1" t="s">
        <v>1905</v>
      </c>
      <c r="C194" t="str">
        <f>_xlfn.LET(_xlpm.x,VLOOKUP($B194,spell_header!$B$2:$G$373,2,FALSE),IF(_xlpm.x="","",_xlpm.x))</f>
        <v>弹体可视要素：仅对友方可见</v>
      </c>
      <c r="D194" s="4" t="str">
        <f>IF(VLOOKUP($B194,spell_header!$B$2:$G$373,3,FALSE)="√","√","")</f>
        <v>√</v>
      </c>
      <c r="E194" s="4" t="str">
        <f>IF(VLOOKUP($B194,spell_header!$B$2:$G$373,4,FALSE)="√","√","")</f>
        <v>√</v>
      </c>
      <c r="F194" t="b">
        <f>_xlfn.LET(_xlpm.x,VLOOKUP($B194,spell_header!$B$2:$G$373,5,FALSE),IF(_xlpm.x="","",_xlpm.x))</f>
        <v>0</v>
      </c>
      <c r="G194">
        <v>354</v>
      </c>
    </row>
    <row r="195" spans="1:7" ht="15" x14ac:dyDescent="0.2">
      <c r="A195">
        <v>193</v>
      </c>
      <c r="B195" s="1" t="s">
        <v>1906</v>
      </c>
      <c r="C195" t="str">
        <f>_xlfn.LET(_xlpm.x,VLOOKUP($B195,spell_header!$B$2:$G$373,2,FALSE),IF(_xlpm.x="","",_xlpm.x))</f>
        <v>弹体可视要素类型</v>
      </c>
      <c r="D195" s="4" t="str">
        <f>IF(VLOOKUP($B195,spell_header!$B$2:$G$373,3,FALSE)="√","√","")</f>
        <v>√</v>
      </c>
      <c r="E195" s="4" t="str">
        <f>IF(VLOOKUP($B195,spell_header!$B$2:$G$373,4,FALSE)="√","√","")</f>
        <v/>
      </c>
      <c r="F195" t="str">
        <f>_xlfn.LET(_xlpm.x,VLOOKUP($B195,spell_header!$B$2:$G$373,5,FALSE),IF(_xlpm.x="","",_xlpm.x))</f>
        <v/>
      </c>
      <c r="G195">
        <v>348</v>
      </c>
    </row>
    <row r="196" spans="1:7" ht="15" x14ac:dyDescent="0.2">
      <c r="A196">
        <v>194</v>
      </c>
      <c r="B196" s="1" t="s">
        <v>1889</v>
      </c>
      <c r="C196" t="str">
        <f>_xlfn.LET(_xlpm.x,VLOOKUP($B196,spell_header!$B$2:$G$373,2,FALSE),IF(_xlpm.x="","",_xlpm.x))</f>
        <v>弹体高度求解器：高度偏移量</v>
      </c>
      <c r="D196" s="4" t="str">
        <f>IF(VLOOKUP($B196,spell_header!$B$2:$G$373,3,FALSE)="√","√","")</f>
        <v>√</v>
      </c>
      <c r="E196" s="4" t="str">
        <f>IF(VLOOKUP($B196,spell_header!$B$2:$G$373,4,FALSE)="√","√","")</f>
        <v>√</v>
      </c>
      <c r="F196" t="str">
        <f>_xlfn.LET(_xlpm.x,VLOOKUP($B196,spell_header!$B$2:$G$373,5,FALSE),IF(_xlpm.x="","",_xlpm.x))</f>
        <v/>
      </c>
      <c r="G196">
        <v>356</v>
      </c>
    </row>
    <row r="197" spans="1:7" ht="15" x14ac:dyDescent="0.2">
      <c r="A197">
        <v>195</v>
      </c>
      <c r="B197" s="1" t="s">
        <v>1890</v>
      </c>
      <c r="C197" t="str">
        <f>_xlfn.LET(_xlpm.x,VLOOKUP($B197,spell_header!$B$2:$G$373,2,FALSE),IF(_xlpm.x="","",_xlpm.x))</f>
        <v>弹体高度求解器：最大坡度</v>
      </c>
      <c r="D197" s="4" t="str">
        <f>IF(VLOOKUP($B197,spell_header!$B$2:$G$373,3,FALSE)="√","√","")</f>
        <v>√</v>
      </c>
      <c r="E197" s="4" t="str">
        <f>IF(VLOOKUP($B197,spell_header!$B$2:$G$373,4,FALSE)="√","√","")</f>
        <v>√</v>
      </c>
      <c r="F197" t="str">
        <f>_xlfn.LET(_xlpm.x,VLOOKUP($B197,spell_header!$B$2:$G$373,5,FALSE),IF(_xlpm.x="","",_xlpm.x))</f>
        <v/>
      </c>
      <c r="G197">
        <v>357</v>
      </c>
    </row>
    <row r="198" spans="1:7" ht="15" x14ac:dyDescent="0.2">
      <c r="A198">
        <v>196</v>
      </c>
      <c r="B198" s="1" t="s">
        <v>1891</v>
      </c>
      <c r="C198" t="str">
        <f>_xlfn.LET(_xlpm.x,VLOOKUP($B198,spell_header!$B$2:$G$373,2,FALSE),IF(_xlpm.x="","",_xlpm.x))</f>
        <v>弹体高度求解器：重力因子</v>
      </c>
      <c r="D198" s="4" t="str">
        <f>IF(VLOOKUP($B198,spell_header!$B$2:$G$373,3,FALSE)="√","√","")</f>
        <v>√</v>
      </c>
      <c r="E198" s="4" t="str">
        <f>IF(VLOOKUP($B198,spell_header!$B$2:$G$373,4,FALSE)="√","√","")</f>
        <v>√</v>
      </c>
      <c r="F198" t="str">
        <f>_xlfn.LET(_xlpm.x,VLOOKUP($B198,spell_header!$B$2:$G$373,5,FALSE),IF(_xlpm.x="","",_xlpm.x))</f>
        <v/>
      </c>
      <c r="G198">
        <v>358</v>
      </c>
    </row>
    <row r="199" spans="1:7" ht="15" x14ac:dyDescent="0.2">
      <c r="A199">
        <v>197</v>
      </c>
      <c r="B199" s="1" t="s">
        <v>1892</v>
      </c>
      <c r="C199" t="str">
        <f>_xlfn.LET(_xlpm.x,VLOOKUP($B199,spell_header!$B$2:$G$373,2,FALSE),IF(_xlpm.x="","",_xlpm.x))</f>
        <v/>
      </c>
      <c r="D199" s="4" t="str">
        <f>IF(VLOOKUP($B199,spell_header!$B$2:$G$373,3,FALSE)="√","√","")</f>
        <v>√</v>
      </c>
      <c r="E199" s="4" t="str">
        <f>IF(VLOOKUP($B199,spell_header!$B$2:$G$373,4,FALSE)="√","√","")</f>
        <v>√</v>
      </c>
      <c r="F199" t="str">
        <f>_xlfn.LET(_xlpm.x,VLOOKUP($B199,spell_header!$B$2:$G$373,5,FALSE),IF(_xlpm.x="","",_xlpm.x))</f>
        <v/>
      </c>
      <c r="G199">
        <v>359</v>
      </c>
    </row>
    <row r="200" spans="1:7" ht="15" x14ac:dyDescent="0.2">
      <c r="A200">
        <v>198</v>
      </c>
      <c r="B200" s="1" t="s">
        <v>1893</v>
      </c>
      <c r="C200" t="str">
        <f>_xlfn.LET(_xlpm.x,VLOOKUP($B200,spell_header!$B$2:$G$373,2,FALSE),IF(_xlpm.x="","",_xlpm.x))</f>
        <v>弹体高度求解器：垂直偏移量</v>
      </c>
      <c r="D200" s="4" t="str">
        <f>IF(VLOOKUP($B200,spell_header!$B$2:$G$373,3,FALSE)="√","√","")</f>
        <v>√</v>
      </c>
      <c r="E200" s="4" t="str">
        <f>IF(VLOOKUP($B200,spell_header!$B$2:$G$373,4,FALSE)="√","√","")</f>
        <v>√</v>
      </c>
      <c r="F200" t="str">
        <f>_xlfn.LET(_xlpm.x,VLOOKUP($B200,spell_header!$B$2:$G$373,5,FALSE),IF(_xlpm.x="","",_xlpm.x))</f>
        <v/>
      </c>
      <c r="G200">
        <v>360</v>
      </c>
    </row>
    <row r="201" spans="1:7" ht="15" x14ac:dyDescent="0.2">
      <c r="A201">
        <v>199</v>
      </c>
      <c r="B201" s="1" t="s">
        <v>1894</v>
      </c>
      <c r="C201" t="str">
        <f>_xlfn.LET(_xlpm.x,VLOOKUP($B201,spell_header!$B$2:$G$373,2,FALSE),IF(_xlpm.x="","",_xlpm.x))</f>
        <v>弹体高度求解器：波形振幅</v>
      </c>
      <c r="D201" s="4" t="str">
        <f>IF(VLOOKUP($B201,spell_header!$B$2:$G$373,3,FALSE)="√","√","")</f>
        <v>√</v>
      </c>
      <c r="E201" s="4" t="str">
        <f>IF(VLOOKUP($B201,spell_header!$B$2:$G$373,4,FALSE)="√","√","")</f>
        <v>√</v>
      </c>
      <c r="F201" t="str">
        <f>_xlfn.LET(_xlpm.x,VLOOKUP($B201,spell_header!$B$2:$G$373,5,FALSE),IF(_xlpm.x="","",_xlpm.x))</f>
        <v/>
      </c>
      <c r="G201">
        <v>361</v>
      </c>
    </row>
    <row r="202" spans="1:7" ht="15" x14ac:dyDescent="0.2">
      <c r="A202">
        <v>200</v>
      </c>
      <c r="B202" s="1" t="s">
        <v>1895</v>
      </c>
      <c r="C202" t="str">
        <f>_xlfn.LET(_xlpm.x,VLOOKUP($B202,spell_header!$B$2:$G$373,2,FALSE),IF(_xlpm.x="","",_xlpm.x))</f>
        <v>弹体高度求解器：波形周期</v>
      </c>
      <c r="D202" s="4" t="str">
        <f>IF(VLOOKUP($B202,spell_header!$B$2:$G$373,3,FALSE)="√","√","")</f>
        <v>√</v>
      </c>
      <c r="E202" s="4" t="str">
        <f>IF(VLOOKUP($B202,spell_header!$B$2:$G$373,4,FALSE)="√","√","")</f>
        <v>√</v>
      </c>
      <c r="F202" t="str">
        <f>_xlfn.LET(_xlpm.x,VLOOKUP($B202,spell_header!$B$2:$G$373,5,FALSE),IF(_xlpm.x="","",_xlpm.x))</f>
        <v/>
      </c>
      <c r="G202">
        <v>362</v>
      </c>
    </row>
    <row r="203" spans="1:7" ht="15" x14ac:dyDescent="0.2">
      <c r="A203">
        <v>201</v>
      </c>
      <c r="B203" s="1" t="s">
        <v>1896</v>
      </c>
      <c r="C203" t="str">
        <f>_xlfn.LET(_xlpm.x,VLOOKUP($B203,spell_header!$B$2:$G$373,2,FALSE),IF(_xlpm.x="","",_xlpm.x))</f>
        <v/>
      </c>
      <c r="D203" s="4" t="str">
        <f>IF(VLOOKUP($B203,spell_header!$B$2:$G$373,3,FALSE)="√","√","")</f>
        <v>√</v>
      </c>
      <c r="E203" s="4" t="str">
        <f>IF(VLOOKUP($B203,spell_header!$B$2:$G$373,4,FALSE)="√","√","")</f>
        <v>√</v>
      </c>
      <c r="F203" t="str">
        <f>_xlfn.LET(_xlpm.x,VLOOKUP($B203,spell_header!$B$2:$G$373,5,FALSE),IF(_xlpm.x="","",_xlpm.x))</f>
        <v/>
      </c>
      <c r="G203">
        <v>363</v>
      </c>
    </row>
    <row r="204" spans="1:7" ht="15" x14ac:dyDescent="0.2">
      <c r="A204">
        <v>202</v>
      </c>
      <c r="B204" s="1" t="s">
        <v>1897</v>
      </c>
      <c r="C204" t="str">
        <f>_xlfn.LET(_xlpm.x,VLOOKUP($B204,spell_header!$B$2:$G$373,2,FALSE),IF(_xlpm.x="","",_xlpm.x))</f>
        <v>弹体高度求解器：初始目标高度偏移量</v>
      </c>
      <c r="D204" s="4" t="str">
        <f>IF(VLOOKUP($B204,spell_header!$B$2:$G$373,3,FALSE)="√","√","")</f>
        <v>√</v>
      </c>
      <c r="E204" s="4" t="str">
        <f>IF(VLOOKUP($B204,spell_header!$B$2:$G$373,4,FALSE)="√","√","")</f>
        <v>√</v>
      </c>
      <c r="F204" t="str">
        <f>_xlfn.LET(_xlpm.x,VLOOKUP($B204,spell_header!$B$2:$G$373,5,FALSE),IF(_xlpm.x="","",_xlpm.x))</f>
        <v/>
      </c>
      <c r="G204">
        <v>364</v>
      </c>
    </row>
    <row r="205" spans="1:7" ht="15" x14ac:dyDescent="0.2">
      <c r="A205">
        <v>203</v>
      </c>
      <c r="B205" s="1" t="s">
        <v>1898</v>
      </c>
      <c r="C205" t="str">
        <f>_xlfn.LET(_xlpm.x,VLOOKUP($B205,spell_header!$B$2:$G$373,2,FALSE),IF(_xlpm.x="","",_xlpm.x))</f>
        <v>弹体高度求解器类型</v>
      </c>
      <c r="D205" s="4" t="str">
        <f>IF(VLOOKUP($B205,spell_header!$B$2:$G$373,3,FALSE)="√","√","")</f>
        <v>√</v>
      </c>
      <c r="E205" s="4" t="str">
        <f>IF(VLOOKUP($B205,spell_header!$B$2:$G$373,4,FALSE)="√","√","")</f>
        <v/>
      </c>
      <c r="F205" t="str">
        <f>_xlfn.LET(_xlpm.x,VLOOKUP($B205,spell_header!$B$2:$G$373,5,FALSE),IF(_xlpm.x="","",_xlpm.x))</f>
        <v/>
      </c>
      <c r="G205">
        <v>355</v>
      </c>
    </row>
    <row r="206" spans="1:7" ht="15" x14ac:dyDescent="0.2">
      <c r="A206">
        <v>204</v>
      </c>
      <c r="B206" s="1" t="s">
        <v>1899</v>
      </c>
      <c r="C206" t="str">
        <f>_xlfn.LET(_xlpm.x,VLOOKUP($B206,spell_header!$B$2:$G$373,2,FALSE),IF(_xlpm.x="","",_xlpm.x))</f>
        <v>弹体垂直朝向类型</v>
      </c>
      <c r="D206" s="4" t="str">
        <f>IF(VLOOKUP($B206,spell_header!$B$2:$G$373,3,FALSE)="√","√","")</f>
        <v>√</v>
      </c>
      <c r="E206" s="4" t="str">
        <f>IF(VLOOKUP($B206,spell_header!$B$2:$G$373,4,FALSE)="√","√","")</f>
        <v/>
      </c>
      <c r="F206" t="str">
        <f>_xlfn.LET(_xlpm.x,VLOOKUP($B206,spell_header!$B$2:$G$373,5,FALSE),IF(_xlpm.x="","",_xlpm.x))</f>
        <v/>
      </c>
      <c r="G206">
        <v>365</v>
      </c>
    </row>
    <row r="207" spans="1:7" ht="15" x14ac:dyDescent="0.2">
      <c r="A207">
        <v>205</v>
      </c>
      <c r="B207" s="1" t="s">
        <v>1849</v>
      </c>
      <c r="C207" t="str">
        <f>_xlfn.LET(_xlpm.x,VLOOKUP($B207,spell_header!$B$2:$G$373,2,FALSE),IF(_xlpm.x="","",_xlpm.x))</f>
        <v>弹体行为</v>
      </c>
      <c r="D207" s="4" t="str">
        <f>IF(VLOOKUP($B207,spell_header!$B$2:$G$373,3,FALSE)="√","√","")</f>
        <v>√</v>
      </c>
      <c r="E207" s="4" t="str">
        <f>IF(VLOOKUP($B207,spell_header!$B$2:$G$373,4,FALSE)="√","√","")</f>
        <v>√</v>
      </c>
      <c r="F207" t="str">
        <f>_xlfn.LET(_xlpm.x,VLOOKUP($B207,spell_header!$B$2:$G$373,5,FALSE),IF(_xlpm.x="","",_xlpm.x))</f>
        <v/>
      </c>
      <c r="G207">
        <v>366</v>
      </c>
    </row>
    <row r="208" spans="1:7" ht="15" x14ac:dyDescent="0.2">
      <c r="A208">
        <v>206</v>
      </c>
      <c r="B208" s="1" t="s">
        <v>1850</v>
      </c>
      <c r="C208" t="str">
        <f>_xlfn.LET(_xlpm.x,VLOOKUP($B208,spell_header!$B$2:$G$373,2,FALSE),IF(_xlpm.x="","",_xlpm.x))</f>
        <v/>
      </c>
      <c r="D208" s="4" t="str">
        <f>IF(VLOOKUP($B208,spell_header!$B$2:$G$373,3,FALSE)="√","√","")</f>
        <v>√</v>
      </c>
      <c r="E208" s="4" t="str">
        <f>IF(VLOOKUP($B208,spell_header!$B$2:$G$373,4,FALSE)="√","√","")</f>
        <v>√</v>
      </c>
      <c r="F208" t="b">
        <f>_xlfn.LET(_xlpm.x,VLOOKUP($B208,spell_header!$B$2:$G$373,5,FALSE),IF(_xlpm.x="","",_xlpm.x))</f>
        <v>0</v>
      </c>
      <c r="G208">
        <v>367</v>
      </c>
    </row>
    <row r="209" spans="1:7" ht="15" x14ac:dyDescent="0.2">
      <c r="A209">
        <v>207</v>
      </c>
      <c r="B209" s="1" t="s">
        <v>1693</v>
      </c>
      <c r="C209" t="str">
        <f>_xlfn.LET(_xlpm.x,VLOOKUP($B209,spell_header!$B$2:$G$373,2,FALSE),IF(_xlpm.x="","",_xlpm.x))</f>
        <v>施法类型</v>
      </c>
      <c r="D209" s="4" t="str">
        <f>IF(VLOOKUP($B209,spell_header!$B$2:$G$373,3,FALSE)="√","√","")</f>
        <v>√</v>
      </c>
      <c r="E209" s="4" t="str">
        <f>IF(VLOOKUP($B209,spell_header!$B$2:$G$373,4,FALSE)="√","√","")</f>
        <v>√</v>
      </c>
      <c r="F209" t="str">
        <f>_xlfn.LET(_xlpm.x,VLOOKUP($B209,spell_header!$B$2:$G$373,5,FALSE),IF(_xlpm.x="","",_xlpm.x))</f>
        <v/>
      </c>
      <c r="G209">
        <v>49</v>
      </c>
    </row>
    <row r="210" spans="1:7" ht="15" x14ac:dyDescent="0.2">
      <c r="A210">
        <v>208</v>
      </c>
      <c r="B210" s="1" t="s">
        <v>1694</v>
      </c>
      <c r="C210" t="str">
        <f>_xlfn.LET(_xlpm.x,VLOOKUP($B210,spell_header!$B$2:$G$373,2,FALSE),IF(_xlpm.x="","",_xlpm.x))</f>
        <v>施法帧数</v>
      </c>
      <c r="D210" s="4" t="str">
        <f>IF(VLOOKUP($B210,spell_header!$B$2:$G$373,3,FALSE)="√","√","")</f>
        <v>√</v>
      </c>
      <c r="E210" s="4" t="str">
        <f>IF(VLOOKUP($B210,spell_header!$B$2:$G$373,4,FALSE)="√","√","")</f>
        <v>√</v>
      </c>
      <c r="F210" t="str">
        <f>_xlfn.LET(_xlpm.x,VLOOKUP($B210,spell_header!$B$2:$G$373,5,FALSE),IF(_xlpm.x="","",_xlpm.x))</f>
        <v/>
      </c>
      <c r="G210">
        <v>62</v>
      </c>
    </row>
    <row r="211" spans="1:7" ht="15" x14ac:dyDescent="0.2">
      <c r="A211">
        <v>209</v>
      </c>
      <c r="B211" s="1" t="s">
        <v>1695</v>
      </c>
      <c r="C211" t="str">
        <f>_xlfn.LET(_xlpm.x,VLOOKUP($B211,spell_header!$B$2:$G$373,2,FALSE),IF(_xlpm.x="","",_xlpm.x))</f>
        <v>弹体速度</v>
      </c>
      <c r="D211" s="4" t="str">
        <f>IF(VLOOKUP($B211,spell_header!$B$2:$G$373,3,FALSE)="√","√","")</f>
        <v>√</v>
      </c>
      <c r="E211" s="4" t="str">
        <f>IF(VLOOKUP($B211,spell_header!$B$2:$G$373,4,FALSE)="√","√","")</f>
        <v>√</v>
      </c>
      <c r="F211" t="str">
        <f>_xlfn.LET(_xlpm.x,VLOOKUP($B211,spell_header!$B$2:$G$373,5,FALSE),IF(_xlpm.x="","",_xlpm.x))</f>
        <v/>
      </c>
      <c r="G211">
        <v>287</v>
      </c>
    </row>
    <row r="212" spans="1:7" ht="15" x14ac:dyDescent="0.2">
      <c r="A212">
        <v>210</v>
      </c>
      <c r="B212" s="1" t="s">
        <v>1696</v>
      </c>
      <c r="C212" t="str">
        <f>_xlfn.LET(_xlpm.x,VLOOKUP($B212,spell_header!$B$2:$G$373,2,FALSE),IF(_xlpm.x="","",_xlpm.x))</f>
        <v>弹体特效名称</v>
      </c>
      <c r="D212" s="4" t="str">
        <f>IF(VLOOKUP($B212,spell_header!$B$2:$G$373,3,FALSE)="√","√","")</f>
        <v>√</v>
      </c>
      <c r="E212" s="4" t="str">
        <f>IF(VLOOKUP($B212,spell_header!$B$2:$G$373,4,FALSE)="√","√","")</f>
        <v>√</v>
      </c>
      <c r="F212" t="str">
        <f>_xlfn.LET(_xlpm.x,VLOOKUP($B212,spell_header!$B$2:$G$373,5,FALSE),IF(_xlpm.x="","",_xlpm.x))</f>
        <v/>
      </c>
      <c r="G212">
        <v>288</v>
      </c>
    </row>
    <row r="213" spans="1:7" ht="15" x14ac:dyDescent="0.2">
      <c r="A213">
        <v>211</v>
      </c>
      <c r="B213" s="1" t="s">
        <v>1697</v>
      </c>
      <c r="C213" t="str">
        <f>_xlfn.LET(_xlpm.x,VLOOKUP($B213,spell_header!$B$2:$G$373,2,FALSE),IF(_xlpm.x="","",_xlpm.x))</f>
        <v>弹体特效键</v>
      </c>
      <c r="D213" s="4" t="str">
        <f>IF(VLOOKUP($B213,spell_header!$B$2:$G$373,3,FALSE)="√","√","")</f>
        <v>√</v>
      </c>
      <c r="E213" s="4" t="str">
        <f>IF(VLOOKUP($B213,spell_header!$B$2:$G$373,4,FALSE)="√","√","")</f>
        <v>√</v>
      </c>
      <c r="F213" t="str">
        <f>_xlfn.LET(_xlpm.x,VLOOKUP($B213,spell_header!$B$2:$G$373,5,FALSE),IF(_xlpm.x="","",_xlpm.x))</f>
        <v/>
      </c>
      <c r="G213">
        <v>289</v>
      </c>
    </row>
    <row r="214" spans="1:7" ht="15" x14ac:dyDescent="0.2">
      <c r="A214">
        <v>212</v>
      </c>
      <c r="B214" s="1" t="s">
        <v>1698</v>
      </c>
      <c r="C214" t="str">
        <f>_xlfn.LET(_xlpm.x,VLOOKUP($B214,spell_header!$B$2:$G$373,2,FALSE),IF(_xlpm.x="","",_xlpm.x))</f>
        <v>弹体最大转向速度</v>
      </c>
      <c r="D214" s="4" t="str">
        <f>IF(VLOOKUP($B214,spell_header!$B$2:$G$373,3,FALSE)="√","√","")</f>
        <v>√</v>
      </c>
      <c r="E214" s="4" t="str">
        <f>IF(VLOOKUP($B214,spell_header!$B$2:$G$373,4,FALSE)="√","√","")</f>
        <v>√</v>
      </c>
      <c r="F214" t="str">
        <f>_xlfn.LET(_xlpm.x,VLOOKUP($B214,spell_header!$B$2:$G$373,5,FALSE),IF(_xlpm.x="","",_xlpm.x))</f>
        <v/>
      </c>
      <c r="G214">
        <v>290</v>
      </c>
    </row>
    <row r="215" spans="1:7" ht="15" x14ac:dyDescent="0.2">
      <c r="A215">
        <v>213</v>
      </c>
      <c r="B215" s="1" t="s">
        <v>1699</v>
      </c>
      <c r="C215" t="str">
        <f>_xlfn.LET(_xlpm.x,VLOOKUP($B215,spell_header!$B$2:$G$373,2,FALSE),IF(_xlpm.x="","",_xlpm.x))</f>
        <v>弹体最大转动角度</v>
      </c>
      <c r="D215" s="4" t="str">
        <f>IF(VLOOKUP($B215,spell_header!$B$2:$G$373,3,FALSE)="√","√","")</f>
        <v>√</v>
      </c>
      <c r="E215" s="4" t="str">
        <f>IF(VLOOKUP($B215,spell_header!$B$2:$G$373,4,FALSE)="√","√","")</f>
        <v>√</v>
      </c>
      <c r="F215" t="str">
        <f>_xlfn.LET(_xlpm.x,VLOOKUP($B215,spell_header!$B$2:$G$373,5,FALSE),IF(_xlpm.x="","",_xlpm.x))</f>
        <v/>
      </c>
      <c r="G215">
        <v>291</v>
      </c>
    </row>
    <row r="216" spans="1:7" ht="15" x14ac:dyDescent="0.2">
      <c r="A216">
        <v>214</v>
      </c>
      <c r="B216" s="1" t="s">
        <v>1700</v>
      </c>
      <c r="C216" t="str">
        <f>_xlfn.LET(_xlpm.x,VLOOKUP($B216,spell_header!$B$2:$G$373,2,FALSE),IF(_xlpm.x="","",_xlpm.x))</f>
        <v>玩家弹体特效键</v>
      </c>
      <c r="D216" s="4" t="str">
        <f>IF(VLOOKUP($B216,spell_header!$B$2:$G$373,3,FALSE)="√","√","")</f>
        <v>√</v>
      </c>
      <c r="E216" s="4" t="str">
        <f>IF(VLOOKUP($B216,spell_header!$B$2:$G$373,4,FALSE)="√","√","")</f>
        <v>√</v>
      </c>
      <c r="F216" t="str">
        <f>_xlfn.LET(_xlpm.x,VLOOKUP($B216,spell_header!$B$2:$G$373,5,FALSE),IF(_xlpm.x="","",_xlpm.x))</f>
        <v/>
      </c>
      <c r="G216">
        <v>292</v>
      </c>
    </row>
    <row r="217" spans="1:7" ht="15" x14ac:dyDescent="0.2">
      <c r="A217">
        <v>215</v>
      </c>
      <c r="B217" s="1" t="s">
        <v>3728</v>
      </c>
      <c r="C217" t="str">
        <f>_xlfn.LET(_xlpm.x,VLOOKUP($B217,spell_header!$B$2:$G$373,2,FALSE),IF(_xlpm.x="","",_xlpm.x))</f>
        <v>玩家弹体特效名称</v>
      </c>
      <c r="D217" s="4" t="str">
        <f>IF(VLOOKUP($B217,spell_header!$B$2:$G$373,3,FALSE)="√","√","")</f>
        <v>√</v>
      </c>
      <c r="E217" s="4" t="str">
        <f>IF(VLOOKUP($B217,spell_header!$B$2:$G$373,4,FALSE)="√","√","")</f>
        <v>√</v>
      </c>
      <c r="F217" t="str">
        <f>_xlfn.LET(_xlpm.x,VLOOKUP($B217,spell_header!$B$2:$G$373,5,FALSE),IF(_xlpm.x="","",_xlpm.x))</f>
        <v/>
      </c>
      <c r="G217">
        <v>293</v>
      </c>
    </row>
    <row r="218" spans="1:7" ht="15" x14ac:dyDescent="0.2">
      <c r="A218">
        <v>216</v>
      </c>
      <c r="B218" s="1" t="s">
        <v>1701</v>
      </c>
      <c r="C218" t="str">
        <f>_xlfn.LET(_xlpm.x,VLOOKUP($B218,spell_header!$B$2:$G$373,2,FALSE),IF(_xlpm.x="","",_xlpm.x))</f>
        <v>敌方弹体特效键</v>
      </c>
      <c r="D218" s="4" t="str">
        <f>IF(VLOOKUP($B218,spell_header!$B$2:$G$373,3,FALSE)="√","√","")</f>
        <v>√</v>
      </c>
      <c r="E218" s="4" t="str">
        <f>IF(VLOOKUP($B218,spell_header!$B$2:$G$373,4,FALSE)="√","√","")</f>
        <v>√</v>
      </c>
      <c r="F218" t="str">
        <f>_xlfn.LET(_xlpm.x,VLOOKUP($B218,spell_header!$B$2:$G$373,5,FALSE),IF(_xlpm.x="","",_xlpm.x))</f>
        <v/>
      </c>
      <c r="G218">
        <v>294</v>
      </c>
    </row>
    <row r="219" spans="1:7" ht="15" x14ac:dyDescent="0.2">
      <c r="A219">
        <v>217</v>
      </c>
      <c r="B219" s="1" t="s">
        <v>3727</v>
      </c>
      <c r="C219" t="str">
        <f>_xlfn.LET(_xlpm.x,VLOOKUP($B219,spell_header!$B$2:$G$373,2,FALSE),IF(_xlpm.x="","",_xlpm.x))</f>
        <v>敌方弹体特效名称</v>
      </c>
      <c r="D219" s="4" t="str">
        <f>IF(VLOOKUP($B219,spell_header!$B$2:$G$373,3,FALSE)="√","√","")</f>
        <v>√</v>
      </c>
      <c r="E219" s="4" t="str">
        <f>IF(VLOOKUP($B219,spell_header!$B$2:$G$373,4,FALSE)="√","√","")</f>
        <v>√</v>
      </c>
      <c r="F219" t="str">
        <f>_xlfn.LET(_xlpm.x,VLOOKUP($B219,spell_header!$B$2:$G$373,5,FALSE),IF(_xlpm.x="","",_xlpm.x))</f>
        <v/>
      </c>
      <c r="G219">
        <v>295</v>
      </c>
    </row>
    <row r="220" spans="1:7" ht="15" x14ac:dyDescent="0.2">
      <c r="A220">
        <v>218</v>
      </c>
      <c r="B220" s="1" t="s">
        <v>1702</v>
      </c>
      <c r="C220" t="str">
        <f>_xlfn.LET(_xlpm.x,VLOOKUP($B220,spell_header!$B$2:$G$373,2,FALSE),IF(_xlpm.x="","",_xlpm.x))</f>
        <v>线条宽度</v>
      </c>
      <c r="D220" s="4" t="str">
        <f>IF(VLOOKUP($B220,spell_header!$B$2:$G$373,3,FALSE)="√","√","")</f>
        <v>√</v>
      </c>
      <c r="E220" s="4" t="str">
        <f>IF(VLOOKUP($B220,spell_header!$B$2:$G$373,4,FALSE)="√","√","")</f>
        <v>√</v>
      </c>
      <c r="F220" t="str">
        <f>_xlfn.LET(_xlpm.x,VLOOKUP($B220,spell_header!$B$2:$G$373,5,FALSE),IF(_xlpm.x="","",_xlpm.x))</f>
        <v/>
      </c>
      <c r="G220">
        <v>148</v>
      </c>
    </row>
    <row r="221" spans="1:7" ht="15" x14ac:dyDescent="0.2">
      <c r="A221">
        <v>219</v>
      </c>
      <c r="B221" s="1" t="s">
        <v>1703</v>
      </c>
      <c r="C221" t="str">
        <f>_xlfn.LET(_xlpm.x,VLOOKUP($B221,spell_header!$B$2:$G$373,2,FALSE),IF(_xlpm.x="","",_xlpm.x))</f>
        <v>线条拖拽长度</v>
      </c>
      <c r="D221" s="4" t="str">
        <f>IF(VLOOKUP($B221,spell_header!$B$2:$G$373,3,FALSE)="√","√","")</f>
        <v>√</v>
      </c>
      <c r="E221" s="4" t="str">
        <f>IF(VLOOKUP($B221,spell_header!$B$2:$G$373,4,FALSE)="√","√","")</f>
        <v>√</v>
      </c>
      <c r="F221" t="str">
        <f>_xlfn.LET(_xlpm.x,VLOOKUP($B221,spell_header!$B$2:$G$373,5,FALSE),IF(_xlpm.x="","",_xlpm.x))</f>
        <v/>
      </c>
      <c r="G221">
        <v>149</v>
      </c>
    </row>
    <row r="222" spans="1:7" ht="15" x14ac:dyDescent="0.2">
      <c r="A222">
        <v>220</v>
      </c>
      <c r="B222" s="1" t="s">
        <v>3734</v>
      </c>
      <c r="C222" t="str">
        <f>_xlfn.LET(_xlpm.x,VLOOKUP($B222,spell_header!$B$2:$G$373,2,FALSE),IF(_xlpm.x="","",_xlpm.x))</f>
        <v>海克斯核心键</v>
      </c>
      <c r="D222" s="4" t="str">
        <f>IF(VLOOKUP($B222,spell_header!$B$2:$G$373,3,FALSE)="√","√","")</f>
        <v>√</v>
      </c>
      <c r="E222" s="4" t="str">
        <f>IF(VLOOKUP($B222,spell_header!$B$2:$G$373,4,FALSE)="√","√","")</f>
        <v>√</v>
      </c>
      <c r="F222" t="str">
        <f>_xlfn.LET(_xlpm.x,VLOOKUP($B222,spell_header!$B$2:$G$373,5,FALSE),IF(_xlpm.x="","",_xlpm.x))</f>
        <v/>
      </c>
      <c r="G222">
        <v>370</v>
      </c>
    </row>
    <row r="223" spans="1:7" ht="15" x14ac:dyDescent="0.2">
      <c r="A223">
        <v>221</v>
      </c>
      <c r="B223" s="1" t="s">
        <v>1704</v>
      </c>
      <c r="C223" t="str">
        <f>_xlfn.LET(_xlpm.x,VLOOKUP($B223,spell_header!$B$2:$G$373,2,FALSE),IF(_xlpm.x="","",_xlpm.x))</f>
        <v>资源解析列表</v>
      </c>
      <c r="D223" s="4" t="str">
        <f>IF(VLOOKUP($B223,spell_header!$B$2:$G$373,3,FALSE)="√","√","")</f>
        <v>√</v>
      </c>
      <c r="E223" s="4" t="str">
        <f>IF(VLOOKUP($B223,spell_header!$B$2:$G$373,4,FALSE)="√","√","")</f>
        <v>√</v>
      </c>
      <c r="F223" t="str">
        <f>_xlfn.LET(_xlpm.x,VLOOKUP($B223,spell_header!$B$2:$G$373,5,FALSE),IF(_xlpm.x="","",_xlpm.x))</f>
        <v/>
      </c>
      <c r="G223">
        <v>249</v>
      </c>
    </row>
    <row r="224" spans="1:7" ht="15" x14ac:dyDescent="0.2">
      <c r="A224">
        <v>222</v>
      </c>
      <c r="B224" s="1" t="s">
        <v>3735</v>
      </c>
      <c r="C224" t="str">
        <f>_xlfn.LET(_xlpm.x,VLOOKUP($B224,spell_header!$B$2:$G$373,2,FALSE),IF(_xlpm.x="","",_xlpm.x))</f>
        <v>音频库单元路径列表</v>
      </c>
      <c r="D224" s="4" t="str">
        <f>IF(VLOOKUP($B224,spell_header!$B$2:$G$373,3,FALSE)="√","√","")</f>
        <v>√</v>
      </c>
      <c r="E224" s="4" t="str">
        <f>IF(VLOOKUP($B224,spell_header!$B$2:$G$373,4,FALSE)="√","√","")</f>
        <v>√</v>
      </c>
      <c r="F224" t="str">
        <f>_xlfn.LET(_xlpm.x,VLOOKUP($B224,spell_header!$B$2:$G$373,5,FALSE),IF(_xlpm.x="","",_xlpm.x))</f>
        <v/>
      </c>
      <c r="G224">
        <v>371</v>
      </c>
    </row>
    <row r="225" spans="1:7" ht="15" x14ac:dyDescent="0.2">
      <c r="A225">
        <v>223</v>
      </c>
      <c r="B225" s="1" t="s">
        <v>1705</v>
      </c>
      <c r="C225" t="str">
        <f>_xlfn.LET(_xlpm.x,VLOOKUP($B225,spell_header!$B$2:$G$373,2,FALSE),IF(_xlpm.x="","",_xlpm.x))</f>
        <v>观察策略</v>
      </c>
      <c r="D225" s="4" t="str">
        <f>IF(VLOOKUP($B225,spell_header!$B$2:$G$373,3,FALSE)="√","√","")</f>
        <v>√</v>
      </c>
      <c r="E225" s="4" t="str">
        <f>IF(VLOOKUP($B225,spell_header!$B$2:$G$373,4,FALSE)="√","√","")</f>
        <v>√</v>
      </c>
      <c r="F225" t="str">
        <f>_xlfn.LET(_xlpm.x,VLOOKUP($B225,spell_header!$B$2:$G$373,5,FALSE),IF(_xlpm.x="","",_xlpm.x))</f>
        <v/>
      </c>
      <c r="G225">
        <v>159</v>
      </c>
    </row>
    <row r="226" spans="1:7" ht="15" x14ac:dyDescent="0.2">
      <c r="A226">
        <v>224</v>
      </c>
      <c r="B226" s="1" t="s">
        <v>1706</v>
      </c>
      <c r="C226" t="str">
        <f>_xlfn.LET(_xlpm.x,VLOOKUP($B226,spell_header!$B$2:$G$373,2,FALSE),IF(_xlpm.x="","",_xlpm.x))</f>
        <v>命中效果定向类型</v>
      </c>
      <c r="D226" s="4" t="str">
        <f>IF(VLOOKUP($B226,spell_header!$B$2:$G$373,3,FALSE)="√","√","")</f>
        <v>√</v>
      </c>
      <c r="E226" s="4" t="str">
        <f>IF(VLOOKUP($B226,spell_header!$B$2:$G$373,4,FALSE)="√","√","")</f>
        <v>√</v>
      </c>
      <c r="F226" t="str">
        <f>_xlfn.LET(_xlpm.x,VLOOKUP($B226,spell_header!$B$2:$G$373,5,FALSE),IF(_xlpm.x="","",_xlpm.x))</f>
        <v/>
      </c>
      <c r="G226">
        <v>161</v>
      </c>
    </row>
    <row r="227" spans="1:7" ht="15" x14ac:dyDescent="0.2">
      <c r="A227">
        <v>225</v>
      </c>
      <c r="B227" s="1" t="s">
        <v>1708</v>
      </c>
      <c r="C227" t="str">
        <f>_xlfn.LET(_xlpm.x,VLOOKUP($B227,spell_header!$B$2:$G$373,2,FALSE),IF(_xlpm.x="","",_xlpm.x))</f>
        <v>命中效果键</v>
      </c>
      <c r="D227" s="4" t="str">
        <f>IF(VLOOKUP($B227,spell_header!$B$2:$G$373,3,FALSE)="√","√","")</f>
        <v>√</v>
      </c>
      <c r="E227" s="4" t="str">
        <f>IF(VLOOKUP($B227,spell_header!$B$2:$G$373,4,FALSE)="√","√","")</f>
        <v>√</v>
      </c>
      <c r="F227" t="str">
        <f>_xlfn.LET(_xlpm.x,VLOOKUP($B227,spell_header!$B$2:$G$373,5,FALSE),IF(_xlpm.x="","",_xlpm.x))</f>
        <v/>
      </c>
      <c r="G227">
        <v>163</v>
      </c>
    </row>
    <row r="228" spans="1:7" ht="15" x14ac:dyDescent="0.2">
      <c r="A228">
        <v>226</v>
      </c>
      <c r="B228" s="1" t="s">
        <v>1707</v>
      </c>
      <c r="C228" t="str">
        <f>_xlfn.LET(_xlpm.x,VLOOKUP($B228,spell_header!$B$2:$G$373,2,FALSE),IF(_xlpm.x="","",_xlpm.x))</f>
        <v>命中效果名称</v>
      </c>
      <c r="D228" s="4" t="str">
        <f>IF(VLOOKUP($B228,spell_header!$B$2:$G$373,3,FALSE)="√","√","")</f>
        <v>√</v>
      </c>
      <c r="E228" s="4" t="str">
        <f>IF(VLOOKUP($B228,spell_header!$B$2:$G$373,4,FALSE)="√","√","")</f>
        <v>√</v>
      </c>
      <c r="F228" t="str">
        <f>_xlfn.LET(_xlpm.x,VLOOKUP($B228,spell_header!$B$2:$G$373,5,FALSE),IF(_xlpm.x="","",_xlpm.x))</f>
        <v/>
      </c>
      <c r="G228">
        <v>162</v>
      </c>
    </row>
    <row r="229" spans="1:7" ht="15" x14ac:dyDescent="0.2">
      <c r="A229">
        <v>227</v>
      </c>
      <c r="B229" s="1" t="s">
        <v>3736</v>
      </c>
      <c r="C229" t="str">
        <f>_xlfn.LET(_xlpm.x,VLOOKUP($B229,spell_header!$B$2:$G$373,2,FALSE),IF(_xlpm.x="","",_xlpm.x))</f>
        <v>玩家命中效果键</v>
      </c>
      <c r="D229" s="4" t="str">
        <f>IF(VLOOKUP($B229,spell_header!$B$2:$G$373,3,FALSE)="√","√","")</f>
        <v>√</v>
      </c>
      <c r="E229" s="4" t="str">
        <f>IF(VLOOKUP($B229,spell_header!$B$2:$G$373,4,FALSE)="√","√","")</f>
        <v>√</v>
      </c>
      <c r="F229" t="str">
        <f>_xlfn.LET(_xlpm.x,VLOOKUP($B229,spell_header!$B$2:$G$373,5,FALSE),IF(_xlpm.x="","",_xlpm.x))</f>
        <v/>
      </c>
      <c r="G229">
        <v>368</v>
      </c>
    </row>
    <row r="230" spans="1:7" ht="15" x14ac:dyDescent="0.2">
      <c r="A230">
        <v>228</v>
      </c>
      <c r="B230" s="1" t="s">
        <v>3729</v>
      </c>
      <c r="C230" t="str">
        <f>_xlfn.LET(_xlpm.x,VLOOKUP($B230,spell_header!$B$2:$G$373,2,FALSE),IF(_xlpm.x="","",_xlpm.x))</f>
        <v>玩家命中效果名称</v>
      </c>
      <c r="D230" s="4" t="str">
        <f>IF(VLOOKUP($B230,spell_header!$B$2:$G$373,3,FALSE)="√","√","")</f>
        <v>√</v>
      </c>
      <c r="E230" s="4" t="str">
        <f>IF(VLOOKUP($B230,spell_header!$B$2:$G$373,4,FALSE)="√","√","")</f>
        <v>√</v>
      </c>
      <c r="F230" t="str">
        <f>_xlfn.LET(_xlpm.x,VLOOKUP($B230,spell_header!$B$2:$G$373,5,FALSE),IF(_xlpm.x="","",_xlpm.x))</f>
        <v/>
      </c>
      <c r="G230">
        <v>369</v>
      </c>
    </row>
    <row r="231" spans="1:7" ht="15" x14ac:dyDescent="0.2">
      <c r="A231">
        <v>229</v>
      </c>
      <c r="B231" s="1" t="s">
        <v>1709</v>
      </c>
      <c r="C231" t="str">
        <f>_xlfn.LET(_xlpm.x,VLOOKUP($B231,spell_header!$B$2:$G$373,2,FALSE),IF(_xlpm.x="","",_xlpm.x))</f>
        <v>后续效果键</v>
      </c>
      <c r="D231" s="4" t="str">
        <f>IF(VLOOKUP($B231,spell_header!$B$2:$G$373,3,FALSE)="√","√","")</f>
        <v>√</v>
      </c>
      <c r="E231" s="4" t="str">
        <f>IF(VLOOKUP($B231,spell_header!$B$2:$G$373,4,FALSE)="√","√","")</f>
        <v>√</v>
      </c>
      <c r="F231" t="str">
        <f>_xlfn.LET(_xlpm.x,VLOOKUP($B231,spell_header!$B$2:$G$373,5,FALSE),IF(_xlpm.x="","",_xlpm.x))</f>
        <v/>
      </c>
      <c r="G231">
        <v>164</v>
      </c>
    </row>
    <row r="232" spans="1:7" ht="15" x14ac:dyDescent="0.2">
      <c r="A232">
        <v>230</v>
      </c>
      <c r="B232" s="1" t="s">
        <v>1710</v>
      </c>
      <c r="C232" t="str">
        <f>_xlfn.LET(_xlpm.x,VLOOKUP($B232,spell_header!$B$2:$G$373,2,FALSE),IF(_xlpm.x="","",_xlpm.x))</f>
        <v>后续效果名称</v>
      </c>
      <c r="D232" s="4" t="str">
        <f>IF(VLOOKUP($B232,spell_header!$B$2:$G$373,3,FALSE)="√","√","")</f>
        <v>√</v>
      </c>
      <c r="E232" s="4" t="str">
        <f>IF(VLOOKUP($B232,spell_header!$B$2:$G$373,4,FALSE)="√","√","")</f>
        <v>√</v>
      </c>
      <c r="F232" t="str">
        <f>_xlfn.LET(_xlpm.x,VLOOKUP($B232,spell_header!$B$2:$G$373,5,FALSE),IF(_xlpm.x="","",_xlpm.x))</f>
        <v/>
      </c>
      <c r="G232">
        <v>165</v>
      </c>
    </row>
    <row r="233" spans="1:7" ht="15" x14ac:dyDescent="0.2">
      <c r="A233">
        <v>231</v>
      </c>
      <c r="B233" s="1" t="s">
        <v>1711</v>
      </c>
      <c r="C233" t="str">
        <f>_xlfn.LET(_xlpm.x,VLOOKUP($B233,spell_header!$B$2:$G$373,2,FALSE),IF(_xlpm.x="","",_xlpm.x))</f>
        <v>具有命中骨骼</v>
      </c>
      <c r="D233" s="4" t="str">
        <f>IF(VLOOKUP($B233,spell_header!$B$2:$G$373,3,FALSE)="√","√","")</f>
        <v>√</v>
      </c>
      <c r="E233" s="4" t="str">
        <f>IF(VLOOKUP($B233,spell_header!$B$2:$G$373,4,FALSE)="√","√","")</f>
        <v>√</v>
      </c>
      <c r="F233" t="b">
        <f>_xlfn.LET(_xlpm.x,VLOOKUP($B233,spell_header!$B$2:$G$373,5,FALSE),IF(_xlpm.x="","",_xlpm.x))</f>
        <v>0</v>
      </c>
      <c r="G233">
        <v>304</v>
      </c>
    </row>
    <row r="234" spans="1:7" ht="15" x14ac:dyDescent="0.2">
      <c r="A234">
        <v>232</v>
      </c>
      <c r="B234" s="1" t="s">
        <v>1712</v>
      </c>
      <c r="C234" t="str">
        <f>_xlfn.LET(_xlpm.x,VLOOKUP($B234,spell_header!$B$2:$G$373,2,FALSE),IF(_xlpm.x="","",_xlpm.x))</f>
        <v>命中骨骼名称</v>
      </c>
      <c r="D234" s="4" t="str">
        <f>IF(VLOOKUP($B234,spell_header!$B$2:$G$373,3,FALSE)="√","√","")</f>
        <v>√</v>
      </c>
      <c r="E234" s="4" t="str">
        <f>IF(VLOOKUP($B234,spell_header!$B$2:$G$373,4,FALSE)="√","√","")</f>
        <v>√</v>
      </c>
      <c r="F234" t="str">
        <f>_xlfn.LET(_xlpm.x,VLOOKUP($B234,spell_header!$B$2:$G$373,5,FALSE),IF(_xlpm.x="","",_xlpm.x))</f>
        <v/>
      </c>
      <c r="G234">
        <v>305</v>
      </c>
    </row>
    <row r="235" spans="1:7" ht="15" x14ac:dyDescent="0.2">
      <c r="A235">
        <v>233</v>
      </c>
      <c r="B235" s="1" t="s">
        <v>1713</v>
      </c>
      <c r="C235" t="str">
        <f>_xlfn.LET(_xlpm.x,VLOOKUP($B235,spell_header!$B$2:$G$373,2,FALSE),IF(_xlpm.x="","",_xlpm.x))</f>
        <v>粒子起始偏移量</v>
      </c>
      <c r="D235" s="4" t="str">
        <f>IF(VLOOKUP($B235,spell_header!$B$2:$G$373,3,FALSE)="√","√","")</f>
        <v>√</v>
      </c>
      <c r="E235" s="4" t="str">
        <f>IF(VLOOKUP($B235,spell_header!$B$2:$G$373,4,FALSE)="√","√","")</f>
        <v>√</v>
      </c>
      <c r="F235" t="str">
        <f>_xlfn.LET(_xlpm.x,VLOOKUP($B235,spell_header!$B$2:$G$373,5,FALSE),IF(_xlpm.x="","",_xlpm.x))</f>
        <v/>
      </c>
      <c r="G235">
        <v>166</v>
      </c>
    </row>
    <row r="236" spans="1:7" ht="15" x14ac:dyDescent="0.2">
      <c r="A236">
        <v>234</v>
      </c>
      <c r="B236" s="1" t="s">
        <v>1714</v>
      </c>
      <c r="C236" t="str">
        <f>_xlfn.LET(_xlpm.x,VLOOKUP($B236,spell_header!$B$2:$G$373,2,FALSE),IF(_xlpm.x="","",_xlpm.x))</f>
        <v>浮点数显示精度</v>
      </c>
      <c r="D236" s="4" t="str">
        <f>IF(VLOOKUP($B236,spell_header!$B$2:$G$373,3,FALSE)="√","√","")</f>
        <v>√</v>
      </c>
      <c r="E236" s="4" t="str">
        <f>IF(VLOOKUP($B236,spell_header!$B$2:$G$373,4,FALSE)="√","√","")</f>
        <v>√</v>
      </c>
      <c r="F236" t="str">
        <f>_xlfn.LET(_xlpm.x,VLOOKUP($B236,spell_header!$B$2:$G$373,5,FALSE),IF(_xlpm.x="","",_xlpm.x))</f>
        <v/>
      </c>
      <c r="G236">
        <v>45</v>
      </c>
    </row>
    <row r="237" spans="1:7" ht="15" x14ac:dyDescent="0.2">
      <c r="A237">
        <v>235</v>
      </c>
      <c r="B237" s="1" t="s">
        <v>1715</v>
      </c>
      <c r="C237" t="str">
        <f>_xlfn.LET(_xlpm.x,VLOOKUP($B237,spell_header!$B$2:$G$373,2,FALSE),IF(_xlpm.x="","",_xlpm.x))</f>
        <v>法力值消耗</v>
      </c>
      <c r="D237" s="4" t="str">
        <f>IF(VLOOKUP($B237,spell_header!$B$2:$G$373,3,FALSE)="√","√","")</f>
        <v>√</v>
      </c>
      <c r="E237" s="4" t="str">
        <f>IF(VLOOKUP($B237,spell_header!$B$2:$G$373,4,FALSE)="√","√","")</f>
        <v>√</v>
      </c>
      <c r="F237" t="str">
        <f>_xlfn.LET(_xlpm.x,VLOOKUP($B237,spell_header!$B$2:$G$373,5,FALSE),IF(_xlpm.x="","",_xlpm.x))</f>
        <v/>
      </c>
      <c r="G237">
        <v>23</v>
      </c>
    </row>
    <row r="238" spans="1:7" ht="15" x14ac:dyDescent="0.2">
      <c r="A238">
        <v>236</v>
      </c>
      <c r="B238" s="1" t="s">
        <v>1716</v>
      </c>
      <c r="C238" t="str">
        <f>_xlfn.LET(_xlpm.x,VLOOKUP($B238,spell_header!$B$2:$G$373,2,FALSE),IF(_xlpm.x="","",_xlpm.x))</f>
        <v>显示法力值消耗</v>
      </c>
      <c r="D238" s="4" t="str">
        <f>IF(VLOOKUP($B238,spell_header!$B$2:$G$373,3,FALSE)="√","√","")</f>
        <v>√</v>
      </c>
      <c r="E238" s="4" t="str">
        <f>IF(VLOOKUP($B238,spell_header!$B$2:$G$373,4,FALSE)="√","√","")</f>
        <v>√</v>
      </c>
      <c r="F238" t="str">
        <f>_xlfn.LET(_xlpm.x,VLOOKUP($B238,spell_header!$B$2:$G$373,5,FALSE),IF(_xlpm.x="","",_xlpm.x))</f>
        <v/>
      </c>
      <c r="G238">
        <v>27</v>
      </c>
    </row>
    <row r="239" spans="1:7" ht="15" x14ac:dyDescent="0.2">
      <c r="A239">
        <v>237</v>
      </c>
      <c r="B239" s="1" t="s">
        <v>3772</v>
      </c>
      <c r="C239" t="str">
        <f>_xlfn.LET(_xlpm.x,VLOOKUP($B239,spell_header!$B$2:$G$373,2,FALSE),IF(_xlpm.x="","",_xlpm.x))</f>
        <v>法力值消耗值</v>
      </c>
      <c r="D239" s="4" t="str">
        <f>IF(VLOOKUP($B239,spell_header!$B$2:$G$373,3,FALSE)="√","√","")</f>
        <v>√</v>
      </c>
      <c r="E239" s="4" t="str">
        <f>IF(VLOOKUP($B239,spell_header!$B$2:$G$373,4,FALSE)="√","√","")</f>
        <v/>
      </c>
      <c r="F239" t="str">
        <f>_xlfn.LET(_xlpm.x,VLOOKUP($B239,spell_header!$B$2:$G$373,5,FALSE),IF(_xlpm.x="","",_xlpm.x))</f>
        <v/>
      </c>
      <c r="G239">
        <v>24</v>
      </c>
    </row>
    <row r="240" spans="1:7" ht="15" x14ac:dyDescent="0.2">
      <c r="A240">
        <v>238</v>
      </c>
      <c r="B240" s="1" t="s">
        <v>3773</v>
      </c>
      <c r="C240" t="str">
        <f>_xlfn.LET(_xlpm.x,VLOOKUP($B240,spell_header!$B$2:$G$373,2,FALSE),IF(_xlpm.x="","",_xlpm.x))</f>
        <v>法力值消耗值简化表示</v>
      </c>
      <c r="D240" s="4" t="str">
        <f>IF(VLOOKUP($B240,spell_header!$B$2:$G$373,3,FALSE)="√","√","")</f>
        <v>√</v>
      </c>
      <c r="E240" s="4" t="str">
        <f>IF(VLOOKUP($B240,spell_header!$B$2:$G$373,4,FALSE)="√","√","")</f>
        <v>√</v>
      </c>
      <c r="F240" t="str">
        <f>_xlfn.LET(_xlpm.x,VLOOKUP($B240,spell_header!$B$2:$G$373,5,FALSE),IF(_xlpm.x="","",_xlpm.x))</f>
        <v/>
      </c>
      <c r="G240">
        <v>25</v>
      </c>
    </row>
    <row r="241" spans="1:7" ht="15" x14ac:dyDescent="0.2">
      <c r="A241">
        <v>239</v>
      </c>
      <c r="B241" s="1" t="s">
        <v>1717</v>
      </c>
      <c r="C241" t="str">
        <f>_xlfn.LET(_xlpm.x,VLOOKUP($B241,spell_header!$B$2:$G$373,2,FALSE),IF(_xlpm.x="","",_xlpm.x))</f>
        <v>选择优先级</v>
      </c>
      <c r="D241" s="4" t="str">
        <f>IF(VLOOKUP($B241,spell_header!$B$2:$G$373,3,FALSE)="√","√","")</f>
        <v>√</v>
      </c>
      <c r="E241" s="4" t="str">
        <f>IF(VLOOKUP($B241,spell_header!$B$2:$G$373,4,FALSE)="√","√","")</f>
        <v>√</v>
      </c>
      <c r="F241" t="str">
        <f>_xlfn.LET(_xlpm.x,VLOOKUP($B241,spell_header!$B$2:$G$373,5,FALSE),IF(_xlpm.x="","",_xlpm.x))</f>
        <v/>
      </c>
      <c r="G241">
        <v>48</v>
      </c>
    </row>
    <row r="242" spans="1:7" ht="15" x14ac:dyDescent="0.2">
      <c r="A242">
        <v>240</v>
      </c>
      <c r="B242" s="1" t="s">
        <v>1998</v>
      </c>
      <c r="C242" t="str">
        <f>_xlfn.LET(_xlpm.x,VLOOKUP($B242,spell_header!$B$2:$G$373,2,FALSE),IF(_xlpm.x="","",_xlpm.x))</f>
        <v/>
      </c>
      <c r="D242" s="4" t="str">
        <f>IF(VLOOKUP($B242,spell_header!$B$2:$G$373,3,FALSE)="√","√","")</f>
        <v>√</v>
      </c>
      <c r="E242" s="4" t="str">
        <f>IF(VLOOKUP($B242,spell_header!$B$2:$G$373,4,FALSE)="√","√","")</f>
        <v>√</v>
      </c>
      <c r="F242" t="b">
        <f>_xlfn.LET(_xlpm.x,VLOOKUP($B242,spell_header!$B$2:$G$373,5,FALSE),IF(_xlpm.x="","",_xlpm.x))</f>
        <v>0</v>
      </c>
      <c r="G242">
        <v>132</v>
      </c>
    </row>
    <row r="243" spans="1:7" ht="15" x14ac:dyDescent="0.2">
      <c r="A243">
        <v>241</v>
      </c>
      <c r="B243" s="1" t="s">
        <v>1999</v>
      </c>
      <c r="C243" t="str">
        <f>_xlfn.LET(_xlpm.x,VLOOKUP($B243,spell_header!$B$2:$G$373,2,FALSE),IF(_xlpm.x="","",_xlpm.x))</f>
        <v>目标类型数据：在目标消失时可完成施法</v>
      </c>
      <c r="D243" s="4" t="str">
        <f>IF(VLOOKUP($B243,spell_header!$B$2:$G$373,3,FALSE)="√","√","")</f>
        <v>√</v>
      </c>
      <c r="E243" s="4" t="str">
        <f>IF(VLOOKUP($B243,spell_header!$B$2:$G$373,4,FALSE)="√","√","")</f>
        <v>√</v>
      </c>
      <c r="F243" t="b">
        <f>_xlfn.LET(_xlpm.x,VLOOKUP($B243,spell_header!$B$2:$G$373,5,FALSE),IF(_xlpm.x="","",_xlpm.x))</f>
        <v>0</v>
      </c>
      <c r="G243">
        <v>133</v>
      </c>
    </row>
    <row r="244" spans="1:7" ht="15" x14ac:dyDescent="0.2">
      <c r="A244">
        <v>242</v>
      </c>
      <c r="B244" s="1" t="s">
        <v>2000</v>
      </c>
      <c r="C244" t="str">
        <f>_xlfn.LET(_xlpm.x,VLOOKUP($B244,spell_header!$B$2:$G$373,2,FALSE),IF(_xlpm.x="","",_xlpm.x))</f>
        <v>目标类型数据：目标检测距离</v>
      </c>
      <c r="D244" s="4" t="str">
        <f>IF(VLOOKUP($B244,spell_header!$B$2:$G$373,3,FALSE)="√","√","")</f>
        <v>√</v>
      </c>
      <c r="E244" s="4" t="str">
        <f>IF(VLOOKUP($B244,spell_header!$B$2:$G$373,4,FALSE)="√","√","")</f>
        <v>√</v>
      </c>
      <c r="F244" t="str">
        <f>_xlfn.LET(_xlpm.x,VLOOKUP($B244,spell_header!$B$2:$G$373,5,FALSE),IF(_xlpm.x="","",_xlpm.x))</f>
        <v/>
      </c>
      <c r="G244">
        <v>134</v>
      </c>
    </row>
    <row r="245" spans="1:7" ht="15" x14ac:dyDescent="0.2">
      <c r="A245">
        <v>243</v>
      </c>
      <c r="B245" s="1" t="s">
        <v>2001</v>
      </c>
      <c r="C245" t="str">
        <f>_xlfn.LET(_xlpm.x,VLOOKUP($B245,spell_header!$B$2:$G$373,2,FALSE),IF(_xlpm.x="","",_xlpm.x))</f>
        <v>目标类型数据：草丛指针方案</v>
      </c>
      <c r="D245" s="4" t="str">
        <f>IF(VLOOKUP($B245,spell_header!$B$2:$G$373,3,FALSE)="√","√","")</f>
        <v>√</v>
      </c>
      <c r="E245" s="4" t="str">
        <f>IF(VLOOKUP($B245,spell_header!$B$2:$G$373,4,FALSE)="√","√","")</f>
        <v>√</v>
      </c>
      <c r="F245" t="str">
        <f>_xlfn.LET(_xlpm.x,VLOOKUP($B245,spell_header!$B$2:$G$373,5,FALSE),IF(_xlpm.x="","",_xlpm.x))</f>
        <v/>
      </c>
      <c r="G245">
        <v>135</v>
      </c>
    </row>
    <row r="246" spans="1:7" ht="15" x14ac:dyDescent="0.2">
      <c r="A246">
        <v>244</v>
      </c>
      <c r="B246" s="1" t="s">
        <v>2002</v>
      </c>
      <c r="C246" t="str">
        <f>_xlfn.LET(_xlpm.x,VLOOKUP($B246,spell_header!$B$2:$G$373,2,FALSE),IF(_xlpm.x="","",_xlpm.x))</f>
        <v>目标类型数据：河流指针方案</v>
      </c>
      <c r="D246" s="4" t="str">
        <f>IF(VLOOKUP($B246,spell_header!$B$2:$G$373,3,FALSE)="√","√","")</f>
        <v>√</v>
      </c>
      <c r="E246" s="4" t="str">
        <f>IF(VLOOKUP($B246,spell_header!$B$2:$G$373,4,FALSE)="√","√","")</f>
        <v>√</v>
      </c>
      <c r="F246" t="str">
        <f>_xlfn.LET(_xlpm.x,VLOOKUP($B246,spell_header!$B$2:$G$373,5,FALSE),IF(_xlpm.x="","",_xlpm.x))</f>
        <v/>
      </c>
      <c r="G246">
        <v>136</v>
      </c>
    </row>
    <row r="247" spans="1:7" ht="15" x14ac:dyDescent="0.2">
      <c r="A247">
        <v>245</v>
      </c>
      <c r="B247" s="1" t="s">
        <v>2003</v>
      </c>
      <c r="C247" t="str">
        <f>_xlfn.LET(_xlpm.x,VLOOKUP($B247,spell_header!$B$2:$G$373,2,FALSE),IF(_xlpm.x="","",_xlpm.x))</f>
        <v>目标类型数据：墙壁指针方案</v>
      </c>
      <c r="D247" s="4" t="str">
        <f>IF(VLOOKUP($B247,spell_header!$B$2:$G$373,3,FALSE)="√","√","")</f>
        <v>√</v>
      </c>
      <c r="E247" s="4" t="str">
        <f>IF(VLOOKUP($B247,spell_header!$B$2:$G$373,4,FALSE)="√","√","")</f>
        <v>√</v>
      </c>
      <c r="F247" t="str">
        <f>_xlfn.LET(_xlpm.x,VLOOKUP($B247,spell_header!$B$2:$G$373,5,FALSE),IF(_xlpm.x="","",_xlpm.x))</f>
        <v/>
      </c>
      <c r="G247">
        <v>137</v>
      </c>
    </row>
    <row r="248" spans="1:7" ht="15" x14ac:dyDescent="0.2">
      <c r="A248">
        <v>246</v>
      </c>
      <c r="B248" s="1" t="s">
        <v>2004</v>
      </c>
      <c r="C248" t="str">
        <f>_xlfn.LET(_xlpm.x,VLOOKUP($B248,spell_header!$B$2:$G$373,2,FALSE),IF(_xlpm.x="","",_xlpm.x))</f>
        <v>目标类型</v>
      </c>
      <c r="D248" s="4" t="str">
        <f>IF(VLOOKUP($B248,spell_header!$B$2:$G$373,3,FALSE)="√","√","")</f>
        <v>√</v>
      </c>
      <c r="E248" s="4" t="str">
        <f>IF(VLOOKUP($B248,spell_header!$B$2:$G$373,4,FALSE)="√","√","")</f>
        <v/>
      </c>
      <c r="F248" t="str">
        <f>_xlfn.LET(_xlpm.x,VLOOKUP($B248,spell_header!$B$2:$G$373,5,FALSE),IF(_xlpm.x="","",_xlpm.x))</f>
        <v/>
      </c>
      <c r="G248">
        <v>138</v>
      </c>
    </row>
    <row r="249" spans="1:7" ht="15" x14ac:dyDescent="0.2">
      <c r="A249">
        <v>247</v>
      </c>
      <c r="B249" s="1" t="s">
        <v>3737</v>
      </c>
      <c r="C249" t="str">
        <f>_xlfn.LET(_xlpm.x,VLOOKUP($B249,spell_header!$B$2:$G$373,2,FALSE),IF(_xlpm.x="","",_xlpm.x))</f>
        <v>人工智能数据：响应速度</v>
      </c>
      <c r="D249" s="4" t="str">
        <f>IF(VLOOKUP($B249,spell_header!$B$2:$G$373,3,FALSE)="√","√","")</f>
        <v>√</v>
      </c>
      <c r="E249" s="4" t="str">
        <f>IF(VLOOKUP($B249,spell_header!$B$2:$G$373,4,FALSE)="√","√","")</f>
        <v>√</v>
      </c>
      <c r="F249" t="str">
        <f>_xlfn.LET(_xlpm.x,VLOOKUP($B249,spell_header!$B$2:$G$373,5,FALSE),IF(_xlpm.x="","",_xlpm.x))</f>
        <v/>
      </c>
      <c r="G249">
        <v>167</v>
      </c>
    </row>
    <row r="250" spans="1:7" ht="15" x14ac:dyDescent="0.2">
      <c r="A250">
        <v>248</v>
      </c>
      <c r="B250" s="1" t="s">
        <v>3738</v>
      </c>
      <c r="C250" t="str">
        <f>_xlfn.LET(_xlpm.x,VLOOKUP($B250,spell_header!$B$2:$G$373,2,FALSE),IF(_xlpm.x="","",_xlpm.x))</f>
        <v>人工智能数据：威胁范围</v>
      </c>
      <c r="D250" s="4" t="str">
        <f>IF(VLOOKUP($B250,spell_header!$B$2:$G$373,3,FALSE)="√","√","")</f>
        <v>√</v>
      </c>
      <c r="E250" s="4" t="str">
        <f>IF(VLOOKUP($B250,spell_header!$B$2:$G$373,4,FALSE)="√","√","")</f>
        <v>√</v>
      </c>
      <c r="F250" t="str">
        <f>_xlfn.LET(_xlpm.x,VLOOKUP($B250,spell_header!$B$2:$G$373,5,FALSE),IF(_xlpm.x="","",_xlpm.x))</f>
        <v/>
      </c>
      <c r="G250">
        <v>372</v>
      </c>
    </row>
    <row r="251" spans="1:7" ht="15" x14ac:dyDescent="0.2">
      <c r="A251">
        <v>249</v>
      </c>
      <c r="B251" s="1" t="s">
        <v>3739</v>
      </c>
      <c r="C251" t="str">
        <f>_xlfn.LET(_xlpm.x,VLOOKUP($B251,spell_header!$B$2:$G$373,2,FALSE),IF(_xlpm.x="","",_xlpm.x))</f>
        <v>人工智能数据：封锁等级</v>
      </c>
      <c r="D251" s="4" t="str">
        <f>IF(VLOOKUP($B251,spell_header!$B$2:$G$373,3,FALSE)="√","√","")</f>
        <v>√</v>
      </c>
      <c r="E251" s="4" t="str">
        <f>IF(VLOOKUP($B251,spell_header!$B$2:$G$373,4,FALSE)="√","√","")</f>
        <v>√</v>
      </c>
      <c r="F251" t="str">
        <f>_xlfn.LET(_xlpm.x,VLOOKUP($B251,spell_header!$B$2:$G$373,5,FALSE),IF(_xlpm.x="","",_xlpm.x))</f>
        <v/>
      </c>
      <c r="G251">
        <v>373</v>
      </c>
    </row>
    <row r="252" spans="1:7" ht="15" x14ac:dyDescent="0.2">
      <c r="A252">
        <v>250</v>
      </c>
      <c r="B252" s="1" t="s">
        <v>3740</v>
      </c>
      <c r="C252" t="str">
        <f>_xlfn.LET(_xlpm.x,VLOOKUP($B252,spell_header!$B$2:$G$373,2,FALSE),IF(_xlpm.x="","",_xlpm.x))</f>
        <v>音频事件类别</v>
      </c>
      <c r="D252" s="4" t="str">
        <f>IF(VLOOKUP($B252,spell_header!$B$2:$G$373,3,FALSE)="√","√","")</f>
        <v>√</v>
      </c>
      <c r="E252" s="4" t="str">
        <f>IF(VLOOKUP($B252,spell_header!$B$2:$G$373,4,FALSE)="√","√","")</f>
        <v>√</v>
      </c>
      <c r="F252" t="str">
        <f>_xlfn.LET(_xlpm.x,VLOOKUP($B252,spell_header!$B$2:$G$373,5,FALSE),IF(_xlpm.x="","",_xlpm.x))</f>
        <v/>
      </c>
      <c r="G252">
        <v>374</v>
      </c>
    </row>
    <row r="253" spans="1:7" ht="15" x14ac:dyDescent="0.2">
      <c r="A253">
        <v>251</v>
      </c>
      <c r="B253" s="1" t="s">
        <v>2011</v>
      </c>
      <c r="C253" t="str">
        <f>_xlfn.LET(_xlpm.x,VLOOKUP($B253,spell_header!$B$2:$G$373,2,FALSE),IF(_xlpm.x="","",_xlpm.x))</f>
        <v/>
      </c>
      <c r="D253" s="4" t="str">
        <f>IF(VLOOKUP($B253,spell_header!$B$2:$G$373,3,FALSE)="√","√","")</f>
        <v>√</v>
      </c>
      <c r="E253" s="4" t="str">
        <f>IF(VLOOKUP($B253,spell_header!$B$2:$G$373,4,FALSE)="√","√","")</f>
        <v>√</v>
      </c>
      <c r="F253" t="str">
        <f>_xlfn.LET(_xlpm.x,VLOOKUP($B253,spell_header!$B$2:$G$373,5,FALSE),IF(_xlpm.x="","",_xlpm.x))</f>
        <v/>
      </c>
      <c r="G253">
        <v>168</v>
      </c>
    </row>
    <row r="254" spans="1:7" ht="15" x14ac:dyDescent="0.2">
      <c r="A254">
        <v>252</v>
      </c>
      <c r="B254" s="1" t="s">
        <v>2012</v>
      </c>
      <c r="C254" t="str">
        <f>_xlfn.LET(_xlpm.x,VLOOKUP($B254,spell_header!$B$2:$G$373,2,FALSE),IF(_xlpm.x="","",_xlpm.x))</f>
        <v/>
      </c>
      <c r="D254" s="4" t="str">
        <f>IF(VLOOKUP($B254,spell_header!$B$2:$G$373,3,FALSE)="√","√","")</f>
        <v>√</v>
      </c>
      <c r="E254" s="4" t="str">
        <f>IF(VLOOKUP($B254,spell_header!$B$2:$G$373,4,FALSE)="√","√","")</f>
        <v>√</v>
      </c>
      <c r="F254" t="str">
        <f>_xlfn.LET(_xlpm.x,VLOOKUP($B254,spell_header!$B$2:$G$373,5,FALSE),IF(_xlpm.x="","",_xlpm.x))</f>
        <v/>
      </c>
      <c r="G254">
        <v>169</v>
      </c>
    </row>
    <row r="255" spans="1:7" ht="15" x14ac:dyDescent="0.2">
      <c r="A255">
        <v>253</v>
      </c>
      <c r="B255" s="1" t="s">
        <v>1718</v>
      </c>
      <c r="C255" t="str">
        <f>_xlfn.LET(_xlpm.x,VLOOKUP($B255,spell_header!$B$2:$G$373,2,FALSE),IF(_xlpm.x="","",_xlpm.x))</f>
        <v>技能触发音效事件映射表</v>
      </c>
      <c r="D255" s="4" t="str">
        <f>IF(VLOOKUP($B255,spell_header!$B$2:$G$373,3,FALSE)="√","√","")</f>
        <v>√</v>
      </c>
      <c r="E255" s="4" t="str">
        <f>IF(VLOOKUP($B255,spell_header!$B$2:$G$373,4,FALSE)="√","√","")</f>
        <v>√</v>
      </c>
      <c r="F255" t="str">
        <f>_xlfn.LET(_xlpm.x,VLOOKUP($B255,spell_header!$B$2:$G$373,5,FALSE),IF(_xlpm.x="","",_xlpm.x))</f>
        <v/>
      </c>
      <c r="G255">
        <v>144</v>
      </c>
    </row>
    <row r="256" spans="1:7" ht="15" x14ac:dyDescent="0.2">
      <c r="A256">
        <v>254</v>
      </c>
      <c r="B256" s="1" t="s">
        <v>1719</v>
      </c>
      <c r="C256" t="str">
        <f>_xlfn.LET(_xlpm.x,VLOOKUP($B256,spell_header!$B$2:$G$373,2,FALSE),IF(_xlpm.x="","",_xlpm.x))</f>
        <v>目标选择容错</v>
      </c>
      <c r="D256" s="4" t="str">
        <f>IF(VLOOKUP($B256,spell_header!$B$2:$G$373,3,FALSE)="√","√","")</f>
        <v>√</v>
      </c>
      <c r="E256" s="4" t="str">
        <f>IF(VLOOKUP($B256,spell_header!$B$2:$G$373,4,FALSE)="√","√","")</f>
        <v>√</v>
      </c>
      <c r="F256" t="str">
        <f>_xlfn.LET(_xlpm.x,VLOOKUP($B256,spell_header!$B$2:$G$373,5,FALSE),IF(_xlpm.x="","",_xlpm.x))</f>
        <v/>
      </c>
      <c r="G256">
        <v>131</v>
      </c>
    </row>
    <row r="257" spans="1:7" ht="15" x14ac:dyDescent="0.2">
      <c r="A257">
        <v>255</v>
      </c>
      <c r="B257" s="1" t="s">
        <v>1720</v>
      </c>
      <c r="C257" t="str">
        <f>_xlfn.LET(_xlpm.x,VLOOKUP($B257,spell_header!$B$2:$G$373,2,FALSE),IF(_xlpm.x="","",_xlpm.x))</f>
        <v>冷却队列阈值</v>
      </c>
      <c r="D257" s="4" t="str">
        <f>IF(VLOOKUP($B257,spell_header!$B$2:$G$373,3,FALSE)="√","√","")</f>
        <v>√</v>
      </c>
      <c r="E257" s="4" t="str">
        <f>IF(VLOOKUP($B257,spell_header!$B$2:$G$373,4,FALSE)="√","√","")</f>
        <v>√</v>
      </c>
      <c r="F257" t="str">
        <f>_xlfn.LET(_xlpm.x,VLOOKUP($B257,spell_header!$B$2:$G$373,5,FALSE),IF(_xlpm.x="","",_xlpm.x))</f>
        <v/>
      </c>
      <c r="G257">
        <v>109</v>
      </c>
    </row>
    <row r="258" spans="1:7" ht="15" x14ac:dyDescent="0.2">
      <c r="A258">
        <v>256</v>
      </c>
      <c r="B258" s="1" t="s">
        <v>1721</v>
      </c>
      <c r="C258" t="str">
        <f>_xlfn.LET(_xlpm.x,VLOOKUP($B258,spell_header!$B$2:$G$373,2,FALSE),IF(_xlpm.x="","",_xlpm.x))</f>
        <v>维度行为</v>
      </c>
      <c r="D258" s="4" t="str">
        <f>IF(VLOOKUP($B258,spell_header!$B$2:$G$373,3,FALSE)="√","√","")</f>
        <v>√</v>
      </c>
      <c r="E258" s="4" t="str">
        <f>IF(VLOOKUP($B258,spell_header!$B$2:$G$373,4,FALSE)="√","√","")</f>
        <v>√</v>
      </c>
      <c r="F258" t="str">
        <f>_xlfn.LET(_xlpm.x,VLOOKUP($B258,spell_header!$B$2:$G$373,5,FALSE),IF(_xlpm.x="","",_xlpm.x))</f>
        <v/>
      </c>
      <c r="G258">
        <v>170</v>
      </c>
    </row>
    <row r="259" spans="1:7" ht="15" x14ac:dyDescent="0.2">
      <c r="A259">
        <v>257</v>
      </c>
      <c r="B259" s="1" t="s">
        <v>1722</v>
      </c>
      <c r="C259" t="str">
        <f>_xlfn.LET(_xlpm.x,VLOOKUP($B259,spell_header!$B$2:$G$373,2,FALSE),IF(_xlpm.x="","",_xlpm.x))</f>
        <v>施法时打破潜行状态</v>
      </c>
      <c r="D259" s="4" t="str">
        <f>IF(VLOOKUP($B259,spell_header!$B$2:$G$373,3,FALSE)="√","√","")</f>
        <v>√</v>
      </c>
      <c r="E259" s="4" t="str">
        <f>IF(VLOOKUP($B259,spell_header!$B$2:$G$373,4,FALSE)="√","√","")</f>
        <v>√</v>
      </c>
      <c r="F259" t="b">
        <f>_xlfn.LET(_xlpm.x,VLOOKUP($B259,spell_header!$B$2:$G$373,5,FALSE),IF(_xlpm.x="","",_xlpm.x))</f>
        <v>0</v>
      </c>
      <c r="G259">
        <v>123</v>
      </c>
    </row>
    <row r="260" spans="1:7" ht="15" x14ac:dyDescent="0.2">
      <c r="A260">
        <v>258</v>
      </c>
      <c r="B260" s="1" t="s">
        <v>1723</v>
      </c>
      <c r="C260" t="str">
        <f>_xlfn.LET(_xlpm.x,VLOOKUP($B260,spell_header!$B$2:$G$373,2,FALSE),IF(_xlpm.x="","",_xlpm.x))</f>
        <v>施法时暴露潜行者视野</v>
      </c>
      <c r="D260" s="4" t="str">
        <f>IF(VLOOKUP($B260,spell_header!$B$2:$G$373,3,FALSE)="√","√","")</f>
        <v>√</v>
      </c>
      <c r="E260" s="4" t="str">
        <f>IF(VLOOKUP($B260,spell_header!$B$2:$G$373,4,FALSE)="√","√","")</f>
        <v>√</v>
      </c>
      <c r="F260" t="b">
        <f>_xlfn.LET(_xlpm.x,VLOOKUP($B260,spell_header!$B$2:$G$373,5,FALSE),IF(_xlpm.x="","",_xlpm.x))</f>
        <v>0</v>
      </c>
      <c r="G260">
        <v>124</v>
      </c>
    </row>
    <row r="261" spans="1:7" ht="15" x14ac:dyDescent="0.2">
      <c r="A261">
        <v>259</v>
      </c>
      <c r="B261" s="1" t="s">
        <v>1724</v>
      </c>
      <c r="C261" t="str">
        <f>_xlfn.LET(_xlpm.x,VLOOKUP($B261,spell_header!$B$2:$G$373,2,FALSE),IF(_xlpm.x="","",_xlpm.x))</f>
        <v>施法附着时打破潜行状态</v>
      </c>
      <c r="D261" s="4" t="str">
        <f>IF(VLOOKUP($B261,spell_header!$B$2:$G$373,3,FALSE)="√","√","")</f>
        <v>√</v>
      </c>
      <c r="E261" s="4" t="str">
        <f>IF(VLOOKUP($B261,spell_header!$B$2:$G$373,4,FALSE)="√","√","")</f>
        <v>√</v>
      </c>
      <c r="F261" t="b">
        <f>_xlfn.LET(_xlpm.x,VLOOKUP($B261,spell_header!$B$2:$G$373,5,FALSE),IF(_xlpm.x="","",_xlpm.x))</f>
        <v>0</v>
      </c>
      <c r="G261">
        <v>125</v>
      </c>
    </row>
    <row r="262" spans="1:7" ht="15" x14ac:dyDescent="0.2">
      <c r="A262">
        <v>260</v>
      </c>
      <c r="B262" s="1" t="s">
        <v>2021</v>
      </c>
      <c r="C262" t="str">
        <f>_xlfn.LET(_xlpm.x,VLOOKUP($B262,spell_header!$B$2:$G$373,2,FALSE),IF(_xlpm.x="","",_xlpm.x))</f>
        <v>其它技能的说明文本</v>
      </c>
      <c r="D262" s="4" t="str">
        <f>IF(VLOOKUP($B262,spell_header!$B$2:$G$373,3,FALSE)="√","√","")</f>
        <v>√</v>
      </c>
      <c r="E262" s="4" t="str">
        <f>IF(VLOOKUP($B262,spell_header!$B$2:$G$373,4,FALSE)="√","√","")</f>
        <v>√</v>
      </c>
      <c r="F262" t="str">
        <f>_xlfn.LET(_xlpm.x,VLOOKUP($B262,spell_header!$B$2:$G$373,5,FALSE),IF(_xlpm.x="","",_xlpm.x))</f>
        <v/>
      </c>
      <c r="G262">
        <v>171</v>
      </c>
    </row>
    <row r="263" spans="1:7" ht="15" x14ac:dyDescent="0.2">
      <c r="A263">
        <v>261</v>
      </c>
      <c r="B263" s="1" t="s">
        <v>2022</v>
      </c>
      <c r="C263" t="str">
        <f>_xlfn.LET(_xlpm.x,VLOOKUP($B263,spell_header!$B$2:$G$373,2,FALSE),IF(_xlpm.x="","",_xlpm.x))</f>
        <v>弹体目标器定义</v>
      </c>
      <c r="D263" s="4" t="str">
        <f>IF(VLOOKUP($B263,spell_header!$B$2:$G$373,3,FALSE)="√","√","")</f>
        <v>√</v>
      </c>
      <c r="E263" s="4" t="str">
        <f>IF(VLOOKUP($B263,spell_header!$B$2:$G$373,4,FALSE)="√","√","")</f>
        <v>√</v>
      </c>
      <c r="F263" t="str">
        <f>_xlfn.LET(_xlpm.x,VLOOKUP($B263,spell_header!$B$2:$G$373,5,FALSE),IF(_xlpm.x="","",_xlpm.x))</f>
        <v/>
      </c>
      <c r="G263">
        <v>173</v>
      </c>
    </row>
    <row r="264" spans="1:7" ht="15" x14ac:dyDescent="0.2">
      <c r="A264">
        <v>262</v>
      </c>
      <c r="B264" s="1" t="s">
        <v>2023</v>
      </c>
      <c r="C264" t="str">
        <f>_xlfn.LET(_xlpm.x,VLOOKUP($B264,spell_header!$B$2:$G$373,2,FALSE),IF(_xlpm.x="","",_xlpm.x))</f>
        <v>其它技能的死亡回放说明文本</v>
      </c>
      <c r="D264" s="4" t="str">
        <f>IF(VLOOKUP($B264,spell_header!$B$2:$G$373,3,FALSE)="√","√","")</f>
        <v>√</v>
      </c>
      <c r="E264" s="4" t="str">
        <f>IF(VLOOKUP($B264,spell_header!$B$2:$G$373,4,FALSE)="√","√","")</f>
        <v>√</v>
      </c>
      <c r="F264" t="str">
        <f>_xlfn.LET(_xlpm.x,VLOOKUP($B264,spell_header!$B$2:$G$373,5,FALSE),IF(_xlpm.x="","",_xlpm.x))</f>
        <v/>
      </c>
      <c r="G264">
        <v>172</v>
      </c>
    </row>
    <row r="265" spans="1:7" ht="15" x14ac:dyDescent="0.2">
      <c r="A265">
        <v>263</v>
      </c>
      <c r="B265" s="1" t="s">
        <v>2032</v>
      </c>
      <c r="C265" t="str">
        <f>_xlfn.LET(_xlpm.x,VLOOKUP($B265,spell_header!$B$2:$G$373,2,FALSE),IF(_xlpm.x="","",_xlpm.x))</f>
        <v>说明文本对象名称</v>
      </c>
      <c r="D265" s="4" t="str">
        <f>IF(VLOOKUP($B265,spell_header!$B$2:$G$373,3,FALSE)="√","√","")</f>
        <v>√</v>
      </c>
      <c r="E265" s="4" t="str">
        <f>IF(VLOOKUP($B265,spell_header!$B$2:$G$373,4,FALSE)="√","√","")</f>
        <v/>
      </c>
      <c r="F265" t="str">
        <f>_xlfn.LET(_xlpm.x,VLOOKUP($B265,spell_header!$B$2:$G$373,5,FALSE),IF(_xlpm.x="","",_xlpm.x))</f>
        <v/>
      </c>
      <c r="G265">
        <v>176</v>
      </c>
    </row>
    <row r="266" spans="1:7" ht="15" x14ac:dyDescent="0.2">
      <c r="A266">
        <v>264</v>
      </c>
      <c r="B266" s="1" t="s">
        <v>2033</v>
      </c>
      <c r="C266" t="str">
        <f>_xlfn.LET(_xlpm.x,VLOOKUP($B266,spell_header!$B$2:$G$373,2,FALSE),IF(_xlpm.x="","",_xlpm.x))</f>
        <v>说明文本格式</v>
      </c>
      <c r="D266" s="4" t="str">
        <f>IF(VLOOKUP($B266,spell_header!$B$2:$G$373,3,FALSE)="√","√","")</f>
        <v>√</v>
      </c>
      <c r="E266" s="4" t="str">
        <f>IF(VLOOKUP($B266,spell_header!$B$2:$G$373,4,FALSE)="√","√","")</f>
        <v/>
      </c>
      <c r="F266" t="str">
        <f>_xlfn.LET(_xlpm.x,VLOOKUP($B266,spell_header!$B$2:$G$373,5,FALSE),IF(_xlpm.x="","",_xlpm.x))</f>
        <v/>
      </c>
      <c r="G266">
        <v>177</v>
      </c>
    </row>
    <row r="267" spans="1:7" ht="15" x14ac:dyDescent="0.2">
      <c r="A267">
        <v>265</v>
      </c>
      <c r="B267" s="1" t="s">
        <v>2034</v>
      </c>
      <c r="C267" t="str">
        <f>_xlfn.LET(_xlpm.x,VLOOKUP($B267,spell_header!$B$2:$G$373,2,FALSE),IF(_xlpm.x="","",_xlpm.x))</f>
        <v>扩展说明文本可用性</v>
      </c>
      <c r="D267" s="4" t="str">
        <f>IF(VLOOKUP($B267,spell_header!$B$2:$G$373,3,FALSE)="√","√","")</f>
        <v>√</v>
      </c>
      <c r="E267" s="4" t="str">
        <f>IF(VLOOKUP($B267,spell_header!$B$2:$G$373,4,FALSE)="√","√","")</f>
        <v>√</v>
      </c>
      <c r="F267" t="b">
        <f>_xlfn.LET(_xlpm.x,VLOOKUP($B267,spell_header!$B$2:$G$373,5,FALSE),IF(_xlpm.x="","",_xlpm.x))</f>
        <v>1</v>
      </c>
      <c r="G267">
        <v>178</v>
      </c>
    </row>
    <row r="268" spans="1:7" ht="15" x14ac:dyDescent="0.2">
      <c r="A268">
        <v>266</v>
      </c>
      <c r="B268" s="1" t="s">
        <v>1424</v>
      </c>
      <c r="C268" t="str">
        <f>_xlfn.LET(_xlpm.x,VLOOKUP($B268,spell_header!$B$2:$G$373,2,FALSE),IF(_xlpm.x="","",_xlpm.x))</f>
        <v>未格式化名称键</v>
      </c>
      <c r="D268" s="4" t="str">
        <f>IF(VLOOKUP($B268,spell_header!$B$2:$G$373,3,FALSE)="√","√","")</f>
        <v>√</v>
      </c>
      <c r="E268" s="4" t="str">
        <f>IF(VLOOKUP($B268,spell_header!$B$2:$G$373,4,FALSE)="√","√","")</f>
        <v>√</v>
      </c>
      <c r="F268" t="str">
        <f>_xlfn.LET(_xlpm.x,VLOOKUP($B268,spell_header!$B$2:$G$373,5,FALSE),IF(_xlpm.x="","",_xlpm.x))</f>
        <v/>
      </c>
      <c r="G268">
        <v>179</v>
      </c>
    </row>
    <row r="269" spans="1:7" ht="15" x14ac:dyDescent="0.2">
      <c r="A269">
        <v>267</v>
      </c>
      <c r="B269" s="1" t="s">
        <v>1425</v>
      </c>
      <c r="C269" t="str">
        <f>_xlfn.LET(_xlpm.x,VLOOKUP($B269,spell_header!$B$2:$G$373,2,FALSE),IF(_xlpm.x="","",_xlpm.x))</f>
        <v>凯隐专用升级类型键</v>
      </c>
      <c r="D269" s="4" t="str">
        <f>IF(VLOOKUP($B269,spell_header!$B$2:$G$373,3,FALSE)="√","√","")</f>
        <v>√</v>
      </c>
      <c r="E269" s="4" t="str">
        <f>IF(VLOOKUP($B269,spell_header!$B$2:$G$373,4,FALSE)="√","√","")</f>
        <v>√</v>
      </c>
      <c r="F269" t="str">
        <f>_xlfn.LET(_xlpm.x,VLOOKUP($B269,spell_header!$B$2:$G$373,5,FALSE),IF(_xlpm.x="","",_xlpm.x))</f>
        <v/>
      </c>
      <c r="G269">
        <v>219</v>
      </c>
    </row>
    <row r="270" spans="1:7" ht="15" x14ac:dyDescent="0.2">
      <c r="A270">
        <v>268</v>
      </c>
      <c r="B270" s="1" t="s">
        <v>1426</v>
      </c>
      <c r="C270" t="str">
        <f>_xlfn.LET(_xlpm.x,VLOOKUP($B270,spell_header!$B$2:$G$373,2,FALSE),IF(_xlpm.x="","",_xlpm.x))</f>
        <v>凯隐专用升级数值键</v>
      </c>
      <c r="D270" s="4" t="str">
        <f>IF(VLOOKUP($B270,spell_header!$B$2:$G$373,3,FALSE)="√","√","")</f>
        <v>√</v>
      </c>
      <c r="E270" s="4" t="str">
        <f>IF(VLOOKUP($B270,spell_header!$B$2:$G$373,4,FALSE)="√","√","")</f>
        <v>√</v>
      </c>
      <c r="F270" t="str">
        <f>_xlfn.LET(_xlpm.x,VLOOKUP($B270,spell_header!$B$2:$G$373,5,FALSE),IF(_xlpm.x="","",_xlpm.x))</f>
        <v/>
      </c>
      <c r="G270">
        <v>224</v>
      </c>
    </row>
    <row r="271" spans="1:7" ht="15" x14ac:dyDescent="0.2">
      <c r="A271">
        <v>269</v>
      </c>
      <c r="B271" s="1" t="s">
        <v>1427</v>
      </c>
      <c r="C271" t="str">
        <f>_xlfn.LET(_xlpm.x,VLOOKUP($B271,spell_header!$B$2:$G$373,2,FALSE),IF(_xlpm.x="","",_xlpm.x))</f>
        <v>名称键</v>
      </c>
      <c r="D271" s="4" t="str">
        <f>IF(VLOOKUP($B271,spell_header!$B$2:$G$373,3,FALSE)="√","√","")</f>
        <v>√</v>
      </c>
      <c r="E271" s="4" t="str">
        <f>IF(VLOOKUP($B271,spell_header!$B$2:$G$373,4,FALSE)="√","√","")</f>
        <v>√</v>
      </c>
      <c r="F271" t="str">
        <f>_xlfn.LET(_xlpm.x,VLOOKUP($B271,spell_header!$B$2:$G$373,5,FALSE),IF(_xlpm.x="","",_xlpm.x))</f>
        <v/>
      </c>
      <c r="G271">
        <v>4</v>
      </c>
    </row>
    <row r="272" spans="1:7" ht="15" x14ac:dyDescent="0.2">
      <c r="A272">
        <v>270</v>
      </c>
      <c r="B272" s="1" t="s">
        <v>1428</v>
      </c>
      <c r="C272" t="str">
        <f>_xlfn.LET(_xlpm.x,VLOOKUP($B272,spell_header!$B$2:$G$373,2,FALSE),IF(_xlpm.x="","",_xlpm.x))</f>
        <v>热键</v>
      </c>
      <c r="D272" s="4" t="str">
        <f>IF(VLOOKUP($B272,spell_header!$B$2:$G$373,3,FALSE)="√","√","")</f>
        <v>√</v>
      </c>
      <c r="E272" s="4" t="str">
        <f>IF(VLOOKUP($B272,spell_header!$B$2:$G$373,4,FALSE)="√","√","")</f>
        <v>√</v>
      </c>
      <c r="F272" t="str">
        <f>_xlfn.LET(_xlpm.x,VLOOKUP($B272,spell_header!$B$2:$G$373,5,FALSE),IF(_xlpm.x="","",_xlpm.x))</f>
        <v/>
      </c>
      <c r="G272">
        <v>182</v>
      </c>
    </row>
    <row r="273" spans="1:7" ht="15" x14ac:dyDescent="0.2">
      <c r="A273">
        <v>271</v>
      </c>
      <c r="B273" s="1" t="s">
        <v>1429</v>
      </c>
      <c r="C273" t="str">
        <f>_xlfn.LET(_xlpm.x,VLOOKUP($B273,spell_header!$B$2:$G$373,2,FALSE),IF(_xlpm.x="","",_xlpm.x))</f>
        <v>厄斐琉斯专用升级文本键</v>
      </c>
      <c r="D273" s="4" t="str">
        <f>IF(VLOOKUP($B273,spell_header!$B$2:$G$373,3,FALSE)="√","√","")</f>
        <v>√</v>
      </c>
      <c r="E273" s="4" t="str">
        <f>IF(VLOOKUP($B273,spell_header!$B$2:$G$373,4,FALSE)="√","√","")</f>
        <v>√</v>
      </c>
      <c r="F273" t="str">
        <f>_xlfn.LET(_xlpm.x,VLOOKUP($B273,spell_header!$B$2:$G$373,5,FALSE),IF(_xlpm.x="","",_xlpm.x))</f>
        <v/>
      </c>
      <c r="G273">
        <v>229</v>
      </c>
    </row>
    <row r="274" spans="1:7" ht="15" x14ac:dyDescent="0.2">
      <c r="A274">
        <v>272</v>
      </c>
      <c r="B274" s="1" t="s">
        <v>1430</v>
      </c>
      <c r="C274" t="str">
        <f>_xlfn.LET(_xlpm.x,VLOOKUP($B274,spell_header!$B$2:$G$373,2,FALSE),IF(_xlpm.x="","",_xlpm.x))</f>
        <v>厄斐琉斯专用升级文本属性名称键</v>
      </c>
      <c r="D274" s="4" t="str">
        <f>IF(VLOOKUP($B274,spell_header!$B$2:$G$373,3,FALSE)="√","√","")</f>
        <v>√</v>
      </c>
      <c r="E274" s="4" t="str">
        <f>IF(VLOOKUP($B274,spell_header!$B$2:$G$373,4,FALSE)="√","√","")</f>
        <v>√</v>
      </c>
      <c r="F274" t="str">
        <f>_xlfn.LET(_xlpm.x,VLOOKUP($B274,spell_header!$B$2:$G$373,5,FALSE),IF(_xlpm.x="","",_xlpm.x))</f>
        <v/>
      </c>
      <c r="G274">
        <v>234</v>
      </c>
    </row>
    <row r="275" spans="1:7" ht="15" x14ac:dyDescent="0.2">
      <c r="A275">
        <v>273</v>
      </c>
      <c r="B275" s="1" t="s">
        <v>1431</v>
      </c>
      <c r="C275" t="str">
        <f>_xlfn.LET(_xlpm.x,VLOOKUP($B275,spell_header!$B$2:$G$373,2,FALSE),IF(_xlpm.x="","",_xlpm.x))</f>
        <v>简介键</v>
      </c>
      <c r="D275" s="4" t="str">
        <f>IF(VLOOKUP($B275,spell_header!$B$2:$G$373,3,FALSE)="√","√","")</f>
        <v>√</v>
      </c>
      <c r="E275" s="4" t="str">
        <f>IF(VLOOKUP($B275,spell_header!$B$2:$G$373,4,FALSE)="√","√","")</f>
        <v>√</v>
      </c>
      <c r="F275" t="str">
        <f>_xlfn.LET(_xlpm.x,VLOOKUP($B275,spell_header!$B$2:$G$373,5,FALSE),IF(_xlpm.x="","",_xlpm.x))</f>
        <v/>
      </c>
      <c r="G275">
        <v>193</v>
      </c>
    </row>
    <row r="276" spans="1:7" ht="15" x14ac:dyDescent="0.2">
      <c r="A276">
        <v>274</v>
      </c>
      <c r="B276" s="1" t="s">
        <v>1432</v>
      </c>
      <c r="C276" t="str">
        <f>_xlfn.LET(_xlpm.x,VLOOKUP($B276,spell_header!$B$2:$G$373,2,FALSE),IF(_xlpm.x="","",_xlpm.x))</f>
        <v>说明文本键</v>
      </c>
      <c r="D276" s="4" t="str">
        <f>IF(VLOOKUP($B276,spell_header!$B$2:$G$373,3,FALSE)="√","√","")</f>
        <v>√</v>
      </c>
      <c r="E276" s="4" t="str">
        <f>IF(VLOOKUP($B276,spell_header!$B$2:$G$373,4,FALSE)="√","√","")</f>
        <v>√</v>
      </c>
      <c r="F276" t="str">
        <f>_xlfn.LET(_xlpm.x,VLOOKUP($B276,spell_header!$B$2:$G$373,5,FALSE),IF(_xlpm.x="","",_xlpm.x))</f>
        <v/>
      </c>
      <c r="G276">
        <v>196</v>
      </c>
    </row>
    <row r="277" spans="1:7" ht="15" x14ac:dyDescent="0.2">
      <c r="A277">
        <v>275</v>
      </c>
      <c r="B277" s="1" t="s">
        <v>1433</v>
      </c>
      <c r="C277" t="str">
        <f>_xlfn.LET(_xlpm.x,VLOOKUP($B277,spell_header!$B$2:$G$373,2,FALSE),IF(_xlpm.x="","",_xlpm.x))</f>
        <v>消耗施法资源</v>
      </c>
      <c r="D277" s="4" t="str">
        <f>IF(VLOOKUP($B277,spell_header!$B$2:$G$373,3,FALSE)="√","√","")</f>
        <v>√</v>
      </c>
      <c r="E277" s="4" t="str">
        <f>IF(VLOOKUP($B277,spell_header!$B$2:$G$373,4,FALSE)="√","√","")</f>
        <v>√</v>
      </c>
      <c r="F277" t="str">
        <f>_xlfn.LET(_xlpm.x,VLOOKUP($B277,spell_header!$B$2:$G$373,5,FALSE),IF(_xlpm.x="","",_xlpm.x))</f>
        <v/>
      </c>
      <c r="G277">
        <v>183</v>
      </c>
    </row>
    <row r="278" spans="1:7" ht="15" x14ac:dyDescent="0.2">
      <c r="A278">
        <v>276</v>
      </c>
      <c r="B278" s="1" t="s">
        <v>1434</v>
      </c>
      <c r="C278" t="str">
        <f>_xlfn.LET(_xlpm.x,VLOOKUP($B278,spell_header!$B$2:$G$373,2,FALSE),IF(_xlpm.x="","",_xlpm.x))</f>
        <v>简要描述键</v>
      </c>
      <c r="D278" s="4" t="str">
        <f>IF(VLOOKUP($B278,spell_header!$B$2:$G$373,3,FALSE)="√","√","")</f>
        <v>√</v>
      </c>
      <c r="E278" s="4" t="str">
        <f>IF(VLOOKUP($B278,spell_header!$B$2:$G$373,4,FALSE)="√","√","")</f>
        <v>√</v>
      </c>
      <c r="F278" t="str">
        <f>_xlfn.LET(_xlpm.x,VLOOKUP($B278,spell_header!$B$2:$G$373,5,FALSE),IF(_xlpm.x="","",_xlpm.x))</f>
        <v/>
      </c>
      <c r="G278">
        <v>201</v>
      </c>
    </row>
    <row r="279" spans="1:7" ht="15" x14ac:dyDescent="0.2">
      <c r="A279">
        <v>277</v>
      </c>
      <c r="B279" s="1" t="s">
        <v>1435</v>
      </c>
      <c r="C279" t="str">
        <f>_xlfn.LET(_xlpm.x,VLOOKUP($B279,spell_header!$B$2:$G$373,2,FALSE),IF(_xlpm.x="","",_xlpm.x))</f>
        <v>详细描述键</v>
      </c>
      <c r="D279" s="4" t="str">
        <f>IF(VLOOKUP($B279,spell_header!$B$2:$G$373,3,FALSE)="√","√","")</f>
        <v>√</v>
      </c>
      <c r="E279" s="4" t="str">
        <f>IF(VLOOKUP($B279,spell_header!$B$2:$G$373,4,FALSE)="√","√","")</f>
        <v>√</v>
      </c>
      <c r="F279" t="str">
        <f>_xlfn.LET(_xlpm.x,VLOOKUP($B279,spell_header!$B$2:$G$373,5,FALSE),IF(_xlpm.x="","",_xlpm.x))</f>
        <v/>
      </c>
      <c r="G279">
        <v>206</v>
      </c>
    </row>
    <row r="280" spans="1:7" ht="15" x14ac:dyDescent="0.2">
      <c r="A280">
        <v>278</v>
      </c>
      <c r="B280" s="1" t="s">
        <v>1436</v>
      </c>
      <c r="C280" t="str">
        <f>_xlfn.LET(_xlpm.x,VLOOKUP($B280,spell_header!$B$2:$G$373,2,FALSE),IF(_xlpm.x="","",_xlpm.x))</f>
        <v>冷却时间键</v>
      </c>
      <c r="D280" s="4" t="str">
        <f>IF(VLOOKUP($B280,spell_header!$B$2:$G$373,3,FALSE)="√","√","")</f>
        <v>√</v>
      </c>
      <c r="E280" s="4" t="str">
        <f>IF(VLOOKUP($B280,spell_header!$B$2:$G$373,4,FALSE)="√","√","")</f>
        <v>√</v>
      </c>
      <c r="F280" t="str">
        <f>_xlfn.LET(_xlpm.x,VLOOKUP($B280,spell_header!$B$2:$G$373,5,FALSE),IF(_xlpm.x="","",_xlpm.x))</f>
        <v/>
      </c>
      <c r="G280">
        <v>188</v>
      </c>
    </row>
    <row r="281" spans="1:7" ht="15" x14ac:dyDescent="0.2">
      <c r="A281">
        <v>279</v>
      </c>
      <c r="B281" s="1" t="s">
        <v>1437</v>
      </c>
      <c r="C281" t="str">
        <f>_xlfn.LET(_xlpm.x,VLOOKUP($B281,spell_header!$B$2:$G$373,2,FALSE),IF(_xlpm.x="","",_xlpm.x))</f>
        <v>附加文本键</v>
      </c>
      <c r="D281" s="4" t="str">
        <f>IF(VLOOKUP($B281,spell_header!$B$2:$G$373,3,FALSE)="√","√","")</f>
        <v>√</v>
      </c>
      <c r="E281" s="4" t="str">
        <f>IF(VLOOKUP($B281,spell_header!$B$2:$G$373,4,FALSE)="√","√","")</f>
        <v>√</v>
      </c>
      <c r="F281" t="str">
        <f>_xlfn.LET(_xlpm.x,VLOOKUP($B281,spell_header!$B$2:$G$373,5,FALSE),IF(_xlpm.x="","",_xlpm.x))</f>
        <v/>
      </c>
      <c r="G281">
        <v>211</v>
      </c>
    </row>
    <row r="282" spans="1:7" ht="15" x14ac:dyDescent="0.2">
      <c r="A282">
        <v>280</v>
      </c>
      <c r="B282" s="1" t="s">
        <v>3741</v>
      </c>
      <c r="C282" t="str">
        <f>_xlfn.LET(_xlpm.x,VLOOKUP($B282,spell_header!$B$2:$G$373,2,FALSE),IF(_xlpm.x="","",_xlpm.x))</f>
        <v>选用名称键</v>
      </c>
      <c r="D282" s="4" t="str">
        <f>IF(VLOOKUP($B282,spell_header!$B$2:$G$373,3,FALSE)="√","√","")</f>
        <v>√</v>
      </c>
      <c r="E282" s="4" t="str">
        <f>IF(VLOOKUP($B282,spell_header!$B$2:$G$373,4,FALSE)="√","√","")</f>
        <v>√</v>
      </c>
      <c r="F282" t="str">
        <f>_xlfn.LET(_xlpm.x,VLOOKUP($B282,spell_header!$B$2:$G$373,5,FALSE),IF(_xlpm.x="","",_xlpm.x))</f>
        <v/>
      </c>
      <c r="G282">
        <v>216</v>
      </c>
    </row>
    <row r="283" spans="1:7" ht="15" x14ac:dyDescent="0.2">
      <c r="A283">
        <v>281</v>
      </c>
      <c r="B283" s="6" t="s">
        <v>1438</v>
      </c>
      <c r="C283" t="str">
        <f>_xlfn.LET(_xlpm.x,VLOOKUP($B283,spell_header!$B$2:$G$373,2,FALSE),IF(_xlpm.x="","",_xlpm.x))</f>
        <v>未格式化名称（中文）</v>
      </c>
      <c r="D283" s="4" t="str">
        <f>IF(VLOOKUP($B283,spell_header!$B$2:$G$373,3,FALSE)="√","√","")</f>
        <v/>
      </c>
      <c r="E283" s="4" t="str">
        <f>IF(VLOOKUP($B283,spell_header!$B$2:$G$373,4,FALSE)="√","√","")</f>
        <v>√</v>
      </c>
      <c r="F283" t="str">
        <f>_xlfn.LET(_xlpm.x,VLOOKUP($B283,spell_header!$B$2:$G$373,5,FALSE),IF(_xlpm.x="","",_xlpm.x))</f>
        <v/>
      </c>
      <c r="G283">
        <v>180</v>
      </c>
    </row>
    <row r="284" spans="1:7" ht="15" x14ac:dyDescent="0.2">
      <c r="A284">
        <v>282</v>
      </c>
      <c r="B284" s="6" t="s">
        <v>1439</v>
      </c>
      <c r="C284" t="str">
        <f>_xlfn.LET(_xlpm.x,VLOOKUP($B284,spell_header!$B$2:$G$373,2,FALSE),IF(_xlpm.x="","",_xlpm.x))</f>
        <v>未格式化名称（英文）</v>
      </c>
      <c r="D284" s="4" t="str">
        <f>IF(VLOOKUP($B284,spell_header!$B$2:$G$373,3,FALSE)="√","√","")</f>
        <v/>
      </c>
      <c r="E284" s="4" t="str">
        <f>IF(VLOOKUP($B284,spell_header!$B$2:$G$373,4,FALSE)="√","√","")</f>
        <v>√</v>
      </c>
      <c r="F284" t="str">
        <f>_xlfn.LET(_xlpm.x,VLOOKUP($B284,spell_header!$B$2:$G$373,5,FALSE),IF(_xlpm.x="","",_xlpm.x))</f>
        <v/>
      </c>
      <c r="G284">
        <v>181</v>
      </c>
    </row>
    <row r="285" spans="1:7" ht="15" x14ac:dyDescent="0.2">
      <c r="A285">
        <v>283</v>
      </c>
      <c r="B285" s="6" t="s">
        <v>1440</v>
      </c>
      <c r="C285" t="str">
        <f>_xlfn.LET(_xlpm.x,VLOOKUP($B285,spell_header!$B$2:$G$373,2,FALSE),IF(_xlpm.x="","",_xlpm.x))</f>
        <v>凯隐特有升级类型（中文）</v>
      </c>
      <c r="D285" s="4" t="str">
        <f>IF(VLOOKUP($B285,spell_header!$B$2:$G$373,3,FALSE)="√","√","")</f>
        <v/>
      </c>
      <c r="E285" s="4" t="str">
        <f>IF(VLOOKUP($B285,spell_header!$B$2:$G$373,4,FALSE)="√","√","")</f>
        <v>√</v>
      </c>
      <c r="F285" t="str">
        <f>_xlfn.LET(_xlpm.x,VLOOKUP($B285,spell_header!$B$2:$G$373,5,FALSE),IF(_xlpm.x="","",_xlpm.x))</f>
        <v/>
      </c>
      <c r="G285">
        <v>220</v>
      </c>
    </row>
    <row r="286" spans="1:7" ht="15" x14ac:dyDescent="0.2">
      <c r="A286">
        <v>284</v>
      </c>
      <c r="B286" s="6" t="s">
        <v>1441</v>
      </c>
      <c r="C286" t="str">
        <f>_xlfn.LET(_xlpm.x,VLOOKUP($B286,spell_header!$B$2:$G$373,2,FALSE),IF(_xlpm.x="","",_xlpm.x))</f>
        <v>凯隐特有升级类型（英文）</v>
      </c>
      <c r="D286" s="4" t="str">
        <f>IF(VLOOKUP($B286,spell_header!$B$2:$G$373,3,FALSE)="√","√","")</f>
        <v/>
      </c>
      <c r="E286" s="4" t="str">
        <f>IF(VLOOKUP($B286,spell_header!$B$2:$G$373,4,FALSE)="√","√","")</f>
        <v>√</v>
      </c>
      <c r="F286" t="str">
        <f>_xlfn.LET(_xlpm.x,VLOOKUP($B286,spell_header!$B$2:$G$373,5,FALSE),IF(_xlpm.x="","",_xlpm.x))</f>
        <v/>
      </c>
      <c r="G286">
        <v>222</v>
      </c>
    </row>
    <row r="287" spans="1:7" ht="15" x14ac:dyDescent="0.2">
      <c r="A287">
        <v>285</v>
      </c>
      <c r="B287" s="6" t="s">
        <v>3650</v>
      </c>
      <c r="C287" t="str">
        <f>_xlfn.LET(_xlpm.x,VLOOKUP($B287,spell_header!$B$2:$G$373,2,FALSE),IF(_xlpm.x="","",_xlpm.x))</f>
        <v>凯隐特有升级类型（中文/数值转换）</v>
      </c>
      <c r="D287" s="4" t="str">
        <f>IF(VLOOKUP($B287,spell_header!$B$2:$G$373,3,FALSE)="√","√","")</f>
        <v/>
      </c>
      <c r="E287" s="4" t="str">
        <f>IF(VLOOKUP($B287,spell_header!$B$2:$G$373,4,FALSE)="√","√","")</f>
        <v>√</v>
      </c>
      <c r="F287" t="str">
        <f>_xlfn.LET(_xlpm.x,VLOOKUP($B287,spell_header!$B$2:$G$373,5,FALSE),IF(_xlpm.x="","",_xlpm.x))</f>
        <v/>
      </c>
      <c r="G287">
        <v>221</v>
      </c>
    </row>
    <row r="288" spans="1:7" ht="15" x14ac:dyDescent="0.2">
      <c r="A288">
        <v>286</v>
      </c>
      <c r="B288" s="6" t="s">
        <v>3651</v>
      </c>
      <c r="C288" t="str">
        <f>_xlfn.LET(_xlpm.x,VLOOKUP($B288,spell_header!$B$2:$G$373,2,FALSE),IF(_xlpm.x="","",_xlpm.x))</f>
        <v>凯隐特有升级类型（英文/数值转换）</v>
      </c>
      <c r="D288" s="4" t="str">
        <f>IF(VLOOKUP($B288,spell_header!$B$2:$G$373,3,FALSE)="√","√","")</f>
        <v/>
      </c>
      <c r="E288" s="4" t="str">
        <f>IF(VLOOKUP($B288,spell_header!$B$2:$G$373,4,FALSE)="√","√","")</f>
        <v>√</v>
      </c>
      <c r="F288" t="str">
        <f>_xlfn.LET(_xlpm.x,VLOOKUP($B288,spell_header!$B$2:$G$373,5,FALSE),IF(_xlpm.x="","",_xlpm.x))</f>
        <v/>
      </c>
      <c r="G288">
        <v>223</v>
      </c>
    </row>
    <row r="289" spans="1:7" ht="15" x14ac:dyDescent="0.2">
      <c r="A289">
        <v>287</v>
      </c>
      <c r="B289" s="6" t="s">
        <v>1442</v>
      </c>
      <c r="C289" t="str">
        <f>_xlfn.LET(_xlpm.x,VLOOKUP($B289,spell_header!$B$2:$G$373,2,FALSE),IF(_xlpm.x="","",_xlpm.x))</f>
        <v>凯隐特有升级数值（中文）</v>
      </c>
      <c r="D289" s="4" t="str">
        <f>IF(VLOOKUP($B289,spell_header!$B$2:$G$373,3,FALSE)="√","√","")</f>
        <v/>
      </c>
      <c r="E289" s="4" t="str">
        <f>IF(VLOOKUP($B289,spell_header!$B$2:$G$373,4,FALSE)="√","√","")</f>
        <v>√</v>
      </c>
      <c r="F289" t="str">
        <f>_xlfn.LET(_xlpm.x,VLOOKUP($B289,spell_header!$B$2:$G$373,5,FALSE),IF(_xlpm.x="","",_xlpm.x))</f>
        <v/>
      </c>
      <c r="G289">
        <v>225</v>
      </c>
    </row>
    <row r="290" spans="1:7" ht="15" x14ac:dyDescent="0.2">
      <c r="A290">
        <v>288</v>
      </c>
      <c r="B290" s="6" t="s">
        <v>1443</v>
      </c>
      <c r="C290" t="str">
        <f>_xlfn.LET(_xlpm.x,VLOOKUP($B290,spell_header!$B$2:$G$373,2,FALSE),IF(_xlpm.x="","",_xlpm.x))</f>
        <v>凯隐特有升级数值（英文）</v>
      </c>
      <c r="D290" s="4" t="str">
        <f>IF(VLOOKUP($B290,spell_header!$B$2:$G$373,3,FALSE)="√","√","")</f>
        <v/>
      </c>
      <c r="E290" s="4" t="str">
        <f>IF(VLOOKUP($B290,spell_header!$B$2:$G$373,4,FALSE)="√","√","")</f>
        <v>√</v>
      </c>
      <c r="F290" t="str">
        <f>_xlfn.LET(_xlpm.x,VLOOKUP($B290,spell_header!$B$2:$G$373,5,FALSE),IF(_xlpm.x="","",_xlpm.x))</f>
        <v/>
      </c>
      <c r="G290">
        <v>227</v>
      </c>
    </row>
    <row r="291" spans="1:7" ht="15" x14ac:dyDescent="0.2">
      <c r="A291">
        <v>289</v>
      </c>
      <c r="B291" s="6" t="s">
        <v>3646</v>
      </c>
      <c r="C291" t="str">
        <f>_xlfn.LET(_xlpm.x,VLOOKUP($B291,spell_header!$B$2:$G$373,2,FALSE),IF(_xlpm.x="","",_xlpm.x))</f>
        <v>凯隐特有升级数值（中文/数值转换）</v>
      </c>
      <c r="D291" s="4" t="str">
        <f>IF(VLOOKUP($B291,spell_header!$B$2:$G$373,3,FALSE)="√","√","")</f>
        <v/>
      </c>
      <c r="E291" s="4" t="str">
        <f>IF(VLOOKUP($B291,spell_header!$B$2:$G$373,4,FALSE)="√","√","")</f>
        <v>√</v>
      </c>
      <c r="F291" t="str">
        <f>_xlfn.LET(_xlpm.x,VLOOKUP($B291,spell_header!$B$2:$G$373,5,FALSE),IF(_xlpm.x="","",_xlpm.x))</f>
        <v/>
      </c>
      <c r="G291">
        <v>226</v>
      </c>
    </row>
    <row r="292" spans="1:7" ht="15" x14ac:dyDescent="0.2">
      <c r="A292">
        <v>290</v>
      </c>
      <c r="B292" s="6" t="s">
        <v>3647</v>
      </c>
      <c r="C292" t="str">
        <f>_xlfn.LET(_xlpm.x,VLOOKUP($B292,spell_header!$B$2:$G$373,2,FALSE),IF(_xlpm.x="","",_xlpm.x))</f>
        <v>凯隐特有升级数值（英文/数值转换）</v>
      </c>
      <c r="D292" s="4" t="str">
        <f>IF(VLOOKUP($B292,spell_header!$B$2:$G$373,3,FALSE)="√","√","")</f>
        <v/>
      </c>
      <c r="E292" s="4" t="str">
        <f>IF(VLOOKUP($B292,spell_header!$B$2:$G$373,4,FALSE)="√","√","")</f>
        <v>√</v>
      </c>
      <c r="F292" t="str">
        <f>_xlfn.LET(_xlpm.x,VLOOKUP($B292,spell_header!$B$2:$G$373,5,FALSE),IF(_xlpm.x="","",_xlpm.x))</f>
        <v/>
      </c>
      <c r="G292">
        <v>228</v>
      </c>
    </row>
    <row r="293" spans="1:7" ht="15" x14ac:dyDescent="0.2">
      <c r="A293">
        <v>291</v>
      </c>
      <c r="B293" s="6" t="s">
        <v>2073</v>
      </c>
      <c r="C293" t="str">
        <f>_xlfn.LET(_xlpm.x,VLOOKUP($B293,spell_header!$B$2:$G$373,2,FALSE),IF(_xlpm.x="","",_xlpm.x))</f>
        <v>名称（中文）</v>
      </c>
      <c r="D293" s="4" t="str">
        <f>IF(VLOOKUP($B293,spell_header!$B$2:$G$373,3,FALSE)="√","√","")</f>
        <v/>
      </c>
      <c r="E293" s="4" t="str">
        <f>IF(VLOOKUP($B293,spell_header!$B$2:$G$373,4,FALSE)="√","√","")</f>
        <v>√</v>
      </c>
      <c r="F293" t="str">
        <f>_xlfn.LET(_xlpm.x,VLOOKUP($B293,spell_header!$B$2:$G$373,5,FALSE),IF(_xlpm.x="","",_xlpm.x))</f>
        <v/>
      </c>
      <c r="G293">
        <v>5</v>
      </c>
    </row>
    <row r="294" spans="1:7" ht="15" x14ac:dyDescent="0.2">
      <c r="A294">
        <v>292</v>
      </c>
      <c r="B294" s="6" t="s">
        <v>2074</v>
      </c>
      <c r="C294" t="str">
        <f>_xlfn.LET(_xlpm.x,VLOOKUP($B294,spell_header!$B$2:$G$373,2,FALSE),IF(_xlpm.x="","",_xlpm.x))</f>
        <v>名称（英文）</v>
      </c>
      <c r="D294" s="4" t="str">
        <f>IF(VLOOKUP($B294,spell_header!$B$2:$G$373,3,FALSE)="√","√","")</f>
        <v/>
      </c>
      <c r="E294" s="4" t="str">
        <f>IF(VLOOKUP($B294,spell_header!$B$2:$G$373,4,FALSE)="√","√","")</f>
        <v>√</v>
      </c>
      <c r="F294" t="str">
        <f>_xlfn.LET(_xlpm.x,VLOOKUP($B294,spell_header!$B$2:$G$373,5,FALSE),IF(_xlpm.x="","",_xlpm.x))</f>
        <v/>
      </c>
      <c r="G294">
        <v>6</v>
      </c>
    </row>
    <row r="295" spans="1:7" ht="15" x14ac:dyDescent="0.2">
      <c r="A295">
        <v>293</v>
      </c>
      <c r="B295" s="6" t="s">
        <v>1444</v>
      </c>
      <c r="C295" t="str">
        <f>_xlfn.LET(_xlpm.x,VLOOKUP($B295,spell_header!$B$2:$G$373,2,FALSE),IF(_xlpm.x="","",_xlpm.x))</f>
        <v>厄斐琉斯专用升级文本（中文）</v>
      </c>
      <c r="D295" s="4" t="str">
        <f>IF(VLOOKUP($B295,spell_header!$B$2:$G$373,3,FALSE)="√","√","")</f>
        <v/>
      </c>
      <c r="E295" s="4" t="str">
        <f>IF(VLOOKUP($B295,spell_header!$B$2:$G$373,4,FALSE)="√","√","")</f>
        <v>√</v>
      </c>
      <c r="F295" t="str">
        <f>_xlfn.LET(_xlpm.x,VLOOKUP($B295,spell_header!$B$2:$G$373,5,FALSE),IF(_xlpm.x="","",_xlpm.x))</f>
        <v/>
      </c>
      <c r="G295">
        <v>230</v>
      </c>
    </row>
    <row r="296" spans="1:7" ht="15" x14ac:dyDescent="0.2">
      <c r="A296">
        <v>294</v>
      </c>
      <c r="B296" s="6" t="s">
        <v>1445</v>
      </c>
      <c r="C296" t="str">
        <f>_xlfn.LET(_xlpm.x,VLOOKUP($B296,spell_header!$B$2:$G$373,2,FALSE),IF(_xlpm.x="","",_xlpm.x))</f>
        <v>厄斐琉斯专用升级文本（英文）</v>
      </c>
      <c r="D296" s="4" t="str">
        <f>IF(VLOOKUP($B296,spell_header!$B$2:$G$373,3,FALSE)="√","√","")</f>
        <v/>
      </c>
      <c r="E296" s="4" t="str">
        <f>IF(VLOOKUP($B296,spell_header!$B$2:$G$373,4,FALSE)="√","√","")</f>
        <v>√</v>
      </c>
      <c r="F296" t="str">
        <f>_xlfn.LET(_xlpm.x,VLOOKUP($B296,spell_header!$B$2:$G$373,5,FALSE),IF(_xlpm.x="","",_xlpm.x))</f>
        <v/>
      </c>
      <c r="G296">
        <v>232</v>
      </c>
    </row>
    <row r="297" spans="1:7" ht="15" x14ac:dyDescent="0.2">
      <c r="A297">
        <v>295</v>
      </c>
      <c r="B297" s="6" t="s">
        <v>1446</v>
      </c>
      <c r="C297" t="str">
        <f>_xlfn.LET(_xlpm.x,VLOOKUP($B297,spell_header!$B$2:$G$373,2,FALSE),IF(_xlpm.x="","",_xlpm.x))</f>
        <v>厄斐琉斯专用升级文本（中文/数值转换）</v>
      </c>
      <c r="D297" s="4" t="str">
        <f>IF(VLOOKUP($B297,spell_header!$B$2:$G$373,3,FALSE)="√","√","")</f>
        <v/>
      </c>
      <c r="E297" s="4" t="str">
        <f>IF(VLOOKUP($B297,spell_header!$B$2:$G$373,4,FALSE)="√","√","")</f>
        <v>√</v>
      </c>
      <c r="F297" t="str">
        <f>_xlfn.LET(_xlpm.x,VLOOKUP($B297,spell_header!$B$2:$G$373,5,FALSE),IF(_xlpm.x="","",_xlpm.x))</f>
        <v/>
      </c>
      <c r="G297">
        <v>231</v>
      </c>
    </row>
    <row r="298" spans="1:7" ht="15" x14ac:dyDescent="0.2">
      <c r="A298">
        <v>296</v>
      </c>
      <c r="B298" s="6" t="s">
        <v>1447</v>
      </c>
      <c r="C298" t="str">
        <f>_xlfn.LET(_xlpm.x,VLOOKUP($B298,spell_header!$B$2:$G$373,2,FALSE),IF(_xlpm.x="","",_xlpm.x))</f>
        <v>厄斐琉斯专用升级文本（英文/数值转换）</v>
      </c>
      <c r="D298" s="4" t="str">
        <f>IF(VLOOKUP($B298,spell_header!$B$2:$G$373,3,FALSE)="√","√","")</f>
        <v/>
      </c>
      <c r="E298" s="4" t="str">
        <f>IF(VLOOKUP($B298,spell_header!$B$2:$G$373,4,FALSE)="√","√","")</f>
        <v>√</v>
      </c>
      <c r="F298" t="str">
        <f>_xlfn.LET(_xlpm.x,VLOOKUP($B298,spell_header!$B$2:$G$373,5,FALSE),IF(_xlpm.x="","",_xlpm.x))</f>
        <v/>
      </c>
      <c r="G298">
        <v>233</v>
      </c>
    </row>
    <row r="299" spans="1:7" ht="15" x14ac:dyDescent="0.2">
      <c r="A299">
        <v>297</v>
      </c>
      <c r="B299" s="6" t="s">
        <v>1448</v>
      </c>
      <c r="C299" t="str">
        <f>_xlfn.LET(_xlpm.x,VLOOKUP($B299,spell_header!$B$2:$G$373,2,FALSE),IF(_xlpm.x="","",_xlpm.x))</f>
        <v>厄斐琉斯专用升级文本属性名称（中文）</v>
      </c>
      <c r="D299" s="4" t="str">
        <f>IF(VLOOKUP($B299,spell_header!$B$2:$G$373,3,FALSE)="√","√","")</f>
        <v/>
      </c>
      <c r="E299" s="4" t="str">
        <f>IF(VLOOKUP($B299,spell_header!$B$2:$G$373,4,FALSE)="√","√","")</f>
        <v>√</v>
      </c>
      <c r="F299" t="str">
        <f>_xlfn.LET(_xlpm.x,VLOOKUP($B299,spell_header!$B$2:$G$373,5,FALSE),IF(_xlpm.x="","",_xlpm.x))</f>
        <v/>
      </c>
      <c r="G299">
        <v>235</v>
      </c>
    </row>
    <row r="300" spans="1:7" ht="15" x14ac:dyDescent="0.2">
      <c r="A300">
        <v>298</v>
      </c>
      <c r="B300" s="6" t="s">
        <v>1449</v>
      </c>
      <c r="C300" t="str">
        <f>_xlfn.LET(_xlpm.x,VLOOKUP($B300,spell_header!$B$2:$G$373,2,FALSE),IF(_xlpm.x="","",_xlpm.x))</f>
        <v>厄斐琉斯专用升级文本属性名称（英文）</v>
      </c>
      <c r="D300" s="4" t="str">
        <f>IF(VLOOKUP($B300,spell_header!$B$2:$G$373,3,FALSE)="√","√","")</f>
        <v/>
      </c>
      <c r="E300" s="4" t="str">
        <f>IF(VLOOKUP($B300,spell_header!$B$2:$G$373,4,FALSE)="√","√","")</f>
        <v>√</v>
      </c>
      <c r="F300" t="str">
        <f>_xlfn.LET(_xlpm.x,VLOOKUP($B300,spell_header!$B$2:$G$373,5,FALSE),IF(_xlpm.x="","",_xlpm.x))</f>
        <v/>
      </c>
      <c r="G300">
        <v>237</v>
      </c>
    </row>
    <row r="301" spans="1:7" ht="15" x14ac:dyDescent="0.2">
      <c r="A301">
        <v>299</v>
      </c>
      <c r="B301" s="6" t="s">
        <v>1450</v>
      </c>
      <c r="C301" t="str">
        <f>_xlfn.LET(_xlpm.x,VLOOKUP($B301,spell_header!$B$2:$G$373,2,FALSE),IF(_xlpm.x="","",_xlpm.x))</f>
        <v>厄斐琉斯专用升级文本属性名称（中文/数值转换）</v>
      </c>
      <c r="D301" s="4" t="str">
        <f>IF(VLOOKUP($B301,spell_header!$B$2:$G$373,3,FALSE)="√","√","")</f>
        <v/>
      </c>
      <c r="E301" s="4" t="str">
        <f>IF(VLOOKUP($B301,spell_header!$B$2:$G$373,4,FALSE)="√","√","")</f>
        <v>√</v>
      </c>
      <c r="F301" t="str">
        <f>_xlfn.LET(_xlpm.x,VLOOKUP($B301,spell_header!$B$2:$G$373,5,FALSE),IF(_xlpm.x="","",_xlpm.x))</f>
        <v/>
      </c>
      <c r="G301">
        <v>236</v>
      </c>
    </row>
    <row r="302" spans="1:7" ht="15" x14ac:dyDescent="0.2">
      <c r="A302">
        <v>300</v>
      </c>
      <c r="B302" s="6" t="s">
        <v>1451</v>
      </c>
      <c r="C302" t="str">
        <f>_xlfn.LET(_xlpm.x,VLOOKUP($B302,spell_header!$B$2:$G$373,2,FALSE),IF(_xlpm.x="","",_xlpm.x))</f>
        <v>厄斐琉斯专用升级文本属性名称（英文/数值转换）</v>
      </c>
      <c r="D302" s="4" t="str">
        <f>IF(VLOOKUP($B302,spell_header!$B$2:$G$373,3,FALSE)="√","√","")</f>
        <v/>
      </c>
      <c r="E302" s="4" t="str">
        <f>IF(VLOOKUP($B302,spell_header!$B$2:$G$373,4,FALSE)="√","√","")</f>
        <v>√</v>
      </c>
      <c r="F302" t="str">
        <f>_xlfn.LET(_xlpm.x,VLOOKUP($B302,spell_header!$B$2:$G$373,5,FALSE),IF(_xlpm.x="","",_xlpm.x))</f>
        <v/>
      </c>
      <c r="G302">
        <v>238</v>
      </c>
    </row>
    <row r="303" spans="1:7" ht="15" x14ac:dyDescent="0.2">
      <c r="A303">
        <v>301</v>
      </c>
      <c r="B303" s="6" t="s">
        <v>1452</v>
      </c>
      <c r="C303" t="str">
        <f>_xlfn.LET(_xlpm.x,VLOOKUP($B303,spell_header!$B$2:$G$373,2,FALSE),IF(_xlpm.x="","",_xlpm.x))</f>
        <v>简介（中文）</v>
      </c>
      <c r="D303" s="4" t="str">
        <f>IF(VLOOKUP($B303,spell_header!$B$2:$G$373,3,FALSE)="√","√","")</f>
        <v/>
      </c>
      <c r="E303" s="4" t="str">
        <f>IF(VLOOKUP($B303,spell_header!$B$2:$G$373,4,FALSE)="√","√","")</f>
        <v>√</v>
      </c>
      <c r="F303" t="str">
        <f>_xlfn.LET(_xlpm.x,VLOOKUP($B303,spell_header!$B$2:$G$373,5,FALSE),IF(_xlpm.x="","",_xlpm.x))</f>
        <v/>
      </c>
      <c r="G303">
        <v>194</v>
      </c>
    </row>
    <row r="304" spans="1:7" ht="15" x14ac:dyDescent="0.2">
      <c r="A304">
        <v>302</v>
      </c>
      <c r="B304" s="6" t="s">
        <v>1453</v>
      </c>
      <c r="C304" t="str">
        <f>_xlfn.LET(_xlpm.x,VLOOKUP($B304,spell_header!$B$2:$G$373,2,FALSE),IF(_xlpm.x="","",_xlpm.x))</f>
        <v>简介（英文）</v>
      </c>
      <c r="D304" s="4" t="str">
        <f>IF(VLOOKUP($B304,spell_header!$B$2:$G$373,3,FALSE)="√","√","")</f>
        <v/>
      </c>
      <c r="E304" s="4" t="str">
        <f>IF(VLOOKUP($B304,spell_header!$B$2:$G$373,4,FALSE)="√","√","")</f>
        <v>√</v>
      </c>
      <c r="F304" t="str">
        <f>_xlfn.LET(_xlpm.x,VLOOKUP($B304,spell_header!$B$2:$G$373,5,FALSE),IF(_xlpm.x="","",_xlpm.x))</f>
        <v/>
      </c>
      <c r="G304">
        <v>195</v>
      </c>
    </row>
    <row r="305" spans="1:7" ht="15" x14ac:dyDescent="0.2">
      <c r="A305">
        <v>303</v>
      </c>
      <c r="B305" s="6" t="s">
        <v>1454</v>
      </c>
      <c r="C305" t="str">
        <f>_xlfn.LET(_xlpm.x,VLOOKUP($B305,spell_header!$B$2:$G$373,2,FALSE),IF(_xlpm.x="","",_xlpm.x))</f>
        <v>说明文本（中文）</v>
      </c>
      <c r="D305" s="4" t="str">
        <f>IF(VLOOKUP($B305,spell_header!$B$2:$G$373,3,FALSE)="√","√","")</f>
        <v/>
      </c>
      <c r="E305" s="4" t="str">
        <f>IF(VLOOKUP($B305,spell_header!$B$2:$G$373,4,FALSE)="√","√","")</f>
        <v>√</v>
      </c>
      <c r="F305" t="str">
        <f>_xlfn.LET(_xlpm.x,VLOOKUP($B305,spell_header!$B$2:$G$373,5,FALSE),IF(_xlpm.x="","",_xlpm.x))</f>
        <v/>
      </c>
      <c r="G305">
        <v>197</v>
      </c>
    </row>
    <row r="306" spans="1:7" ht="15" x14ac:dyDescent="0.2">
      <c r="A306">
        <v>304</v>
      </c>
      <c r="B306" s="6" t="s">
        <v>1455</v>
      </c>
      <c r="C306" t="str">
        <f>_xlfn.LET(_xlpm.x,VLOOKUP($B306,spell_header!$B$2:$G$373,2,FALSE),IF(_xlpm.x="","",_xlpm.x))</f>
        <v>说明文本（英文）</v>
      </c>
      <c r="D306" s="4" t="str">
        <f>IF(VLOOKUP($B306,spell_header!$B$2:$G$373,3,FALSE)="√","√","")</f>
        <v/>
      </c>
      <c r="E306" s="4" t="str">
        <f>IF(VLOOKUP($B306,spell_header!$B$2:$G$373,4,FALSE)="√","√","")</f>
        <v>√</v>
      </c>
      <c r="F306" t="str">
        <f>_xlfn.LET(_xlpm.x,VLOOKUP($B306,spell_header!$B$2:$G$373,5,FALSE),IF(_xlpm.x="","",_xlpm.x))</f>
        <v/>
      </c>
      <c r="G306">
        <v>199</v>
      </c>
    </row>
    <row r="307" spans="1:7" ht="15" x14ac:dyDescent="0.2">
      <c r="A307">
        <v>305</v>
      </c>
      <c r="B307" s="6" t="s">
        <v>1456</v>
      </c>
      <c r="C307" t="str">
        <f>_xlfn.LET(_xlpm.x,VLOOKUP($B307,spell_header!$B$2:$G$373,2,FALSE),IF(_xlpm.x="","",_xlpm.x))</f>
        <v>说明文本（中文/数值转换）</v>
      </c>
      <c r="D307" s="4" t="str">
        <f>IF(VLOOKUP($B307,spell_header!$B$2:$G$373,3,FALSE)="√","√","")</f>
        <v/>
      </c>
      <c r="E307" s="4" t="str">
        <f>IF(VLOOKUP($B307,spell_header!$B$2:$G$373,4,FALSE)="√","√","")</f>
        <v>√</v>
      </c>
      <c r="F307" t="str">
        <f>_xlfn.LET(_xlpm.x,VLOOKUP($B307,spell_header!$B$2:$G$373,5,FALSE),IF(_xlpm.x="","",_xlpm.x))</f>
        <v/>
      </c>
      <c r="G307">
        <v>198</v>
      </c>
    </row>
    <row r="308" spans="1:7" ht="15" x14ac:dyDescent="0.2">
      <c r="A308">
        <v>306</v>
      </c>
      <c r="B308" s="6" t="s">
        <v>1457</v>
      </c>
      <c r="C308" t="str">
        <f>_xlfn.LET(_xlpm.x,VLOOKUP($B308,spell_header!$B$2:$G$373,2,FALSE),IF(_xlpm.x="","",_xlpm.x))</f>
        <v>说明文本（英文/数值转换）</v>
      </c>
      <c r="D308" s="4" t="str">
        <f>IF(VLOOKUP($B308,spell_header!$B$2:$G$373,3,FALSE)="√","√","")</f>
        <v/>
      </c>
      <c r="E308" s="4" t="str">
        <f>IF(VLOOKUP($B308,spell_header!$B$2:$G$373,4,FALSE)="√","√","")</f>
        <v>√</v>
      </c>
      <c r="F308" t="str">
        <f>_xlfn.LET(_xlpm.x,VLOOKUP($B308,spell_header!$B$2:$G$373,5,FALSE),IF(_xlpm.x="","",_xlpm.x))</f>
        <v/>
      </c>
      <c r="G308">
        <v>200</v>
      </c>
    </row>
    <row r="309" spans="1:7" ht="15" x14ac:dyDescent="0.2">
      <c r="A309">
        <v>307</v>
      </c>
      <c r="B309" s="6" t="s">
        <v>1458</v>
      </c>
      <c r="C309" t="str">
        <f>_xlfn.LET(_xlpm.x,VLOOKUP($B309,spell_header!$B$2:$G$373,2,FALSE),IF(_xlpm.x="","",_xlpm.x))</f>
        <v>消耗施法资源（中文）</v>
      </c>
      <c r="D309" s="4" t="str">
        <f>IF(VLOOKUP($B309,spell_header!$B$2:$G$373,3,FALSE)="√","√","")</f>
        <v/>
      </c>
      <c r="E309" s="4" t="str">
        <f>IF(VLOOKUP($B309,spell_header!$B$2:$G$373,4,FALSE)="√","√","")</f>
        <v>√</v>
      </c>
      <c r="F309" t="str">
        <f>_xlfn.LET(_xlpm.x,VLOOKUP($B309,spell_header!$B$2:$G$373,5,FALSE),IF(_xlpm.x="","",_xlpm.x))</f>
        <v/>
      </c>
      <c r="G309">
        <v>184</v>
      </c>
    </row>
    <row r="310" spans="1:7" ht="15" x14ac:dyDescent="0.2">
      <c r="A310">
        <v>308</v>
      </c>
      <c r="B310" s="6" t="s">
        <v>1459</v>
      </c>
      <c r="C310" t="str">
        <f>_xlfn.LET(_xlpm.x,VLOOKUP($B310,spell_header!$B$2:$G$373,2,FALSE),IF(_xlpm.x="","",_xlpm.x))</f>
        <v>消耗施法资源（英文）</v>
      </c>
      <c r="D310" s="4" t="str">
        <f>IF(VLOOKUP($B310,spell_header!$B$2:$G$373,3,FALSE)="√","√","")</f>
        <v/>
      </c>
      <c r="E310" s="4" t="str">
        <f>IF(VLOOKUP($B310,spell_header!$B$2:$G$373,4,FALSE)="√","√","")</f>
        <v>√</v>
      </c>
      <c r="F310" t="str">
        <f>_xlfn.LET(_xlpm.x,VLOOKUP($B310,spell_header!$B$2:$G$373,5,FALSE),IF(_xlpm.x="","",_xlpm.x))</f>
        <v/>
      </c>
      <c r="G310">
        <v>186</v>
      </c>
    </row>
    <row r="311" spans="1:7" ht="15" x14ac:dyDescent="0.2">
      <c r="A311">
        <v>309</v>
      </c>
      <c r="B311" s="6" t="s">
        <v>1460</v>
      </c>
      <c r="C311" t="str">
        <f>_xlfn.LET(_xlpm.x,VLOOKUP($B311,spell_header!$B$2:$G$373,2,FALSE),IF(_xlpm.x="","",_xlpm.x))</f>
        <v>消耗施法资源（中文/数值转换）</v>
      </c>
      <c r="D311" s="4" t="str">
        <f>IF(VLOOKUP($B311,spell_header!$B$2:$G$373,3,FALSE)="√","√","")</f>
        <v/>
      </c>
      <c r="E311" s="4" t="str">
        <f>IF(VLOOKUP($B311,spell_header!$B$2:$G$373,4,FALSE)="√","√","")</f>
        <v>√</v>
      </c>
      <c r="F311" t="str">
        <f>_xlfn.LET(_xlpm.x,VLOOKUP($B311,spell_header!$B$2:$G$373,5,FALSE),IF(_xlpm.x="","",_xlpm.x))</f>
        <v/>
      </c>
      <c r="G311">
        <v>185</v>
      </c>
    </row>
    <row r="312" spans="1:7" ht="15" x14ac:dyDescent="0.2">
      <c r="A312">
        <v>310</v>
      </c>
      <c r="B312" s="6" t="s">
        <v>1461</v>
      </c>
      <c r="C312" t="str">
        <f>_xlfn.LET(_xlpm.x,VLOOKUP($B312,spell_header!$B$2:$G$373,2,FALSE),IF(_xlpm.x="","",_xlpm.x))</f>
        <v>消耗施法资源（英文/数值转换）</v>
      </c>
      <c r="D312" s="4" t="str">
        <f>IF(VLOOKUP($B312,spell_header!$B$2:$G$373,3,FALSE)="√","√","")</f>
        <v/>
      </c>
      <c r="E312" s="4" t="str">
        <f>IF(VLOOKUP($B312,spell_header!$B$2:$G$373,4,FALSE)="√","√","")</f>
        <v>√</v>
      </c>
      <c r="F312" t="str">
        <f>_xlfn.LET(_xlpm.x,VLOOKUP($B312,spell_header!$B$2:$G$373,5,FALSE),IF(_xlpm.x="","",_xlpm.x))</f>
        <v/>
      </c>
      <c r="G312">
        <v>187</v>
      </c>
    </row>
    <row r="313" spans="1:7" ht="15" x14ac:dyDescent="0.2">
      <c r="A313">
        <v>311</v>
      </c>
      <c r="B313" s="6" t="s">
        <v>1462</v>
      </c>
      <c r="C313" t="str">
        <f>_xlfn.LET(_xlpm.x,VLOOKUP($B313,spell_header!$B$2:$G$373,2,FALSE),IF(_xlpm.x="","",_xlpm.x))</f>
        <v>简述（中文）</v>
      </c>
      <c r="D313" s="4" t="str">
        <f>IF(VLOOKUP($B313,spell_header!$B$2:$G$373,3,FALSE)="√","√","")</f>
        <v/>
      </c>
      <c r="E313" s="4" t="str">
        <f>IF(VLOOKUP($B313,spell_header!$B$2:$G$373,4,FALSE)="√","√","")</f>
        <v>√</v>
      </c>
      <c r="F313" t="str">
        <f>_xlfn.LET(_xlpm.x,VLOOKUP($B313,spell_header!$B$2:$G$373,5,FALSE),IF(_xlpm.x="","",_xlpm.x))</f>
        <v/>
      </c>
      <c r="G313">
        <v>202</v>
      </c>
    </row>
    <row r="314" spans="1:7" ht="15" x14ac:dyDescent="0.2">
      <c r="A314">
        <v>312</v>
      </c>
      <c r="B314" s="6" t="s">
        <v>1463</v>
      </c>
      <c r="C314" t="str">
        <f>_xlfn.LET(_xlpm.x,VLOOKUP($B314,spell_header!$B$2:$G$373,2,FALSE),IF(_xlpm.x="","",_xlpm.x))</f>
        <v>简述（英文）</v>
      </c>
      <c r="D314" s="4" t="str">
        <f>IF(VLOOKUP($B314,spell_header!$B$2:$G$373,3,FALSE)="√","√","")</f>
        <v/>
      </c>
      <c r="E314" s="4" t="str">
        <f>IF(VLOOKUP($B314,spell_header!$B$2:$G$373,4,FALSE)="√","√","")</f>
        <v>√</v>
      </c>
      <c r="F314" t="str">
        <f>_xlfn.LET(_xlpm.x,VLOOKUP($B314,spell_header!$B$2:$G$373,5,FALSE),IF(_xlpm.x="","",_xlpm.x))</f>
        <v/>
      </c>
      <c r="G314">
        <v>204</v>
      </c>
    </row>
    <row r="315" spans="1:7" ht="15" x14ac:dyDescent="0.2">
      <c r="A315">
        <v>313</v>
      </c>
      <c r="B315" s="6" t="s">
        <v>1464</v>
      </c>
      <c r="C315" t="str">
        <f>_xlfn.LET(_xlpm.x,VLOOKUP($B315,spell_header!$B$2:$G$373,2,FALSE),IF(_xlpm.x="","",_xlpm.x))</f>
        <v>简述（中文/数值转换）</v>
      </c>
      <c r="D315" s="4" t="str">
        <f>IF(VLOOKUP($B315,spell_header!$B$2:$G$373,3,FALSE)="√","√","")</f>
        <v/>
      </c>
      <c r="E315" s="4" t="str">
        <f>IF(VLOOKUP($B315,spell_header!$B$2:$G$373,4,FALSE)="√","√","")</f>
        <v>√</v>
      </c>
      <c r="F315" t="str">
        <f>_xlfn.LET(_xlpm.x,VLOOKUP($B315,spell_header!$B$2:$G$373,5,FALSE),IF(_xlpm.x="","",_xlpm.x))</f>
        <v/>
      </c>
      <c r="G315">
        <v>203</v>
      </c>
    </row>
    <row r="316" spans="1:7" ht="15" x14ac:dyDescent="0.2">
      <c r="A316">
        <v>314</v>
      </c>
      <c r="B316" s="6" t="s">
        <v>1465</v>
      </c>
      <c r="C316" t="str">
        <f>_xlfn.LET(_xlpm.x,VLOOKUP($B316,spell_header!$B$2:$G$373,2,FALSE),IF(_xlpm.x="","",_xlpm.x))</f>
        <v>简述（英文/数值转换）</v>
      </c>
      <c r="D316" s="4" t="str">
        <f>IF(VLOOKUP($B316,spell_header!$B$2:$G$373,3,FALSE)="√","√","")</f>
        <v/>
      </c>
      <c r="E316" s="4" t="str">
        <f>IF(VLOOKUP($B316,spell_header!$B$2:$G$373,4,FALSE)="√","√","")</f>
        <v>√</v>
      </c>
      <c r="F316" t="str">
        <f>_xlfn.LET(_xlpm.x,VLOOKUP($B316,spell_header!$B$2:$G$373,5,FALSE),IF(_xlpm.x="","",_xlpm.x))</f>
        <v/>
      </c>
      <c r="G316">
        <v>205</v>
      </c>
    </row>
    <row r="317" spans="1:7" ht="15" x14ac:dyDescent="0.2">
      <c r="A317">
        <v>315</v>
      </c>
      <c r="B317" s="6" t="s">
        <v>1466</v>
      </c>
      <c r="C317" t="str">
        <f>_xlfn.LET(_xlpm.x,VLOOKUP($B317,spell_header!$B$2:$G$373,2,FALSE),IF(_xlpm.x="","",_xlpm.x))</f>
        <v>详细描述（中文）</v>
      </c>
      <c r="D317" s="4" t="str">
        <f>IF(VLOOKUP($B317,spell_header!$B$2:$G$373,3,FALSE)="√","√","")</f>
        <v/>
      </c>
      <c r="E317" s="4" t="str">
        <f>IF(VLOOKUP($B317,spell_header!$B$2:$G$373,4,FALSE)="√","√","")</f>
        <v>√</v>
      </c>
      <c r="F317" t="str">
        <f>_xlfn.LET(_xlpm.x,VLOOKUP($B317,spell_header!$B$2:$G$373,5,FALSE),IF(_xlpm.x="","",_xlpm.x))</f>
        <v/>
      </c>
      <c r="G317">
        <v>207</v>
      </c>
    </row>
    <row r="318" spans="1:7" ht="15" x14ac:dyDescent="0.2">
      <c r="A318">
        <v>316</v>
      </c>
      <c r="B318" s="6" t="s">
        <v>1467</v>
      </c>
      <c r="C318" t="str">
        <f>_xlfn.LET(_xlpm.x,VLOOKUP($B318,spell_header!$B$2:$G$373,2,FALSE),IF(_xlpm.x="","",_xlpm.x))</f>
        <v>详细描述（英文）</v>
      </c>
      <c r="D318" s="4" t="str">
        <f>IF(VLOOKUP($B318,spell_header!$B$2:$G$373,3,FALSE)="√","√","")</f>
        <v/>
      </c>
      <c r="E318" s="4" t="str">
        <f>IF(VLOOKUP($B318,spell_header!$B$2:$G$373,4,FALSE)="√","√","")</f>
        <v>√</v>
      </c>
      <c r="F318" t="str">
        <f>_xlfn.LET(_xlpm.x,VLOOKUP($B318,spell_header!$B$2:$G$373,5,FALSE),IF(_xlpm.x="","",_xlpm.x))</f>
        <v/>
      </c>
      <c r="G318">
        <v>209</v>
      </c>
    </row>
    <row r="319" spans="1:7" ht="15" x14ac:dyDescent="0.2">
      <c r="A319">
        <v>317</v>
      </c>
      <c r="B319" s="6" t="s">
        <v>1468</v>
      </c>
      <c r="C319" t="str">
        <f>_xlfn.LET(_xlpm.x,VLOOKUP($B319,spell_header!$B$2:$G$373,2,FALSE),IF(_xlpm.x="","",_xlpm.x))</f>
        <v>详细描述（中文/数值转换）</v>
      </c>
      <c r="D319" s="4" t="str">
        <f>IF(VLOOKUP($B319,spell_header!$B$2:$G$373,3,FALSE)="√","√","")</f>
        <v/>
      </c>
      <c r="E319" s="4" t="str">
        <f>IF(VLOOKUP($B319,spell_header!$B$2:$G$373,4,FALSE)="√","√","")</f>
        <v>√</v>
      </c>
      <c r="F319" t="str">
        <f>_xlfn.LET(_xlpm.x,VLOOKUP($B319,spell_header!$B$2:$G$373,5,FALSE),IF(_xlpm.x="","",_xlpm.x))</f>
        <v/>
      </c>
      <c r="G319">
        <v>208</v>
      </c>
    </row>
    <row r="320" spans="1:7" ht="15" x14ac:dyDescent="0.2">
      <c r="A320">
        <v>318</v>
      </c>
      <c r="B320" s="6" t="s">
        <v>1469</v>
      </c>
      <c r="C320" t="str">
        <f>_xlfn.LET(_xlpm.x,VLOOKUP($B320,spell_header!$B$2:$G$373,2,FALSE),IF(_xlpm.x="","",_xlpm.x))</f>
        <v>详细描述（英文/数值转换）</v>
      </c>
      <c r="D320" s="4" t="str">
        <f>IF(VLOOKUP($B320,spell_header!$B$2:$G$373,3,FALSE)="√","√","")</f>
        <v/>
      </c>
      <c r="E320" s="4" t="str">
        <f>IF(VLOOKUP($B320,spell_header!$B$2:$G$373,4,FALSE)="√","√","")</f>
        <v>√</v>
      </c>
      <c r="F320" t="str">
        <f>_xlfn.LET(_xlpm.x,VLOOKUP($B320,spell_header!$B$2:$G$373,5,FALSE),IF(_xlpm.x="","",_xlpm.x))</f>
        <v/>
      </c>
      <c r="G320">
        <v>210</v>
      </c>
    </row>
    <row r="321" spans="1:7" ht="15" x14ac:dyDescent="0.2">
      <c r="A321">
        <v>319</v>
      </c>
      <c r="B321" s="6" t="s">
        <v>1470</v>
      </c>
      <c r="C321" t="str">
        <f>_xlfn.LET(_xlpm.x,VLOOKUP($B321,spell_header!$B$2:$G$373,2,FALSE),IF(_xlpm.x="","",_xlpm.x))</f>
        <v>冷却时间（中文）</v>
      </c>
      <c r="D321" s="4" t="str">
        <f>IF(VLOOKUP($B321,spell_header!$B$2:$G$373,3,FALSE)="√","√","")</f>
        <v/>
      </c>
      <c r="E321" s="4" t="str">
        <f>IF(VLOOKUP($B321,spell_header!$B$2:$G$373,4,FALSE)="√","√","")</f>
        <v>√</v>
      </c>
      <c r="F321" t="str">
        <f>_xlfn.LET(_xlpm.x,VLOOKUP($B321,spell_header!$B$2:$G$373,5,FALSE),IF(_xlpm.x="","",_xlpm.x))</f>
        <v/>
      </c>
      <c r="G321">
        <v>189</v>
      </c>
    </row>
    <row r="322" spans="1:7" ht="15" x14ac:dyDescent="0.2">
      <c r="A322">
        <v>320</v>
      </c>
      <c r="B322" s="6" t="s">
        <v>1471</v>
      </c>
      <c r="C322" t="str">
        <f>_xlfn.LET(_xlpm.x,VLOOKUP($B322,spell_header!$B$2:$G$373,2,FALSE),IF(_xlpm.x="","",_xlpm.x))</f>
        <v>冷却时间（英文）</v>
      </c>
      <c r="D322" s="4" t="str">
        <f>IF(VLOOKUP($B322,spell_header!$B$2:$G$373,3,FALSE)="√","√","")</f>
        <v/>
      </c>
      <c r="E322" s="4" t="str">
        <f>IF(VLOOKUP($B322,spell_header!$B$2:$G$373,4,FALSE)="√","√","")</f>
        <v>√</v>
      </c>
      <c r="F322" t="str">
        <f>_xlfn.LET(_xlpm.x,VLOOKUP($B322,spell_header!$B$2:$G$373,5,FALSE),IF(_xlpm.x="","",_xlpm.x))</f>
        <v/>
      </c>
      <c r="G322">
        <v>191</v>
      </c>
    </row>
    <row r="323" spans="1:7" ht="15" x14ac:dyDescent="0.2">
      <c r="A323">
        <v>321</v>
      </c>
      <c r="B323" s="6" t="s">
        <v>1472</v>
      </c>
      <c r="C323" t="str">
        <f>_xlfn.LET(_xlpm.x,VLOOKUP($B323,spell_header!$B$2:$G$373,2,FALSE),IF(_xlpm.x="","",_xlpm.x))</f>
        <v>冷却时间（中文/数值转换）</v>
      </c>
      <c r="D323" s="4" t="str">
        <f>IF(VLOOKUP($B323,spell_header!$B$2:$G$373,3,FALSE)="√","√","")</f>
        <v/>
      </c>
      <c r="E323" s="4" t="str">
        <f>IF(VLOOKUP($B323,spell_header!$B$2:$G$373,4,FALSE)="√","√","")</f>
        <v>√</v>
      </c>
      <c r="F323" t="str">
        <f>_xlfn.LET(_xlpm.x,VLOOKUP($B323,spell_header!$B$2:$G$373,5,FALSE),IF(_xlpm.x="","",_xlpm.x))</f>
        <v/>
      </c>
      <c r="G323">
        <v>190</v>
      </c>
    </row>
    <row r="324" spans="1:7" ht="15" x14ac:dyDescent="0.2">
      <c r="A324">
        <v>322</v>
      </c>
      <c r="B324" s="6" t="s">
        <v>1473</v>
      </c>
      <c r="C324" t="str">
        <f>_xlfn.LET(_xlpm.x,VLOOKUP($B324,spell_header!$B$2:$G$373,2,FALSE),IF(_xlpm.x="","",_xlpm.x))</f>
        <v>冷却时间（英文/数值转换）</v>
      </c>
      <c r="D324" s="4" t="str">
        <f>IF(VLOOKUP($B324,spell_header!$B$2:$G$373,3,FALSE)="√","√","")</f>
        <v/>
      </c>
      <c r="E324" s="4" t="str">
        <f>IF(VLOOKUP($B324,spell_header!$B$2:$G$373,4,FALSE)="√","√","")</f>
        <v>√</v>
      </c>
      <c r="F324" t="str">
        <f>_xlfn.LET(_xlpm.x,VLOOKUP($B324,spell_header!$B$2:$G$373,5,FALSE),IF(_xlpm.x="","",_xlpm.x))</f>
        <v/>
      </c>
      <c r="G324">
        <v>192</v>
      </c>
    </row>
    <row r="325" spans="1:7" ht="15" x14ac:dyDescent="0.2">
      <c r="A325">
        <v>323</v>
      </c>
      <c r="B325" s="6" t="s">
        <v>1474</v>
      </c>
      <c r="C325" t="str">
        <f>_xlfn.LET(_xlpm.x,VLOOKUP($B325,spell_header!$B$2:$G$373,2,FALSE),IF(_xlpm.x="","",_xlpm.x))</f>
        <v>附加文本（中文）</v>
      </c>
      <c r="D325" s="4" t="str">
        <f>IF(VLOOKUP($B325,spell_header!$B$2:$G$373,3,FALSE)="√","√","")</f>
        <v/>
      </c>
      <c r="E325" s="4" t="str">
        <f>IF(VLOOKUP($B325,spell_header!$B$2:$G$373,4,FALSE)="√","√","")</f>
        <v>√</v>
      </c>
      <c r="F325" t="str">
        <f>_xlfn.LET(_xlpm.x,VLOOKUP($B325,spell_header!$B$2:$G$373,5,FALSE),IF(_xlpm.x="","",_xlpm.x))</f>
        <v/>
      </c>
      <c r="G325">
        <v>212</v>
      </c>
    </row>
    <row r="326" spans="1:7" ht="15" x14ac:dyDescent="0.2">
      <c r="A326">
        <v>324</v>
      </c>
      <c r="B326" s="6" t="s">
        <v>1475</v>
      </c>
      <c r="C326" t="str">
        <f>_xlfn.LET(_xlpm.x,VLOOKUP($B326,spell_header!$B$2:$G$373,2,FALSE),IF(_xlpm.x="","",_xlpm.x))</f>
        <v>附加文本（英文）</v>
      </c>
      <c r="D326" s="4" t="str">
        <f>IF(VLOOKUP($B326,spell_header!$B$2:$G$373,3,FALSE)="√","√","")</f>
        <v/>
      </c>
      <c r="E326" s="4" t="str">
        <f>IF(VLOOKUP($B326,spell_header!$B$2:$G$373,4,FALSE)="√","√","")</f>
        <v>√</v>
      </c>
      <c r="F326" t="str">
        <f>_xlfn.LET(_xlpm.x,VLOOKUP($B326,spell_header!$B$2:$G$373,5,FALSE),IF(_xlpm.x="","",_xlpm.x))</f>
        <v/>
      </c>
      <c r="G326">
        <v>214</v>
      </c>
    </row>
    <row r="327" spans="1:7" ht="15" x14ac:dyDescent="0.2">
      <c r="A327">
        <v>325</v>
      </c>
      <c r="B327" s="6" t="s">
        <v>1476</v>
      </c>
      <c r="C327" t="str">
        <f>_xlfn.LET(_xlpm.x,VLOOKUP($B327,spell_header!$B$2:$G$373,2,FALSE),IF(_xlpm.x="","",_xlpm.x))</f>
        <v>附加文本（中文/数值转换）</v>
      </c>
      <c r="D327" s="4" t="str">
        <f>IF(VLOOKUP($B327,spell_header!$B$2:$G$373,3,FALSE)="√","√","")</f>
        <v/>
      </c>
      <c r="E327" s="4" t="str">
        <f>IF(VLOOKUP($B327,spell_header!$B$2:$G$373,4,FALSE)="√","√","")</f>
        <v>√</v>
      </c>
      <c r="F327" t="str">
        <f>_xlfn.LET(_xlpm.x,VLOOKUP($B327,spell_header!$B$2:$G$373,5,FALSE),IF(_xlpm.x="","",_xlpm.x))</f>
        <v/>
      </c>
      <c r="G327">
        <v>213</v>
      </c>
    </row>
    <row r="328" spans="1:7" ht="15" x14ac:dyDescent="0.2">
      <c r="A328">
        <v>326</v>
      </c>
      <c r="B328" s="6" t="s">
        <v>1477</v>
      </c>
      <c r="C328" t="str">
        <f>_xlfn.LET(_xlpm.x,VLOOKUP($B328,spell_header!$B$2:$G$373,2,FALSE),IF(_xlpm.x="","",_xlpm.x))</f>
        <v>附加文本（英文/数值转换）</v>
      </c>
      <c r="D328" s="4" t="str">
        <f>IF(VLOOKUP($B328,spell_header!$B$2:$G$373,3,FALSE)="√","√","")</f>
        <v/>
      </c>
      <c r="E328" s="4" t="str">
        <f>IF(VLOOKUP($B328,spell_header!$B$2:$G$373,4,FALSE)="√","√","")</f>
        <v>√</v>
      </c>
      <c r="F328" t="str">
        <f>_xlfn.LET(_xlpm.x,VLOOKUP($B328,spell_header!$B$2:$G$373,5,FALSE),IF(_xlpm.x="","",_xlpm.x))</f>
        <v/>
      </c>
      <c r="G328">
        <v>215</v>
      </c>
    </row>
    <row r="329" spans="1:7" ht="15" x14ac:dyDescent="0.2">
      <c r="A329">
        <v>327</v>
      </c>
      <c r="B329" s="6" t="s">
        <v>3742</v>
      </c>
      <c r="C329" t="str">
        <f>_xlfn.LET(_xlpm.x,VLOOKUP($B329,spell_header!$B$2:$G$373,2,FALSE),IF(_xlpm.x="","",_xlpm.x))</f>
        <v>选用名称（中文）</v>
      </c>
      <c r="D329" s="4" t="str">
        <f>IF(VLOOKUP($B329,spell_header!$B$2:$G$373,3,FALSE)="√","√","")</f>
        <v/>
      </c>
      <c r="E329" s="4" t="str">
        <f>IF(VLOOKUP($B329,spell_header!$B$2:$G$373,4,FALSE)="√","√","")</f>
        <v>√</v>
      </c>
      <c r="F329" t="str">
        <f>_xlfn.LET(_xlpm.x,VLOOKUP($B329,spell_header!$B$2:$G$373,5,FALSE),IF(_xlpm.x="","",_xlpm.x))</f>
        <v/>
      </c>
      <c r="G329">
        <v>217</v>
      </c>
    </row>
    <row r="330" spans="1:7" ht="15" x14ac:dyDescent="0.2">
      <c r="A330">
        <v>328</v>
      </c>
      <c r="B330" s="6" t="s">
        <v>3743</v>
      </c>
      <c r="C330" t="str">
        <f>_xlfn.LET(_xlpm.x,VLOOKUP($B330,spell_header!$B$2:$G$373,2,FALSE),IF(_xlpm.x="","",_xlpm.x))</f>
        <v>选用名称（英文）</v>
      </c>
      <c r="D330" s="4" t="str">
        <f>IF(VLOOKUP($B330,spell_header!$B$2:$G$373,3,FALSE)="√","√","")</f>
        <v/>
      </c>
      <c r="E330" s="4" t="str">
        <f>IF(VLOOKUP($B330,spell_header!$B$2:$G$373,4,FALSE)="√","√","")</f>
        <v>√</v>
      </c>
      <c r="F330" t="str">
        <f>_xlfn.LET(_xlpm.x,VLOOKUP($B330,spell_header!$B$2:$G$373,5,FALSE),IF(_xlpm.x="","",_xlpm.x))</f>
        <v/>
      </c>
      <c r="G330">
        <v>218</v>
      </c>
    </row>
    <row r="331" spans="1:7" ht="15" x14ac:dyDescent="0.2">
      <c r="A331">
        <v>329</v>
      </c>
      <c r="B331" s="1" t="s">
        <v>2038</v>
      </c>
      <c r="C331" t="str">
        <f>_xlfn.LET(_xlpm.x,VLOOKUP($B331,spell_header!$B$2:$G$373,2,FALSE),IF(_xlpm.x="","",_xlpm.x))</f>
        <v>技能等级数量</v>
      </c>
      <c r="D331" s="4" t="str">
        <f>IF(VLOOKUP($B331,spell_header!$B$2:$G$373,3,FALSE)="√","√","")</f>
        <v>√</v>
      </c>
      <c r="E331" s="4" t="str">
        <f>IF(VLOOKUP($B331,spell_header!$B$2:$G$373,4,FALSE)="√","√","")</f>
        <v>√</v>
      </c>
      <c r="F331" t="str">
        <f>_xlfn.LET(_xlpm.x,VLOOKUP($B331,spell_header!$B$2:$G$373,5,FALSE),IF(_xlpm.x="","",_xlpm.x))</f>
        <v/>
      </c>
      <c r="G331">
        <v>174</v>
      </c>
    </row>
    <row r="332" spans="1:7" ht="15" x14ac:dyDescent="0.2">
      <c r="A332">
        <v>330</v>
      </c>
      <c r="B332" s="1" t="s">
        <v>2039</v>
      </c>
      <c r="C332" t="str">
        <f>_xlfn.LET(_xlpm.x,VLOOKUP($B332,spell_header!$B$2:$G$373,2,FALSE),IF(_xlpm.x="","",_xlpm.x))</f>
        <v>技能升级要素</v>
      </c>
      <c r="D332" s="4" t="str">
        <f>IF(VLOOKUP($B332,spell_header!$B$2:$G$373,3,FALSE)="√","√","")</f>
        <v>√</v>
      </c>
      <c r="E332" s="4" t="str">
        <f>IF(VLOOKUP($B332,spell_header!$B$2:$G$373,4,FALSE)="√","√","")</f>
        <v>√</v>
      </c>
      <c r="F332" t="str">
        <f>_xlfn.LET(_xlpm.x,VLOOKUP($B332,spell_header!$B$2:$G$373,5,FALSE),IF(_xlpm.x="","",_xlpm.x))</f>
        <v/>
      </c>
      <c r="G332">
        <v>175</v>
      </c>
    </row>
    <row r="333" spans="1:7" ht="15" x14ac:dyDescent="0.2">
      <c r="A333">
        <v>331</v>
      </c>
      <c r="B333" s="1" t="s">
        <v>2024</v>
      </c>
      <c r="C333" t="str">
        <f>_xlfn.LET(_xlpm.x,VLOOKUP($B333,spell_header!$B$2:$G$373,2,FALSE),IF(_xlpm.x="","",_xlpm.x))</f>
        <v/>
      </c>
      <c r="D333" s="4" t="str">
        <f>IF(VLOOKUP($B333,spell_header!$B$2:$G$373,3,FALSE)="√","√","")</f>
        <v>√</v>
      </c>
      <c r="E333" s="4" t="str">
        <f>IF(VLOOKUP($B333,spell_header!$B$2:$G$373,4,FALSE)="√","√","")</f>
        <v>√</v>
      </c>
      <c r="F333" t="str">
        <f>_xlfn.LET(_xlpm.x,VLOOKUP($B333,spell_header!$B$2:$G$373,5,FALSE),IF(_xlpm.x="","",_xlpm.x))</f>
        <v/>
      </c>
      <c r="G333">
        <v>239</v>
      </c>
    </row>
    <row r="334" spans="1:7" ht="15" x14ac:dyDescent="0.2">
      <c r="A334">
        <v>332</v>
      </c>
      <c r="B334" s="1" t="s">
        <v>2043</v>
      </c>
      <c r="C334" t="str">
        <f>_xlfn.LET(_xlpm.x,VLOOKUP($B334,spell_header!$B$2:$G$373,2,FALSE),IF(_xlpm.x="","",_xlpm.x))</f>
        <v>生成单位管理：增益名称过滤</v>
      </c>
      <c r="D334" s="4" t="str">
        <f>IF(VLOOKUP($B334,spell_header!$B$2:$G$373,3,FALSE)="√","√","")</f>
        <v>√</v>
      </c>
      <c r="E334" s="4" t="str">
        <f>IF(VLOOKUP($B334,spell_header!$B$2:$G$373,4,FALSE)="√","√","")</f>
        <v/>
      </c>
      <c r="F334" t="str">
        <f>_xlfn.LET(_xlpm.x,VLOOKUP($B334,spell_header!$B$2:$G$373,5,FALSE),IF(_xlpm.x="","",_xlpm.x))</f>
        <v/>
      </c>
      <c r="G334">
        <v>240</v>
      </c>
    </row>
    <row r="335" spans="1:7" ht="15" x14ac:dyDescent="0.2">
      <c r="A335">
        <v>333</v>
      </c>
      <c r="B335" s="1" t="s">
        <v>2042</v>
      </c>
      <c r="C335" t="str">
        <f>_xlfn.LET(_xlpm.x,VLOOKUP($B335,spell_header!$B$2:$G$373,2,FALSE),IF(_xlpm.x="","",_xlpm.x))</f>
        <v>生成单位管理：最大单位数</v>
      </c>
      <c r="D335" s="4" t="str">
        <f>IF(VLOOKUP($B335,spell_header!$B$2:$G$373,3,FALSE)="√","√","")</f>
        <v>√</v>
      </c>
      <c r="E335" s="4" t="str">
        <f>IF(VLOOKUP($B335,spell_header!$B$2:$G$373,4,FALSE)="√","√","")</f>
        <v/>
      </c>
      <c r="F335" t="str">
        <f>_xlfn.LET(_xlpm.x,VLOOKUP($B335,spell_header!$B$2:$G$373,5,FALSE),IF(_xlpm.x="","",_xlpm.x))</f>
        <v/>
      </c>
      <c r="G335">
        <v>241</v>
      </c>
    </row>
    <row r="336" spans="1:7" ht="15" x14ac:dyDescent="0.2">
      <c r="A336">
        <v>334</v>
      </c>
      <c r="B336" s="1" t="s">
        <v>2025</v>
      </c>
      <c r="C336" t="str">
        <f>_xlfn.LET(_xlpm.x,VLOOKUP($B336,spell_header!$B$2:$G$373,2,FALSE),IF(_xlpm.x="","",_xlpm.x))</f>
        <v>目标器定义</v>
      </c>
      <c r="D336" s="4" t="str">
        <f>IF(VLOOKUP($B336,spell_header!$B$2:$G$373,3,FALSE)="√","√","")</f>
        <v>√</v>
      </c>
      <c r="E336" s="4" t="str">
        <f>IF(VLOOKUP($B336,spell_header!$B$2:$G$373,4,FALSE)="√","√","")</f>
        <v>√</v>
      </c>
      <c r="F336" t="str">
        <f>_xlfn.LET(_xlpm.x,VLOOKUP($B336,spell_header!$B$2:$G$373,5,FALSE),IF(_xlpm.x="","",_xlpm.x))</f>
        <v/>
      </c>
      <c r="G336">
        <v>242</v>
      </c>
    </row>
    <row r="337" spans="1:7" ht="15" x14ac:dyDescent="0.2">
      <c r="A337">
        <v>335</v>
      </c>
      <c r="B337" s="1" t="s">
        <v>2026</v>
      </c>
      <c r="C337" t="str">
        <f>_xlfn.LET(_xlpm.x,VLOOKUP($B337,spell_header!$B$2:$G$373,2,FALSE),IF(_xlpm.x="","",_xlpm.x))</f>
        <v>个性化目标器定义</v>
      </c>
      <c r="D337" s="4" t="str">
        <f>IF(VLOOKUP($B337,spell_header!$B$2:$G$373,3,FALSE)="√","√","")</f>
        <v>√</v>
      </c>
      <c r="E337" s="4" t="str">
        <f>IF(VLOOKUP($B337,spell_header!$B$2:$G$373,4,FALSE)="√","√","")</f>
        <v>√</v>
      </c>
      <c r="F337" t="str">
        <f>_xlfn.LET(_xlpm.x,VLOOKUP($B337,spell_header!$B$2:$G$373,5,FALSE),IF(_xlpm.x="","",_xlpm.x))</f>
        <v/>
      </c>
      <c r="G337">
        <v>243</v>
      </c>
    </row>
    <row r="338" spans="1:7" ht="15" x14ac:dyDescent="0.2">
      <c r="A338">
        <v>336</v>
      </c>
      <c r="B338" s="1" t="s">
        <v>2027</v>
      </c>
      <c r="C338" t="str">
        <f>_xlfn.LET(_xlpm.x,VLOOKUP($B338,spell_header!$B$2:$G$373,2,FALSE),IF(_xlpm.x="","",_xlpm.x))</f>
        <v>鼠标左键单击动作</v>
      </c>
      <c r="D338" s="4" t="str">
        <f>IF(VLOOKUP($B338,spell_header!$B$2:$G$373,3,FALSE)="√","√","")</f>
        <v>√</v>
      </c>
      <c r="E338" s="4" t="str">
        <f>IF(VLOOKUP($B338,spell_header!$B$2:$G$373,4,FALSE)="√","√","")</f>
        <v>√</v>
      </c>
      <c r="F338" t="str">
        <f>_xlfn.LET(_xlpm.x,VLOOKUP($B338,spell_header!$B$2:$G$373,5,FALSE),IF(_xlpm.x="","",_xlpm.x))</f>
        <v/>
      </c>
      <c r="G338">
        <v>244</v>
      </c>
    </row>
    <row r="339" spans="1:7" ht="15" x14ac:dyDescent="0.2">
      <c r="A339">
        <v>337</v>
      </c>
      <c r="B339" s="1" t="s">
        <v>2028</v>
      </c>
      <c r="C339" t="str">
        <f>_xlfn.LET(_xlpm.x,VLOOKUP($B339,spell_header!$B$2:$G$373,2,FALSE),IF(_xlpm.x="","",_xlpm.x))</f>
        <v>鼠标右键单击动作</v>
      </c>
      <c r="D339" s="4" t="str">
        <f>IF(VLOOKUP($B339,spell_header!$B$2:$G$373,3,FALSE)="√","√","")</f>
        <v>√</v>
      </c>
      <c r="E339" s="4" t="str">
        <f>IF(VLOOKUP($B339,spell_header!$B$2:$G$373,4,FALSE)="√","√","")</f>
        <v>√</v>
      </c>
      <c r="F339" t="str">
        <f>_xlfn.LET(_xlpm.x,VLOOKUP($B339,spell_header!$B$2:$G$373,5,FALSE),IF(_xlpm.x="","",_xlpm.x))</f>
        <v/>
      </c>
      <c r="G339">
        <v>245</v>
      </c>
    </row>
    <row r="340" spans="1:7" ht="15" x14ac:dyDescent="0.2">
      <c r="A340">
        <v>338</v>
      </c>
      <c r="B340" s="1" t="s">
        <v>3744</v>
      </c>
      <c r="C340" t="str">
        <f>_xlfn.LET(_xlpm.x,VLOOKUP($B340,spell_header!$B$2:$G$373,2,FALSE),IF(_xlpm.x="","",_xlpm.x))</f>
        <v>具有模式专属瞄准指示器</v>
      </c>
      <c r="D340" s="4" t="str">
        <f>IF(VLOOKUP($B340,spell_header!$B$2:$G$373,3,FALSE)="√","√","")</f>
        <v>√</v>
      </c>
      <c r="E340" s="4" t="str">
        <f>IF(VLOOKUP($B340,spell_header!$B$2:$G$373,4,FALSE)="√","√","")</f>
        <v>√</v>
      </c>
      <c r="F340" t="b">
        <f>_xlfn.LET(_xlpm.x,VLOOKUP($B340,spell_header!$B$2:$G$373,5,FALSE),IF(_xlpm.x="","",_xlpm.x))</f>
        <v>0</v>
      </c>
      <c r="G340">
        <v>246</v>
      </c>
    </row>
    <row r="341" spans="1:7" ht="15" x14ac:dyDescent="0.2">
      <c r="A341">
        <v>339</v>
      </c>
      <c r="B341" s="1" t="s">
        <v>1725</v>
      </c>
      <c r="C341" t="str">
        <f>_xlfn.LET(_xlpm.x,VLOOKUP($B341,spell_header!$B$2:$G$373,2,FALSE),IF(_xlpm.x="","",_xlpm.x))</f>
        <v/>
      </c>
      <c r="D341" s="4" t="str">
        <f>IF(VLOOKUP($B341,spell_header!$B$2:$G$373,3,FALSE)="√","√","")</f>
        <v>√</v>
      </c>
      <c r="E341" s="4" t="str">
        <f>IF(VLOOKUP($B341,spell_header!$B$2:$G$373,4,FALSE)="√","√","")</f>
        <v>√</v>
      </c>
      <c r="F341" t="str">
        <f>_xlfn.LET(_xlpm.x,VLOOKUP($B341,spell_header!$B$2:$G$373,5,FALSE),IF(_xlpm.x="","",_xlpm.x))</f>
        <v/>
      </c>
      <c r="G341">
        <v>247</v>
      </c>
    </row>
    <row r="342" spans="1:7" ht="15" x14ac:dyDescent="0.2">
      <c r="A342">
        <v>340</v>
      </c>
      <c r="B342" s="1" t="s">
        <v>1726</v>
      </c>
      <c r="C342" t="str">
        <f>_xlfn.LET(_xlpm.x,VLOOKUP($B342,spell_header!$B$2:$G$373,2,FALSE),IF(_xlpm.x="","",_xlpm.x))</f>
        <v/>
      </c>
      <c r="D342" s="4" t="str">
        <f>IF(VLOOKUP($B342,spell_header!$B$2:$G$373,3,FALSE)="√","√","")</f>
        <v>√</v>
      </c>
      <c r="E342" s="4" t="str">
        <f>IF(VLOOKUP($B342,spell_header!$B$2:$G$373,4,FALSE)="√","√","")</f>
        <v>√</v>
      </c>
      <c r="F342" t="b">
        <f>_xlfn.LET(_xlpm.x,VLOOKUP($B342,spell_header!$B$2:$G$373,5,FALSE),IF(_xlpm.x="","",_xlpm.x))</f>
        <v>0</v>
      </c>
      <c r="G342">
        <v>248</v>
      </c>
    </row>
    <row r="343" spans="1:7" ht="15" x14ac:dyDescent="0.2">
      <c r="A343">
        <v>341</v>
      </c>
      <c r="B343" s="1" t="s">
        <v>1478</v>
      </c>
      <c r="C343" t="str">
        <f>_xlfn.LET(_xlpm.x,VLOOKUP($B343,spell_header!$B$2:$G$373,2,FALSE),IF(_xlpm.x="","",_xlpm.x))</f>
        <v>自我控制状态下目标选择优先级列表</v>
      </c>
      <c r="D343" s="4" t="str">
        <f>IF(VLOOKUP($B343,spell_header!$B$2:$G$373,3,FALSE)="√","√","")</f>
        <v>√</v>
      </c>
      <c r="E343" s="4" t="str">
        <f>IF(VLOOKUP($B343,spell_header!$B$2:$G$373,4,FALSE)="√","√","")</f>
        <v/>
      </c>
      <c r="F343" t="str">
        <f>_xlfn.LET(_xlpm.x,VLOOKUP($B343,spell_header!$B$2:$G$373,5,FALSE),IF(_xlpm.x="","",_xlpm.x))</f>
        <v/>
      </c>
      <c r="G343">
        <v>253</v>
      </c>
    </row>
    <row r="344" spans="1:7" ht="15" x14ac:dyDescent="0.2">
      <c r="A344">
        <v>342</v>
      </c>
      <c r="B344" s="1" t="s">
        <v>1479</v>
      </c>
      <c r="C344" t="str">
        <f>_xlfn.LET(_xlpm.x,VLOOKUP($B344,spell_header!$B$2:$G$373,2,FALSE),IF(_xlpm.x="","",_xlpm.x))</f>
        <v>自我控制技能旗标</v>
      </c>
      <c r="D344" s="4" t="str">
        <f>IF(VLOOKUP($B344,spell_header!$B$2:$G$373,3,FALSE)="√","√","")</f>
        <v>√</v>
      </c>
      <c r="E344" s="4" t="str">
        <f>IF(VLOOKUP($B344,spell_header!$B$2:$G$373,4,FALSE)="√","√","")</f>
        <v/>
      </c>
      <c r="F344" t="str">
        <f>_xlfn.LET(_xlpm.x,VLOOKUP($B344,spell_header!$B$2:$G$373,5,FALSE),IF(_xlpm.x="","",_xlpm.x))</f>
        <v/>
      </c>
      <c r="G344">
        <v>254</v>
      </c>
    </row>
    <row r="345" spans="1:7" ht="15" x14ac:dyDescent="0.2">
      <c r="A345">
        <v>343</v>
      </c>
      <c r="B345" s="1" t="s">
        <v>1480</v>
      </c>
      <c r="C345" t="str">
        <f>_xlfn.LET(_xlpm.x,VLOOKUP($B345,spell_header!$B$2:$G$373,2,FALSE),IF(_xlpm.x="","",_xlpm.x))</f>
        <v>增益描述键</v>
      </c>
      <c r="D345" s="4" t="str">
        <f>IF(VLOOKUP($B345,spell_header!$B$2:$G$373,3,FALSE)="√","√","")</f>
        <v>√</v>
      </c>
      <c r="E345" s="4" t="str">
        <f>IF(VLOOKUP($B345,spell_header!$B$2:$G$373,4,FALSE)="√","√","")</f>
        <v>√</v>
      </c>
      <c r="F345" t="str">
        <f>_xlfn.LET(_xlpm.x,VLOOKUP($B345,spell_header!$B$2:$G$373,5,FALSE),IF(_xlpm.x="","",_xlpm.x))</f>
        <v/>
      </c>
      <c r="G345">
        <v>262</v>
      </c>
    </row>
    <row r="346" spans="1:7" ht="15" x14ac:dyDescent="0.2">
      <c r="A346">
        <v>344</v>
      </c>
      <c r="B346" s="1" t="s">
        <v>1481</v>
      </c>
      <c r="C346" t="str">
        <f>_xlfn.LET(_xlpm.x,VLOOKUP($B346,spell_header!$B$2:$G$373,2,FALSE),IF(_xlpm.x="","",_xlpm.x))</f>
        <v>增益说明文本对象名称</v>
      </c>
      <c r="D346" s="4" t="str">
        <f>IF(VLOOKUP($B346,spell_header!$B$2:$G$373,3,FALSE)="√","√","")</f>
        <v>√</v>
      </c>
      <c r="E346" s="4" t="str">
        <f>IF(VLOOKUP($B346,spell_header!$B$2:$G$373,4,FALSE)="√","√","")</f>
        <v/>
      </c>
      <c r="F346" t="str">
        <f>_xlfn.LET(_xlpm.x,VLOOKUP($B346,spell_header!$B$2:$G$373,5,FALSE),IF(_xlpm.x="","",_xlpm.x))</f>
        <v/>
      </c>
      <c r="G346">
        <v>255</v>
      </c>
    </row>
    <row r="347" spans="1:7" ht="15" x14ac:dyDescent="0.2">
      <c r="A347">
        <v>345</v>
      </c>
      <c r="B347" s="1" t="s">
        <v>1482</v>
      </c>
      <c r="C347" t="str">
        <f>_xlfn.LET(_xlpm.x,VLOOKUP($B347,spell_header!$B$2:$G$373,2,FALSE),IF(_xlpm.x="","",_xlpm.x))</f>
        <v>增益说明文本格式</v>
      </c>
      <c r="D347" s="4" t="str">
        <f>IF(VLOOKUP($B347,spell_header!$B$2:$G$373,3,FALSE)="√","√","")</f>
        <v>√</v>
      </c>
      <c r="E347" s="4" t="str">
        <f>IF(VLOOKUP($B347,spell_header!$B$2:$G$373,4,FALSE)="√","√","")</f>
        <v/>
      </c>
      <c r="F347" t="str">
        <f>_xlfn.LET(_xlpm.x,VLOOKUP($B347,spell_header!$B$2:$G$373,5,FALSE),IF(_xlpm.x="","",_xlpm.x))</f>
        <v/>
      </c>
      <c r="G347">
        <v>256</v>
      </c>
    </row>
    <row r="348" spans="1:7" ht="15" x14ac:dyDescent="0.2">
      <c r="A348">
        <v>346</v>
      </c>
      <c r="B348" s="1" t="s">
        <v>3745</v>
      </c>
      <c r="C348" t="str">
        <f>_xlfn.LET(_xlpm.x,VLOOKUP($B348,spell_header!$B$2:$G$373,2,FALSE),IF(_xlpm.x="","",_xlpm.x))</f>
        <v>增益扩展说明文本可用性</v>
      </c>
      <c r="D348" s="4" t="str">
        <f>IF(VLOOKUP($B348,spell_header!$B$2:$G$373,3,FALSE)="√","√","")</f>
        <v>√</v>
      </c>
      <c r="E348" s="4" t="str">
        <f>IF(VLOOKUP($B348,spell_header!$B$2:$G$373,4,FALSE)="√","√","")</f>
        <v>√</v>
      </c>
      <c r="F348" t="b">
        <f>_xlfn.LET(_xlpm.x,VLOOKUP($B348,spell_header!$B$2:$G$373,5,FALSE),IF(_xlpm.x="","",_xlpm.x))</f>
        <v>1</v>
      </c>
      <c r="G348">
        <v>258</v>
      </c>
    </row>
    <row r="349" spans="1:7" ht="15" x14ac:dyDescent="0.2">
      <c r="A349">
        <v>347</v>
      </c>
      <c r="B349" s="1" t="s">
        <v>1483</v>
      </c>
      <c r="C349" t="str">
        <f>_xlfn.LET(_xlpm.x,VLOOKUP($B349,spell_header!$B$2:$G$373,2,FALSE),IF(_xlpm.x="","",_xlpm.x))</f>
        <v>增益名称键</v>
      </c>
      <c r="D349" s="4" t="str">
        <f>IF(VLOOKUP($B349,spell_header!$B$2:$G$373,3,FALSE)="√","√","")</f>
        <v>√</v>
      </c>
      <c r="E349" s="4" t="str">
        <f>IF(VLOOKUP($B349,spell_header!$B$2:$G$373,4,FALSE)="√","√","")</f>
        <v/>
      </c>
      <c r="F349" t="str">
        <f>_xlfn.LET(_xlpm.x,VLOOKUP($B349,spell_header!$B$2:$G$373,5,FALSE),IF(_xlpm.x="","",_xlpm.x))</f>
        <v/>
      </c>
      <c r="G349">
        <v>259</v>
      </c>
    </row>
    <row r="350" spans="1:7" ht="15" x14ac:dyDescent="0.2">
      <c r="A350">
        <v>348</v>
      </c>
      <c r="B350" s="1" t="s">
        <v>3746</v>
      </c>
      <c r="C350" t="str">
        <f>_xlfn.LET(_xlpm.x,VLOOKUP($B350,spell_header!$B$2:$G$373,2,FALSE),IF(_xlpm.x="","",_xlpm.x))</f>
        <v>增益冷却时间键</v>
      </c>
      <c r="D350" s="4" t="str">
        <f>IF(VLOOKUP($B350,spell_header!$B$2:$G$373,3,FALSE)="√","√","")</f>
        <v/>
      </c>
      <c r="E350" s="4" t="str">
        <f>IF(VLOOKUP($B350,spell_header!$B$2:$G$373,4,FALSE)="√","√","")</f>
        <v/>
      </c>
      <c r="F350" t="str">
        <f>_xlfn.LET(_xlpm.x,VLOOKUP($B350,spell_header!$B$2:$G$373,5,FALSE),IF(_xlpm.x="","",_xlpm.x))</f>
        <v/>
      </c>
      <c r="G350">
        <v>277</v>
      </c>
    </row>
    <row r="351" spans="1:7" ht="15" x14ac:dyDescent="0.2">
      <c r="A351">
        <v>349</v>
      </c>
      <c r="B351" s="1" t="s">
        <v>1484</v>
      </c>
      <c r="C351" t="str">
        <f>_xlfn.LET(_xlpm.x,VLOOKUP($B351,spell_header!$B$2:$G$373,2,FALSE),IF(_xlpm.x="","",_xlpm.x))</f>
        <v>增益说明文本键</v>
      </c>
      <c r="D351" s="4" t="str">
        <f>IF(VLOOKUP($B351,spell_header!$B$2:$G$373,3,FALSE)="√","√","")</f>
        <v>√</v>
      </c>
      <c r="E351" s="4" t="str">
        <f>IF(VLOOKUP($B351,spell_header!$B$2:$G$373,4,FALSE)="√","√","")</f>
        <v>√</v>
      </c>
      <c r="F351" t="str">
        <f>_xlfn.LET(_xlpm.x,VLOOKUP($B351,spell_header!$B$2:$G$373,5,FALSE),IF(_xlpm.x="","",_xlpm.x))</f>
        <v/>
      </c>
      <c r="G351">
        <v>267</v>
      </c>
    </row>
    <row r="352" spans="1:7" ht="15" x14ac:dyDescent="0.2">
      <c r="A352">
        <v>350</v>
      </c>
      <c r="B352" s="1" t="s">
        <v>1485</v>
      </c>
      <c r="C352" t="str">
        <f>_xlfn.LET(_xlpm.x,VLOOKUP($B352,spell_header!$B$2:$G$373,2,FALSE),IF(_xlpm.x="","",_xlpm.x))</f>
        <v>增益简述键</v>
      </c>
      <c r="D352" s="4" t="str">
        <f>IF(VLOOKUP($B352,spell_header!$B$2:$G$373,3,FALSE)="√","√","")</f>
        <v>√</v>
      </c>
      <c r="E352" s="4" t="str">
        <f>IF(VLOOKUP($B352,spell_header!$B$2:$G$373,4,FALSE)="√","√","")</f>
        <v>√</v>
      </c>
      <c r="F352" t="str">
        <f>_xlfn.LET(_xlpm.x,VLOOKUP($B352,spell_header!$B$2:$G$373,5,FALSE),IF(_xlpm.x="","",_xlpm.x))</f>
        <v/>
      </c>
      <c r="G352">
        <v>272</v>
      </c>
    </row>
    <row r="353" spans="1:7" ht="15" x14ac:dyDescent="0.2">
      <c r="A353">
        <v>351</v>
      </c>
      <c r="B353" s="1" t="s">
        <v>1486</v>
      </c>
      <c r="C353" t="str">
        <f>_xlfn.LET(_xlpm.x,VLOOKUP($B353,spell_header!$B$2:$G$373,2,FALSE),IF(_xlpm.x="","",_xlpm.x))</f>
        <v>增益持续效果条件</v>
      </c>
      <c r="D353" s="4" t="str">
        <f>IF(VLOOKUP($B353,spell_header!$B$2:$G$373,3,FALSE)="√","√","")</f>
        <v>√</v>
      </c>
      <c r="E353" s="4" t="str">
        <f>IF(VLOOKUP($B353,spell_header!$B$2:$G$373,4,FALSE)="√","√","")</f>
        <v>√</v>
      </c>
      <c r="F353" t="str">
        <f>_xlfn.LET(_xlpm.x,VLOOKUP($B353,spell_header!$B$2:$G$373,5,FALSE),IF(_xlpm.x="","",_xlpm.x))</f>
        <v/>
      </c>
      <c r="G353">
        <v>282</v>
      </c>
    </row>
    <row r="354" spans="1:7" ht="15" x14ac:dyDescent="0.2">
      <c r="A354">
        <v>352</v>
      </c>
      <c r="B354" s="1" t="s">
        <v>1487</v>
      </c>
      <c r="C354" t="str">
        <f>_xlfn.LET(_xlpm.x,VLOOKUP($B354,spell_header!$B$2:$G$373,2,FALSE),IF(_xlpm.x="","",_xlpm.x))</f>
        <v>增益存在持续时间</v>
      </c>
      <c r="D354" s="4" t="str">
        <f>IF(VLOOKUP($B354,spell_header!$B$2:$G$373,3,FALSE)="√","√","")</f>
        <v>√</v>
      </c>
      <c r="E354" s="4" t="str">
        <f>IF(VLOOKUP($B354,spell_header!$B$2:$G$373,4,FALSE)="√","√","")</f>
        <v>√</v>
      </c>
      <c r="F354" t="b">
        <f>_xlfn.LET(_xlpm.x,VLOOKUP($B354,spell_header!$B$2:$G$373,5,FALSE),IF(_xlpm.x="","",_xlpm.x))</f>
        <v>1</v>
      </c>
      <c r="G354">
        <v>283</v>
      </c>
    </row>
    <row r="355" spans="1:7" ht="15" x14ac:dyDescent="0.2">
      <c r="A355">
        <v>353</v>
      </c>
      <c r="B355" s="1" t="s">
        <v>1488</v>
      </c>
      <c r="C355" t="str">
        <f>_xlfn.LET(_xlpm.x,VLOOKUP($B355,spell_header!$B$2:$G$373,2,FALSE),IF(_xlpm.x="","",_xlpm.x))</f>
        <v>增益显示持续时间</v>
      </c>
      <c r="D355" s="4" t="str">
        <f>IF(VLOOKUP($B355,spell_header!$B$2:$G$373,3,FALSE)="√","√","")</f>
        <v>√</v>
      </c>
      <c r="E355" s="4" t="str">
        <f>IF(VLOOKUP($B355,spell_header!$B$2:$G$373,4,FALSE)="√","√","")</f>
        <v>√</v>
      </c>
      <c r="F355" t="b">
        <f>_xlfn.LET(_xlpm.x,VLOOKUP($B355,spell_header!$B$2:$G$373,5,FALSE),IF(_xlpm.x="","",_xlpm.x))</f>
        <v>1</v>
      </c>
      <c r="G355">
        <v>284</v>
      </c>
    </row>
    <row r="356" spans="1:7" ht="15" x14ac:dyDescent="0.2">
      <c r="A356">
        <v>354</v>
      </c>
      <c r="B356" s="1" t="s">
        <v>1489</v>
      </c>
      <c r="C356" t="str">
        <f>_xlfn.LET(_xlpm.x,VLOOKUP($B356,spell_header!$B$2:$G$373,2,FALSE),IF(_xlpm.x="","",_xlpm.x))</f>
        <v>增益显示累积时间</v>
      </c>
      <c r="D356" s="4" t="str">
        <f>IF(VLOOKUP($B356,spell_header!$B$2:$G$373,3,FALSE)="√","√","")</f>
        <v>√</v>
      </c>
      <c r="E356" s="4" t="str">
        <f>IF(VLOOKUP($B356,spell_header!$B$2:$G$373,4,FALSE)="√","√","")</f>
        <v>√</v>
      </c>
      <c r="F356" t="b">
        <f>_xlfn.LET(_xlpm.x,VLOOKUP($B356,spell_header!$B$2:$G$373,5,FALSE),IF(_xlpm.x="","",_xlpm.x))</f>
        <v>1</v>
      </c>
      <c r="G356">
        <v>285</v>
      </c>
    </row>
    <row r="357" spans="1:7" ht="15" x14ac:dyDescent="0.2">
      <c r="A357">
        <v>355</v>
      </c>
      <c r="B357" s="1" t="s">
        <v>1490</v>
      </c>
      <c r="C357" t="str">
        <f>_xlfn.LET(_xlpm.x,VLOOKUP($B357,spell_header!$B$2:$G$373,2,FALSE),IF(_xlpm.x="","",_xlpm.x))</f>
        <v>增益浮点数显示精度</v>
      </c>
      <c r="D357" s="4" t="str">
        <f>IF(VLOOKUP($B357,spell_header!$B$2:$G$373,3,FALSE)="√","√","")</f>
        <v>√</v>
      </c>
      <c r="E357" s="4" t="str">
        <f>IF(VLOOKUP($B357,spell_header!$B$2:$G$373,4,FALSE)="√","√","")</f>
        <v>√</v>
      </c>
      <c r="F357" t="str">
        <f>_xlfn.LET(_xlpm.x,VLOOKUP($B357,spell_header!$B$2:$G$373,5,FALSE),IF(_xlpm.x="","",_xlpm.x))</f>
        <v/>
      </c>
      <c r="G357">
        <v>286</v>
      </c>
    </row>
    <row r="358" spans="1:7" ht="15" x14ac:dyDescent="0.2">
      <c r="A358">
        <v>356</v>
      </c>
      <c r="B358" s="1" t="s">
        <v>1491</v>
      </c>
      <c r="C358" t="str">
        <f>_xlfn.LET(_xlpm.x,VLOOKUP($B358,spell_header!$B$2:$G$373,2,FALSE),IF(_xlpm.x="","",_xlpm.x))</f>
        <v>增益属性旗标</v>
      </c>
      <c r="D358" s="4" t="str">
        <f>IF(VLOOKUP($B358,spell_header!$B$2:$G$373,3,FALSE)="√","√","")</f>
        <v>√</v>
      </c>
      <c r="E358" s="4" t="str">
        <f>IF(VLOOKUP($B358,spell_header!$B$2:$G$373,4,FALSE)="√","√","")</f>
        <v>√</v>
      </c>
      <c r="F358" t="str">
        <f>_xlfn.LET(_xlpm.x,VLOOKUP($B358,spell_header!$B$2:$G$373,5,FALSE),IF(_xlpm.x="","",_xlpm.x))</f>
        <v/>
      </c>
      <c r="G358">
        <v>257</v>
      </c>
    </row>
    <row r="359" spans="1:7" ht="15" x14ac:dyDescent="0.2">
      <c r="A359">
        <v>357</v>
      </c>
      <c r="B359" s="6" t="s">
        <v>1492</v>
      </c>
      <c r="C359" t="str">
        <f>_xlfn.LET(_xlpm.x,VLOOKUP($B359,spell_header!$B$2:$G$373,2,FALSE),IF(_xlpm.x="","",_xlpm.x))</f>
        <v>增益描述（中文）</v>
      </c>
      <c r="D359" s="4" t="str">
        <f>IF(VLOOKUP($B359,spell_header!$B$2:$G$373,3,FALSE)="√","√","")</f>
        <v/>
      </c>
      <c r="E359" s="4" t="str">
        <f>IF(VLOOKUP($B359,spell_header!$B$2:$G$373,4,FALSE)="√","√","")</f>
        <v>√</v>
      </c>
      <c r="F359" t="str">
        <f>_xlfn.LET(_xlpm.x,VLOOKUP($B359,spell_header!$B$2:$G$373,5,FALSE),IF(_xlpm.x="","",_xlpm.x))</f>
        <v/>
      </c>
      <c r="G359">
        <v>263</v>
      </c>
    </row>
    <row r="360" spans="1:7" ht="15" x14ac:dyDescent="0.2">
      <c r="A360">
        <v>358</v>
      </c>
      <c r="B360" s="6" t="s">
        <v>1493</v>
      </c>
      <c r="C360" t="str">
        <f>_xlfn.LET(_xlpm.x,VLOOKUP($B360,spell_header!$B$2:$G$373,2,FALSE),IF(_xlpm.x="","",_xlpm.x))</f>
        <v>增益描述（英文）</v>
      </c>
      <c r="D360" s="4" t="str">
        <f>IF(VLOOKUP($B360,spell_header!$B$2:$G$373,3,FALSE)="√","√","")</f>
        <v/>
      </c>
      <c r="E360" s="4" t="str">
        <f>IF(VLOOKUP($B360,spell_header!$B$2:$G$373,4,FALSE)="√","√","")</f>
        <v>√</v>
      </c>
      <c r="F360" t="str">
        <f>_xlfn.LET(_xlpm.x,VLOOKUP($B360,spell_header!$B$2:$G$373,5,FALSE),IF(_xlpm.x="","",_xlpm.x))</f>
        <v/>
      </c>
      <c r="G360">
        <v>265</v>
      </c>
    </row>
    <row r="361" spans="1:7" ht="15" x14ac:dyDescent="0.2">
      <c r="A361">
        <v>359</v>
      </c>
      <c r="B361" s="6" t="s">
        <v>1494</v>
      </c>
      <c r="C361" t="str">
        <f>_xlfn.LET(_xlpm.x,VLOOKUP($B361,spell_header!$B$2:$G$373,2,FALSE),IF(_xlpm.x="","",_xlpm.x))</f>
        <v>增益描述（中文/数值转换）</v>
      </c>
      <c r="D361" s="4" t="str">
        <f>IF(VLOOKUP($B361,spell_header!$B$2:$G$373,3,FALSE)="√","√","")</f>
        <v/>
      </c>
      <c r="E361" s="4" t="str">
        <f>IF(VLOOKUP($B361,spell_header!$B$2:$G$373,4,FALSE)="√","√","")</f>
        <v>√</v>
      </c>
      <c r="F361" t="str">
        <f>_xlfn.LET(_xlpm.x,VLOOKUP($B361,spell_header!$B$2:$G$373,5,FALSE),IF(_xlpm.x="","",_xlpm.x))</f>
        <v/>
      </c>
      <c r="G361">
        <v>264</v>
      </c>
    </row>
    <row r="362" spans="1:7" ht="15" x14ac:dyDescent="0.2">
      <c r="A362">
        <v>360</v>
      </c>
      <c r="B362" s="6" t="s">
        <v>1495</v>
      </c>
      <c r="C362" t="str">
        <f>_xlfn.LET(_xlpm.x,VLOOKUP($B362,spell_header!$B$2:$G$373,2,FALSE),IF(_xlpm.x="","",_xlpm.x))</f>
        <v>增益描述（英文/数值转换）</v>
      </c>
      <c r="D362" s="4" t="str">
        <f>IF(VLOOKUP($B362,spell_header!$B$2:$G$373,3,FALSE)="√","√","")</f>
        <v/>
      </c>
      <c r="E362" s="4" t="str">
        <f>IF(VLOOKUP($B362,spell_header!$B$2:$G$373,4,FALSE)="√","√","")</f>
        <v>√</v>
      </c>
      <c r="F362" t="str">
        <f>_xlfn.LET(_xlpm.x,VLOOKUP($B362,spell_header!$B$2:$G$373,5,FALSE),IF(_xlpm.x="","",_xlpm.x))</f>
        <v/>
      </c>
      <c r="G362">
        <v>266</v>
      </c>
    </row>
    <row r="363" spans="1:7" ht="15" x14ac:dyDescent="0.2">
      <c r="A363">
        <v>361</v>
      </c>
      <c r="B363" s="6" t="s">
        <v>1496</v>
      </c>
      <c r="C363" t="str">
        <f>_xlfn.LET(_xlpm.x,VLOOKUP($B363,spell_header!$B$2:$G$373,2,FALSE),IF(_xlpm.x="","",_xlpm.x))</f>
        <v>增益名称（中文）</v>
      </c>
      <c r="D363" s="4" t="str">
        <f>IF(VLOOKUP($B363,spell_header!$B$2:$G$373,3,FALSE)="√","√","")</f>
        <v/>
      </c>
      <c r="E363" s="4" t="str">
        <f>IF(VLOOKUP($B363,spell_header!$B$2:$G$373,4,FALSE)="√","√","")</f>
        <v/>
      </c>
      <c r="F363" t="str">
        <f>_xlfn.LET(_xlpm.x,VLOOKUP($B363,spell_header!$B$2:$G$373,5,FALSE),IF(_xlpm.x="","",_xlpm.x))</f>
        <v/>
      </c>
      <c r="G363">
        <v>260</v>
      </c>
    </row>
    <row r="364" spans="1:7" ht="15" x14ac:dyDescent="0.2">
      <c r="A364">
        <v>362</v>
      </c>
      <c r="B364" s="6" t="s">
        <v>1497</v>
      </c>
      <c r="C364" t="str">
        <f>_xlfn.LET(_xlpm.x,VLOOKUP($B364,spell_header!$B$2:$G$373,2,FALSE),IF(_xlpm.x="","",_xlpm.x))</f>
        <v>增益名称（英文）</v>
      </c>
      <c r="D364" s="4" t="str">
        <f>IF(VLOOKUP($B364,spell_header!$B$2:$G$373,3,FALSE)="√","√","")</f>
        <v/>
      </c>
      <c r="E364" s="4" t="str">
        <f>IF(VLOOKUP($B364,spell_header!$B$2:$G$373,4,FALSE)="√","√","")</f>
        <v/>
      </c>
      <c r="F364" t="str">
        <f>_xlfn.LET(_xlpm.x,VLOOKUP($B364,spell_header!$B$2:$G$373,5,FALSE),IF(_xlpm.x="","",_xlpm.x))</f>
        <v/>
      </c>
      <c r="G364">
        <v>261</v>
      </c>
    </row>
    <row r="365" spans="1:7" ht="15" x14ac:dyDescent="0.2">
      <c r="A365">
        <v>363</v>
      </c>
      <c r="B365" s="6" t="s">
        <v>3748</v>
      </c>
      <c r="C365" t="str">
        <f>_xlfn.LET(_xlpm.x,VLOOKUP($B365,spell_header!$B$2:$G$373,2,FALSE),IF(_xlpm.x="","",_xlpm.x))</f>
        <v>增益冷却时间（中文）</v>
      </c>
      <c r="D365" s="4" t="str">
        <f>IF(VLOOKUP($B365,spell_header!$B$2:$G$373,3,FALSE)="√","√","")</f>
        <v/>
      </c>
      <c r="E365" s="4" t="str">
        <f>IF(VLOOKUP($B365,spell_header!$B$2:$G$373,4,FALSE)="√","√","")</f>
        <v>√</v>
      </c>
      <c r="F365" t="str">
        <f>_xlfn.LET(_xlpm.x,VLOOKUP($B365,spell_header!$B$2:$G$373,5,FALSE),IF(_xlpm.x="","",_xlpm.x))</f>
        <v/>
      </c>
      <c r="G365">
        <v>278</v>
      </c>
    </row>
    <row r="366" spans="1:7" ht="15" x14ac:dyDescent="0.2">
      <c r="A366">
        <v>364</v>
      </c>
      <c r="B366" s="6" t="s">
        <v>3747</v>
      </c>
      <c r="C366" t="str">
        <f>_xlfn.LET(_xlpm.x,VLOOKUP($B366,spell_header!$B$2:$G$373,2,FALSE),IF(_xlpm.x="","",_xlpm.x))</f>
        <v>增益冷却时间（英文）</v>
      </c>
      <c r="D366" s="4" t="str">
        <f>IF(VLOOKUP($B366,spell_header!$B$2:$G$373,3,FALSE)="√","√","")</f>
        <v/>
      </c>
      <c r="E366" s="4" t="str">
        <f>IF(VLOOKUP($B366,spell_header!$B$2:$G$373,4,FALSE)="√","√","")</f>
        <v>√</v>
      </c>
      <c r="F366" t="str">
        <f>_xlfn.LET(_xlpm.x,VLOOKUP($B366,spell_header!$B$2:$G$373,5,FALSE),IF(_xlpm.x="","",_xlpm.x))</f>
        <v/>
      </c>
      <c r="G366">
        <v>279</v>
      </c>
    </row>
    <row r="367" spans="1:7" ht="15" x14ac:dyDescent="0.2">
      <c r="A367">
        <v>365</v>
      </c>
      <c r="B367" s="6" t="s">
        <v>3788</v>
      </c>
      <c r="C367" t="str">
        <f>_xlfn.LET(_xlpm.x,VLOOKUP($B367,spell_header!$B$2:$G$373,2,FALSE),IF(_xlpm.x="","",_xlpm.x))</f>
        <v>增益冷却时间（中文/数值转换）</v>
      </c>
      <c r="D367" s="4" t="str">
        <f>IF(VLOOKUP($B367,spell_header!$B$2:$G$373,3,FALSE)="√","√","")</f>
        <v/>
      </c>
      <c r="E367" s="4" t="str">
        <f>IF(VLOOKUP($B367,spell_header!$B$2:$G$373,4,FALSE)="√","√","")</f>
        <v>√</v>
      </c>
      <c r="F367" t="str">
        <f>_xlfn.LET(_xlpm.x,VLOOKUP($B367,spell_header!$B$2:$G$373,5,FALSE),IF(_xlpm.x="","",_xlpm.x))</f>
        <v/>
      </c>
      <c r="G367">
        <v>280</v>
      </c>
    </row>
    <row r="368" spans="1:7" ht="15" x14ac:dyDescent="0.2">
      <c r="A368">
        <v>366</v>
      </c>
      <c r="B368" s="6" t="s">
        <v>3789</v>
      </c>
      <c r="C368" t="str">
        <f>_xlfn.LET(_xlpm.x,VLOOKUP($B368,spell_header!$B$2:$G$373,2,FALSE),IF(_xlpm.x="","",_xlpm.x))</f>
        <v>增益冷却时间（英文/数值转换）</v>
      </c>
      <c r="D368" s="4" t="str">
        <f>IF(VLOOKUP($B368,spell_header!$B$2:$G$373,3,FALSE)="√","√","")</f>
        <v/>
      </c>
      <c r="E368" s="4" t="str">
        <f>IF(VLOOKUP($B368,spell_header!$B$2:$G$373,4,FALSE)="√","√","")</f>
        <v>√</v>
      </c>
      <c r="F368" t="str">
        <f>_xlfn.LET(_xlpm.x,VLOOKUP($B368,spell_header!$B$2:$G$373,5,FALSE),IF(_xlpm.x="","",_xlpm.x))</f>
        <v/>
      </c>
      <c r="G368">
        <v>281</v>
      </c>
    </row>
    <row r="369" spans="1:7" ht="15" x14ac:dyDescent="0.2">
      <c r="A369">
        <v>367</v>
      </c>
      <c r="B369" s="6" t="s">
        <v>1498</v>
      </c>
      <c r="C369" t="str">
        <f>_xlfn.LET(_xlpm.x,VLOOKUP($B369,spell_header!$B$2:$G$373,2,FALSE),IF(_xlpm.x="","",_xlpm.x))</f>
        <v>增益说明文本（中文）</v>
      </c>
      <c r="D369" s="4" t="str">
        <f>IF(VLOOKUP($B369,spell_header!$B$2:$G$373,3,FALSE)="√","√","")</f>
        <v/>
      </c>
      <c r="E369" s="4" t="str">
        <f>IF(VLOOKUP($B369,spell_header!$B$2:$G$373,4,FALSE)="√","√","")</f>
        <v>√</v>
      </c>
      <c r="F369" t="str">
        <f>_xlfn.LET(_xlpm.x,VLOOKUP($B369,spell_header!$B$2:$G$373,5,FALSE),IF(_xlpm.x="","",_xlpm.x))</f>
        <v/>
      </c>
      <c r="G369">
        <v>268</v>
      </c>
    </row>
    <row r="370" spans="1:7" ht="15" x14ac:dyDescent="0.2">
      <c r="A370">
        <v>368</v>
      </c>
      <c r="B370" s="6" t="s">
        <v>1499</v>
      </c>
      <c r="C370" t="str">
        <f>_xlfn.LET(_xlpm.x,VLOOKUP($B370,spell_header!$B$2:$G$373,2,FALSE),IF(_xlpm.x="","",_xlpm.x))</f>
        <v>增益说明文本（英文）</v>
      </c>
      <c r="D370" s="4" t="str">
        <f>IF(VLOOKUP($B370,spell_header!$B$2:$G$373,3,FALSE)="√","√","")</f>
        <v/>
      </c>
      <c r="E370" s="4" t="str">
        <f>IF(VLOOKUP($B370,spell_header!$B$2:$G$373,4,FALSE)="√","√","")</f>
        <v>√</v>
      </c>
      <c r="F370" t="str">
        <f>_xlfn.LET(_xlpm.x,VLOOKUP($B370,spell_header!$B$2:$G$373,5,FALSE),IF(_xlpm.x="","",_xlpm.x))</f>
        <v/>
      </c>
      <c r="G370">
        <v>270</v>
      </c>
    </row>
    <row r="371" spans="1:7" ht="15" x14ac:dyDescent="0.2">
      <c r="A371">
        <v>369</v>
      </c>
      <c r="B371" s="6" t="s">
        <v>1500</v>
      </c>
      <c r="C371" t="str">
        <f>_xlfn.LET(_xlpm.x,VLOOKUP($B371,spell_header!$B$2:$G$373,2,FALSE),IF(_xlpm.x="","",_xlpm.x))</f>
        <v>增益说明文本（中文/数值转换）</v>
      </c>
      <c r="D371" s="4" t="str">
        <f>IF(VLOOKUP($B371,spell_header!$B$2:$G$373,3,FALSE)="√","√","")</f>
        <v/>
      </c>
      <c r="E371" s="4" t="str">
        <f>IF(VLOOKUP($B371,spell_header!$B$2:$G$373,4,FALSE)="√","√","")</f>
        <v>√</v>
      </c>
      <c r="F371" t="str">
        <f>_xlfn.LET(_xlpm.x,VLOOKUP($B371,spell_header!$B$2:$G$373,5,FALSE),IF(_xlpm.x="","",_xlpm.x))</f>
        <v/>
      </c>
      <c r="G371">
        <v>269</v>
      </c>
    </row>
    <row r="372" spans="1:7" ht="15" x14ac:dyDescent="0.2">
      <c r="A372">
        <v>370</v>
      </c>
      <c r="B372" s="6" t="s">
        <v>1501</v>
      </c>
      <c r="C372" t="str">
        <f>_xlfn.LET(_xlpm.x,VLOOKUP($B372,spell_header!$B$2:$G$373,2,FALSE),IF(_xlpm.x="","",_xlpm.x))</f>
        <v>增益说明文本（英文/数值转换）</v>
      </c>
      <c r="D372" s="4" t="str">
        <f>IF(VLOOKUP($B372,spell_header!$B$2:$G$373,3,FALSE)="√","√","")</f>
        <v/>
      </c>
      <c r="E372" s="4" t="str">
        <f>IF(VLOOKUP($B372,spell_header!$B$2:$G$373,4,FALSE)="√","√","")</f>
        <v>√</v>
      </c>
      <c r="F372" t="str">
        <f>_xlfn.LET(_xlpm.x,VLOOKUP($B372,spell_header!$B$2:$G$373,5,FALSE),IF(_xlpm.x="","",_xlpm.x))</f>
        <v/>
      </c>
      <c r="G372">
        <v>271</v>
      </c>
    </row>
    <row r="373" spans="1:7" ht="15" x14ac:dyDescent="0.2">
      <c r="A373">
        <v>371</v>
      </c>
      <c r="B373" s="6" t="s">
        <v>1502</v>
      </c>
      <c r="C373" t="str">
        <f>_xlfn.LET(_xlpm.x,VLOOKUP($B373,spell_header!$B$2:$G$373,2,FALSE),IF(_xlpm.x="","",_xlpm.x))</f>
        <v>增益简述（中文）</v>
      </c>
      <c r="D373" s="4" t="str">
        <f>IF(VLOOKUP($B373,spell_header!$B$2:$G$373,3,FALSE)="√","√","")</f>
        <v/>
      </c>
      <c r="E373" s="4" t="str">
        <f>IF(VLOOKUP($B373,spell_header!$B$2:$G$373,4,FALSE)="√","√","")</f>
        <v>√</v>
      </c>
      <c r="F373" t="str">
        <f>_xlfn.LET(_xlpm.x,VLOOKUP($B373,spell_header!$B$2:$G$373,5,FALSE),IF(_xlpm.x="","",_xlpm.x))</f>
        <v/>
      </c>
      <c r="G373">
        <v>273</v>
      </c>
    </row>
    <row r="374" spans="1:7" ht="15" x14ac:dyDescent="0.2">
      <c r="A374">
        <v>372</v>
      </c>
      <c r="B374" s="6" t="s">
        <v>1503</v>
      </c>
      <c r="C374" t="str">
        <f>_xlfn.LET(_xlpm.x,VLOOKUP($B374,spell_header!$B$2:$G$373,2,FALSE),IF(_xlpm.x="","",_xlpm.x))</f>
        <v>增益简述（英文）</v>
      </c>
      <c r="D374" s="4" t="str">
        <f>IF(VLOOKUP($B374,spell_header!$B$2:$G$373,3,FALSE)="√","√","")</f>
        <v/>
      </c>
      <c r="E374" s="4" t="str">
        <f>IF(VLOOKUP($B374,spell_header!$B$2:$G$373,4,FALSE)="√","√","")</f>
        <v>√</v>
      </c>
      <c r="F374" t="str">
        <f>_xlfn.LET(_xlpm.x,VLOOKUP($B374,spell_header!$B$2:$G$373,5,FALSE),IF(_xlpm.x="","",_xlpm.x))</f>
        <v/>
      </c>
      <c r="G374">
        <v>275</v>
      </c>
    </row>
    <row r="375" spans="1:7" ht="15" x14ac:dyDescent="0.2">
      <c r="A375">
        <v>373</v>
      </c>
      <c r="B375" s="6" t="s">
        <v>1504</v>
      </c>
      <c r="C375" t="str">
        <f>_xlfn.LET(_xlpm.x,VLOOKUP($B375,spell_header!$B$2:$G$373,2,FALSE),IF(_xlpm.x="","",_xlpm.x))</f>
        <v>增益简述（中文/数值转换）</v>
      </c>
      <c r="D375" s="4" t="str">
        <f>IF(VLOOKUP($B375,spell_header!$B$2:$G$373,3,FALSE)="√","√","")</f>
        <v/>
      </c>
      <c r="E375" s="4" t="str">
        <f>IF(VLOOKUP($B375,spell_header!$B$2:$G$373,4,FALSE)="√","√","")</f>
        <v>√</v>
      </c>
      <c r="F375" t="str">
        <f>_xlfn.LET(_xlpm.x,VLOOKUP($B375,spell_header!$B$2:$G$373,5,FALSE),IF(_xlpm.x="","",_xlpm.x))</f>
        <v/>
      </c>
      <c r="G375">
        <v>274</v>
      </c>
    </row>
    <row r="376" spans="1:7" ht="15" x14ac:dyDescent="0.2">
      <c r="A376">
        <v>374</v>
      </c>
      <c r="B376" s="6" t="s">
        <v>1505</v>
      </c>
      <c r="C376" t="str">
        <f>_xlfn.LET(_xlpm.x,VLOOKUP($B376,spell_header!$B$2:$G$373,2,FALSE),IF(_xlpm.x="","",_xlpm.x))</f>
        <v>增益简述（英文/数值转换）</v>
      </c>
      <c r="D376" s="4" t="str">
        <f>IF(VLOOKUP($B376,spell_header!$B$2:$G$373,3,FALSE)="√","√","")</f>
        <v/>
      </c>
      <c r="E376" s="4" t="str">
        <f>IF(VLOOKUP($B376,spell_header!$B$2:$G$373,4,FALSE)="√","√","")</f>
        <v>√</v>
      </c>
      <c r="F376" t="str">
        <f>_xlfn.LET(_xlpm.x,VLOOKUP($B376,spell_header!$B$2:$G$373,5,FALSE),IF(_xlpm.x="","",_xlpm.x))</f>
        <v/>
      </c>
      <c r="G376">
        <v>276</v>
      </c>
    </row>
    <row r="377" spans="1:7" ht="15" x14ac:dyDescent="0.2">
      <c r="A377">
        <v>375</v>
      </c>
      <c r="B377" s="1" t="s">
        <v>3749</v>
      </c>
      <c r="C377" t="str">
        <f>_xlfn.LET(_xlpm.x,VLOOKUP($B377,spell_header!$B$2:$G$373,2,FALSE),IF(_xlpm.x="","",_xlpm.x))</f>
        <v>电脑数据重载 伤害标签</v>
      </c>
      <c r="D377" s="4" t="str">
        <f>IF(VLOOKUP($B377,spell_header!$B$2:$G$373,3,FALSE)="√","√","")</f>
        <v>√</v>
      </c>
      <c r="E377" s="4" t="str">
        <f>IF(VLOOKUP($B377,spell_header!$B$2:$G$373,4,FALSE)="√","√","")</f>
        <v>√</v>
      </c>
      <c r="F377" t="str">
        <f>_xlfn.LET(_xlpm.x,VLOOKUP($B377,spell_header!$B$2:$G$373,5,FALSE),IF(_xlpm.x="","",_xlpm.x))</f>
        <v/>
      </c>
      <c r="G377">
        <v>375</v>
      </c>
    </row>
    <row r="378" spans="1:7" ht="15" x14ac:dyDescent="0.2">
      <c r="A378">
        <v>376</v>
      </c>
      <c r="B378" s="1" t="s">
        <v>3750</v>
      </c>
      <c r="C378" t="str">
        <f>_xlfn.LET(_xlpm.x,VLOOKUP($B378,spell_header!$B$2:$G$373,2,FALSE),IF(_xlpm.x="","",_xlpm.x))</f>
        <v>电脑数据重载 公式计算</v>
      </c>
      <c r="D378" s="4" t="str">
        <f>IF(VLOOKUP($B378,spell_header!$B$2:$G$373,3,FALSE)="√","√","")</f>
        <v>√</v>
      </c>
      <c r="E378" s="4" t="str">
        <f>IF(VLOOKUP($B378,spell_header!$B$2:$G$373,4,FALSE)="√","√","")</f>
        <v>√</v>
      </c>
      <c r="F378" t="str">
        <f>_xlfn.LET(_xlpm.x,VLOOKUP($B378,spell_header!$B$2:$G$373,5,FALSE),IF(_xlpm.x="","",_xlpm.x))</f>
        <v/>
      </c>
      <c r="G378">
        <v>376</v>
      </c>
    </row>
    <row r="379" spans="1:7" ht="15" x14ac:dyDescent="0.2">
      <c r="A379">
        <v>377</v>
      </c>
      <c r="B379" s="1" t="s">
        <v>3751</v>
      </c>
      <c r="C379" t="str">
        <f>_xlfn.LET(_xlpm.x,VLOOKUP($B379,spell_header!$B$2:$G$373,2,FALSE),IF(_xlpm.x="","",_xlpm.x))</f>
        <v>电脑数据重载 效应因子计算</v>
      </c>
      <c r="D379" s="4" t="str">
        <f>IF(VLOOKUP($B379,spell_header!$B$2:$G$373,3,FALSE)="√","√","")</f>
        <v>√</v>
      </c>
      <c r="E379" s="4" t="str">
        <f>IF(VLOOKUP($B379,spell_header!$B$2:$G$373,4,FALSE)="√","√","")</f>
        <v>√</v>
      </c>
      <c r="F379" t="str">
        <f>_xlfn.LET(_xlpm.x,VLOOKUP($B379,spell_header!$B$2:$G$373,5,FALSE),IF(_xlpm.x="","",_xlpm.x))</f>
        <v/>
      </c>
      <c r="G379">
        <v>377</v>
      </c>
    </row>
    <row r="380" spans="1:7" ht="15" x14ac:dyDescent="0.2">
      <c r="A380">
        <v>378</v>
      </c>
      <c r="B380" s="1" t="s">
        <v>3752</v>
      </c>
      <c r="C380" t="str">
        <f>_xlfn.LET(_xlpm.x,VLOOKUP($B380,spell_header!$B$2:$G$373,2,FALSE),IF(_xlpm.x="","",_xlpm.x))</f>
        <v/>
      </c>
      <c r="D380" s="4" t="str">
        <f>IF(VLOOKUP($B380,spell_header!$B$2:$G$373,3,FALSE)="√","√","")</f>
        <v>√</v>
      </c>
      <c r="E380" s="4" t="str">
        <f>IF(VLOOKUP($B380,spell_header!$B$2:$G$373,4,FALSE)="√","√","")</f>
        <v>√</v>
      </c>
      <c r="F380" t="str">
        <f>_xlfn.LET(_xlpm.x,VLOOKUP($B380,spell_header!$B$2:$G$373,5,FALSE),IF(_xlpm.x="","",_xlpm.x))</f>
        <v/>
      </c>
      <c r="G380">
        <v>378</v>
      </c>
    </row>
    <row r="381" spans="1:7" ht="15" x14ac:dyDescent="0.2">
      <c r="A381">
        <v>379</v>
      </c>
      <c r="B381" s="1" t="s">
        <v>3753</v>
      </c>
      <c r="C381" t="str">
        <f>_xlfn.LET(_xlpm.x,VLOOKUP($B381,spell_header!$B$2:$G$373,2,FALSE),IF(_xlpm.x="","",_xlpm.x))</f>
        <v/>
      </c>
      <c r="D381" s="4" t="str">
        <f>IF(VLOOKUP($B381,spell_header!$B$2:$G$373,3,FALSE)="√","√","")</f>
        <v>√</v>
      </c>
      <c r="E381" s="4" t="str">
        <f>IF(VLOOKUP($B381,spell_header!$B$2:$G$373,4,FALSE)="√","√","")</f>
        <v>√</v>
      </c>
      <c r="F381" t="str">
        <f>_xlfn.LET(_xlpm.x,VLOOKUP($B381,spell_header!$B$2:$G$373,5,FALSE),IF(_xlpm.x="","",_xlpm.x))</f>
        <v/>
      </c>
      <c r="G381">
        <v>379</v>
      </c>
    </row>
  </sheetData>
  <sortState xmlns:xlrd2="http://schemas.microsoft.com/office/spreadsheetml/2017/richdata2" ref="A2:G381">
    <sortCondition ref="A1:A381"/>
  </sortState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E274-4EB3-415A-9D3D-FF75635F0698}">
  <sheetPr codeName="Sheet7"/>
  <dimension ref="A1:G221"/>
  <sheetViews>
    <sheetView workbookViewId="0"/>
  </sheetViews>
  <sheetFormatPr defaultRowHeight="14.25" x14ac:dyDescent="0.2"/>
  <cols>
    <col min="2" max="2" width="90.375" bestFit="1" customWidth="1"/>
    <col min="3" max="3" width="36.7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855</v>
      </c>
      <c r="C2" t="s">
        <v>856</v>
      </c>
      <c r="D2" s="4" t="s">
        <v>22</v>
      </c>
      <c r="E2" s="4"/>
      <c r="G2">
        <v>0</v>
      </c>
    </row>
    <row r="3" spans="1:7" ht="15" x14ac:dyDescent="0.2">
      <c r="A3">
        <v>1</v>
      </c>
      <c r="B3" s="1" t="s">
        <v>886</v>
      </c>
      <c r="C3" t="s">
        <v>887</v>
      </c>
      <c r="D3" s="4" t="s">
        <v>22</v>
      </c>
      <c r="E3" s="4" t="s">
        <v>22</v>
      </c>
      <c r="G3">
        <v>8</v>
      </c>
    </row>
    <row r="4" spans="1:7" ht="15" x14ac:dyDescent="0.2">
      <c r="A4">
        <v>2</v>
      </c>
      <c r="B4" s="1" t="s">
        <v>888</v>
      </c>
      <c r="C4" t="s">
        <v>867</v>
      </c>
      <c r="D4" s="4" t="s">
        <v>22</v>
      </c>
      <c r="E4" s="4" t="s">
        <v>22</v>
      </c>
      <c r="G4">
        <v>2</v>
      </c>
    </row>
    <row r="5" spans="1:7" ht="15" x14ac:dyDescent="0.2">
      <c r="A5">
        <v>3</v>
      </c>
      <c r="B5" s="1" t="s">
        <v>889</v>
      </c>
      <c r="C5" t="s">
        <v>890</v>
      </c>
      <c r="D5" s="4" t="s">
        <v>22</v>
      </c>
      <c r="E5" s="4" t="s">
        <v>22</v>
      </c>
      <c r="G5">
        <v>49</v>
      </c>
    </row>
    <row r="6" spans="1:7" ht="15" x14ac:dyDescent="0.2">
      <c r="A6">
        <v>4</v>
      </c>
      <c r="B6" s="1" t="s">
        <v>891</v>
      </c>
      <c r="C6" t="s">
        <v>892</v>
      </c>
      <c r="D6" s="4" t="s">
        <v>22</v>
      </c>
      <c r="E6" s="4" t="s">
        <v>22</v>
      </c>
      <c r="G6">
        <v>50</v>
      </c>
    </row>
    <row r="7" spans="1:7" ht="15" x14ac:dyDescent="0.2">
      <c r="A7">
        <v>5</v>
      </c>
      <c r="B7" s="1" t="s">
        <v>893</v>
      </c>
      <c r="C7" t="s">
        <v>894</v>
      </c>
      <c r="D7" s="4" t="s">
        <v>22</v>
      </c>
      <c r="E7" s="4" t="s">
        <v>22</v>
      </c>
      <c r="G7">
        <v>52</v>
      </c>
    </row>
    <row r="8" spans="1:7" ht="15" x14ac:dyDescent="0.2">
      <c r="A8">
        <v>6</v>
      </c>
      <c r="B8" s="1" t="s">
        <v>895</v>
      </c>
      <c r="C8" t="s">
        <v>896</v>
      </c>
      <c r="D8" s="4" t="s">
        <v>22</v>
      </c>
      <c r="E8" s="4" t="s">
        <v>22</v>
      </c>
      <c r="G8">
        <v>56</v>
      </c>
    </row>
    <row r="9" spans="1:7" ht="15" x14ac:dyDescent="0.2">
      <c r="A9">
        <v>7</v>
      </c>
      <c r="B9" s="1" t="s">
        <v>897</v>
      </c>
      <c r="C9" t="s">
        <v>898</v>
      </c>
      <c r="D9" s="4" t="s">
        <v>22</v>
      </c>
      <c r="E9" s="4" t="s">
        <v>22</v>
      </c>
      <c r="G9">
        <v>5</v>
      </c>
    </row>
    <row r="10" spans="1:7" ht="15" x14ac:dyDescent="0.2">
      <c r="A10">
        <v>8</v>
      </c>
      <c r="B10" s="1" t="s">
        <v>899</v>
      </c>
      <c r="C10" t="s">
        <v>900</v>
      </c>
      <c r="D10" s="4" t="s">
        <v>22</v>
      </c>
      <c r="E10" s="4" t="s">
        <v>22</v>
      </c>
      <c r="G10">
        <v>51</v>
      </c>
    </row>
    <row r="11" spans="1:7" ht="15" x14ac:dyDescent="0.2">
      <c r="A11">
        <v>9</v>
      </c>
      <c r="B11" s="1" t="s">
        <v>901</v>
      </c>
      <c r="C11" t="s">
        <v>902</v>
      </c>
      <c r="D11" s="4" t="s">
        <v>22</v>
      </c>
      <c r="E11" s="4"/>
      <c r="G11">
        <v>1</v>
      </c>
    </row>
    <row r="12" spans="1:7" ht="15" x14ac:dyDescent="0.2">
      <c r="A12">
        <v>10</v>
      </c>
      <c r="B12" s="1" t="s">
        <v>903</v>
      </c>
      <c r="C12" t="s">
        <v>904</v>
      </c>
      <c r="D12" s="4" t="s">
        <v>22</v>
      </c>
      <c r="E12" s="4" t="s">
        <v>22</v>
      </c>
      <c r="G12">
        <v>26</v>
      </c>
    </row>
    <row r="13" spans="1:7" ht="15" x14ac:dyDescent="0.2">
      <c r="A13">
        <v>11</v>
      </c>
      <c r="B13" s="1" t="s">
        <v>905</v>
      </c>
      <c r="C13" t="s">
        <v>906</v>
      </c>
      <c r="D13" s="4" t="s">
        <v>22</v>
      </c>
      <c r="E13" s="4"/>
      <c r="G13">
        <v>45</v>
      </c>
    </row>
    <row r="14" spans="1:7" ht="15" x14ac:dyDescent="0.2">
      <c r="A14">
        <v>12</v>
      </c>
      <c r="B14" s="1" t="s">
        <v>907</v>
      </c>
      <c r="C14" t="s">
        <v>908</v>
      </c>
      <c r="D14" s="4" t="s">
        <v>22</v>
      </c>
      <c r="E14" s="4" t="s">
        <v>22</v>
      </c>
      <c r="G14">
        <v>46</v>
      </c>
    </row>
    <row r="15" spans="1:7" ht="15" x14ac:dyDescent="0.2">
      <c r="A15">
        <v>13</v>
      </c>
      <c r="B15" s="1" t="s">
        <v>909</v>
      </c>
      <c r="C15" t="s">
        <v>910</v>
      </c>
      <c r="D15" s="4" t="s">
        <v>22</v>
      </c>
      <c r="E15" s="4" t="s">
        <v>22</v>
      </c>
      <c r="G15">
        <v>48</v>
      </c>
    </row>
    <row r="16" spans="1:7" ht="15" x14ac:dyDescent="0.2">
      <c r="A16">
        <v>14</v>
      </c>
      <c r="B16" s="1" t="s">
        <v>911</v>
      </c>
      <c r="C16" t="s">
        <v>912</v>
      </c>
      <c r="D16" s="4" t="s">
        <v>22</v>
      </c>
      <c r="E16" s="4" t="s">
        <v>22</v>
      </c>
      <c r="G16">
        <v>27</v>
      </c>
    </row>
    <row r="17" spans="1:7" ht="15" x14ac:dyDescent="0.2">
      <c r="A17">
        <v>15</v>
      </c>
      <c r="B17" s="1" t="s">
        <v>913</v>
      </c>
      <c r="C17" t="s">
        <v>914</v>
      </c>
      <c r="D17" s="4" t="s">
        <v>22</v>
      </c>
      <c r="E17" s="4" t="s">
        <v>22</v>
      </c>
      <c r="G17">
        <v>30</v>
      </c>
    </row>
    <row r="18" spans="1:7" ht="15" x14ac:dyDescent="0.2">
      <c r="A18">
        <v>16</v>
      </c>
      <c r="B18" s="1" t="s">
        <v>915</v>
      </c>
      <c r="C18" t="s">
        <v>916</v>
      </c>
      <c r="D18" s="4" t="s">
        <v>22</v>
      </c>
      <c r="E18" s="4" t="s">
        <v>22</v>
      </c>
      <c r="F18" t="b">
        <v>0</v>
      </c>
      <c r="G18">
        <v>57</v>
      </c>
    </row>
    <row r="19" spans="1:7" ht="15" x14ac:dyDescent="0.2">
      <c r="A19">
        <v>17</v>
      </c>
      <c r="B19" s="1" t="s">
        <v>917</v>
      </c>
      <c r="C19" t="s">
        <v>918</v>
      </c>
      <c r="D19" s="4" t="s">
        <v>22</v>
      </c>
      <c r="E19" s="4" t="s">
        <v>22</v>
      </c>
      <c r="G19">
        <v>29</v>
      </c>
    </row>
    <row r="20" spans="1:7" ht="15" x14ac:dyDescent="0.2">
      <c r="A20">
        <v>18</v>
      </c>
      <c r="B20" s="1" t="s">
        <v>919</v>
      </c>
      <c r="C20" t="s">
        <v>920</v>
      </c>
      <c r="D20" s="4" t="s">
        <v>22</v>
      </c>
      <c r="E20" s="4" t="s">
        <v>22</v>
      </c>
      <c r="G20">
        <v>58</v>
      </c>
    </row>
    <row r="21" spans="1:7" ht="15" x14ac:dyDescent="0.2">
      <c r="A21">
        <v>19</v>
      </c>
      <c r="B21" s="1" t="s">
        <v>921</v>
      </c>
      <c r="C21" t="s">
        <v>396</v>
      </c>
      <c r="D21" s="4" t="s">
        <v>22</v>
      </c>
      <c r="E21" s="4" t="s">
        <v>22</v>
      </c>
      <c r="F21" t="b">
        <v>0</v>
      </c>
      <c r="G21">
        <v>7</v>
      </c>
    </row>
    <row r="22" spans="1:7" ht="15" x14ac:dyDescent="0.2">
      <c r="A22">
        <v>20</v>
      </c>
      <c r="B22" s="1" t="s">
        <v>922</v>
      </c>
      <c r="C22" t="s">
        <v>923</v>
      </c>
      <c r="D22" s="4" t="s">
        <v>22</v>
      </c>
      <c r="E22" s="4" t="s">
        <v>22</v>
      </c>
      <c r="F22" t="b">
        <v>0</v>
      </c>
      <c r="G22">
        <v>12</v>
      </c>
    </row>
    <row r="23" spans="1:7" ht="15" x14ac:dyDescent="0.2">
      <c r="A23">
        <v>21</v>
      </c>
      <c r="B23" s="1" t="s">
        <v>924</v>
      </c>
      <c r="C23" t="s">
        <v>925</v>
      </c>
      <c r="D23" s="4" t="s">
        <v>22</v>
      </c>
      <c r="E23" s="4" t="s">
        <v>22</v>
      </c>
      <c r="F23" t="b">
        <v>0</v>
      </c>
      <c r="G23">
        <v>13</v>
      </c>
    </row>
    <row r="24" spans="1:7" ht="15" x14ac:dyDescent="0.2">
      <c r="A24">
        <v>22</v>
      </c>
      <c r="B24" s="1" t="s">
        <v>926</v>
      </c>
      <c r="C24" t="s">
        <v>927</v>
      </c>
      <c r="D24" s="4" t="s">
        <v>22</v>
      </c>
      <c r="E24" s="4" t="s">
        <v>22</v>
      </c>
      <c r="F24" t="b">
        <v>0</v>
      </c>
      <c r="G24">
        <v>6</v>
      </c>
    </row>
    <row r="25" spans="1:7" ht="15" x14ac:dyDescent="0.2">
      <c r="A25">
        <v>23</v>
      </c>
      <c r="B25" s="1" t="s">
        <v>928</v>
      </c>
      <c r="C25" t="s">
        <v>929</v>
      </c>
      <c r="D25" s="4" t="s">
        <v>22</v>
      </c>
      <c r="E25" s="4" t="s">
        <v>22</v>
      </c>
      <c r="F25" t="b">
        <v>0</v>
      </c>
      <c r="G25">
        <v>14</v>
      </c>
    </row>
    <row r="26" spans="1:7" ht="15" x14ac:dyDescent="0.2">
      <c r="A26">
        <v>24</v>
      </c>
      <c r="B26" s="1" t="s">
        <v>930</v>
      </c>
      <c r="C26" t="s">
        <v>931</v>
      </c>
      <c r="D26" s="4" t="s">
        <v>22</v>
      </c>
      <c r="E26" s="4" t="s">
        <v>22</v>
      </c>
      <c r="F26" t="b">
        <v>0</v>
      </c>
      <c r="G26">
        <v>15</v>
      </c>
    </row>
    <row r="27" spans="1:7" ht="15" x14ac:dyDescent="0.2">
      <c r="A27">
        <v>25</v>
      </c>
      <c r="B27" s="1" t="s">
        <v>932</v>
      </c>
      <c r="C27" t="s">
        <v>933</v>
      </c>
      <c r="D27" s="4" t="s">
        <v>22</v>
      </c>
      <c r="E27" s="4" t="s">
        <v>22</v>
      </c>
      <c r="F27" t="b">
        <v>1</v>
      </c>
      <c r="G27">
        <v>16</v>
      </c>
    </row>
    <row r="28" spans="1:7" ht="15" x14ac:dyDescent="0.2">
      <c r="A28">
        <v>26</v>
      </c>
      <c r="B28" s="1" t="s">
        <v>934</v>
      </c>
      <c r="C28" t="s">
        <v>935</v>
      </c>
      <c r="D28" s="4" t="s">
        <v>22</v>
      </c>
      <c r="E28" s="4" t="s">
        <v>22</v>
      </c>
      <c r="F28" t="b">
        <v>1</v>
      </c>
      <c r="G28">
        <v>17</v>
      </c>
    </row>
    <row r="29" spans="1:7" ht="15" x14ac:dyDescent="0.2">
      <c r="A29">
        <v>27</v>
      </c>
      <c r="B29" s="1" t="s">
        <v>936</v>
      </c>
      <c r="C29" t="s">
        <v>937</v>
      </c>
      <c r="D29" s="4" t="s">
        <v>22</v>
      </c>
      <c r="E29" s="4" t="s">
        <v>22</v>
      </c>
      <c r="F29" t="b">
        <v>0</v>
      </c>
      <c r="G29">
        <v>10</v>
      </c>
    </row>
    <row r="30" spans="1:7" ht="15" x14ac:dyDescent="0.2">
      <c r="A30">
        <v>28</v>
      </c>
      <c r="B30" s="1" t="s">
        <v>938</v>
      </c>
      <c r="C30" t="s">
        <v>939</v>
      </c>
      <c r="D30" s="4" t="s">
        <v>22</v>
      </c>
      <c r="E30" s="4" t="s">
        <v>22</v>
      </c>
      <c r="G30">
        <v>31</v>
      </c>
    </row>
    <row r="31" spans="1:7" ht="15" x14ac:dyDescent="0.2">
      <c r="A31">
        <v>29</v>
      </c>
      <c r="B31" s="1" t="s">
        <v>940</v>
      </c>
      <c r="C31" t="s">
        <v>941</v>
      </c>
      <c r="D31" s="4" t="s">
        <v>22</v>
      </c>
      <c r="E31" s="4" t="s">
        <v>22</v>
      </c>
      <c r="G31">
        <v>41</v>
      </c>
    </row>
    <row r="32" spans="1:7" ht="15" x14ac:dyDescent="0.2">
      <c r="A32">
        <v>30</v>
      </c>
      <c r="B32" s="1" t="s">
        <v>942</v>
      </c>
      <c r="C32" t="s">
        <v>943</v>
      </c>
      <c r="D32" s="4" t="s">
        <v>22</v>
      </c>
      <c r="E32" s="4" t="s">
        <v>22</v>
      </c>
      <c r="G32">
        <v>43</v>
      </c>
    </row>
    <row r="33" spans="1:7" ht="15" x14ac:dyDescent="0.2">
      <c r="A33">
        <v>31</v>
      </c>
      <c r="B33" s="1" t="s">
        <v>944</v>
      </c>
      <c r="C33" t="s">
        <v>945</v>
      </c>
      <c r="D33" s="4" t="s">
        <v>22</v>
      </c>
      <c r="E33" s="4" t="s">
        <v>22</v>
      </c>
      <c r="G33">
        <v>34</v>
      </c>
    </row>
    <row r="34" spans="1:7" ht="15" x14ac:dyDescent="0.2">
      <c r="A34">
        <v>32</v>
      </c>
      <c r="B34" s="1" t="s">
        <v>946</v>
      </c>
      <c r="C34" t="s">
        <v>947</v>
      </c>
      <c r="D34" s="4" t="s">
        <v>22</v>
      </c>
      <c r="E34" s="4" t="s">
        <v>22</v>
      </c>
      <c r="G34">
        <v>88</v>
      </c>
    </row>
    <row r="35" spans="1:7" ht="15" x14ac:dyDescent="0.2">
      <c r="A35">
        <v>33</v>
      </c>
      <c r="B35" s="1" t="s">
        <v>948</v>
      </c>
      <c r="C35" t="s">
        <v>949</v>
      </c>
      <c r="D35" s="4" t="s">
        <v>22</v>
      </c>
      <c r="E35" s="4" t="s">
        <v>22</v>
      </c>
      <c r="G35">
        <v>23</v>
      </c>
    </row>
    <row r="36" spans="1:7" ht="15" x14ac:dyDescent="0.2">
      <c r="A36">
        <v>34</v>
      </c>
      <c r="B36" s="1" t="s">
        <v>950</v>
      </c>
      <c r="C36" t="s">
        <v>951</v>
      </c>
      <c r="D36" s="4" t="s">
        <v>22</v>
      </c>
      <c r="E36" s="4" t="s">
        <v>22</v>
      </c>
      <c r="G36">
        <v>53</v>
      </c>
    </row>
    <row r="37" spans="1:7" ht="15" x14ac:dyDescent="0.2">
      <c r="A37">
        <v>35</v>
      </c>
      <c r="B37" s="1" t="s">
        <v>952</v>
      </c>
      <c r="C37" t="s">
        <v>953</v>
      </c>
      <c r="D37" s="4" t="s">
        <v>22</v>
      </c>
      <c r="E37" s="4" t="s">
        <v>22</v>
      </c>
      <c r="G37">
        <v>9</v>
      </c>
    </row>
    <row r="38" spans="1:7" ht="15" x14ac:dyDescent="0.2">
      <c r="A38">
        <v>36</v>
      </c>
      <c r="B38" s="1" t="s">
        <v>954</v>
      </c>
      <c r="C38" t="s">
        <v>955</v>
      </c>
      <c r="D38" s="4" t="s">
        <v>22</v>
      </c>
      <c r="E38" s="4" t="s">
        <v>22</v>
      </c>
      <c r="G38">
        <v>90</v>
      </c>
    </row>
    <row r="39" spans="1:7" ht="15" x14ac:dyDescent="0.2">
      <c r="A39">
        <v>37</v>
      </c>
      <c r="B39" s="1" t="s">
        <v>956</v>
      </c>
      <c r="C39" t="s">
        <v>957</v>
      </c>
      <c r="D39" s="4" t="s">
        <v>22</v>
      </c>
      <c r="E39" s="4" t="s">
        <v>22</v>
      </c>
      <c r="G39">
        <v>91</v>
      </c>
    </row>
    <row r="40" spans="1:7" ht="15" x14ac:dyDescent="0.2">
      <c r="A40">
        <v>38</v>
      </c>
      <c r="B40" s="1" t="s">
        <v>958</v>
      </c>
      <c r="C40" t="s">
        <v>959</v>
      </c>
      <c r="D40" s="4" t="s">
        <v>22</v>
      </c>
      <c r="E40" s="4" t="s">
        <v>22</v>
      </c>
      <c r="G40">
        <v>85</v>
      </c>
    </row>
    <row r="41" spans="1:7" ht="15" x14ac:dyDescent="0.2">
      <c r="A41">
        <v>39</v>
      </c>
      <c r="B41" s="1" t="s">
        <v>960</v>
      </c>
      <c r="C41" t="s">
        <v>961</v>
      </c>
      <c r="D41" s="4" t="s">
        <v>22</v>
      </c>
      <c r="E41" s="4" t="s">
        <v>22</v>
      </c>
      <c r="G41">
        <v>80</v>
      </c>
    </row>
    <row r="42" spans="1:7" ht="15" x14ac:dyDescent="0.2">
      <c r="A42">
        <v>40</v>
      </c>
      <c r="B42" s="1" t="s">
        <v>962</v>
      </c>
      <c r="C42" t="s">
        <v>963</v>
      </c>
      <c r="D42" s="4" t="s">
        <v>22</v>
      </c>
      <c r="E42" s="4" t="s">
        <v>22</v>
      </c>
      <c r="G42">
        <v>92</v>
      </c>
    </row>
    <row r="43" spans="1:7" ht="15" x14ac:dyDescent="0.2">
      <c r="A43">
        <v>41</v>
      </c>
      <c r="B43" s="1" t="s">
        <v>964</v>
      </c>
      <c r="C43" t="s">
        <v>965</v>
      </c>
      <c r="D43" s="4" t="s">
        <v>22</v>
      </c>
      <c r="E43" s="4" t="s">
        <v>22</v>
      </c>
      <c r="G43">
        <v>93</v>
      </c>
    </row>
    <row r="44" spans="1:7" ht="15" x14ac:dyDescent="0.2">
      <c r="A44">
        <v>42</v>
      </c>
      <c r="B44" s="1" t="s">
        <v>966</v>
      </c>
      <c r="C44" t="s">
        <v>967</v>
      </c>
      <c r="D44" s="4" t="s">
        <v>22</v>
      </c>
      <c r="E44" s="4" t="s">
        <v>22</v>
      </c>
      <c r="G44">
        <v>89</v>
      </c>
    </row>
    <row r="45" spans="1:7" ht="15" x14ac:dyDescent="0.2">
      <c r="A45">
        <v>43</v>
      </c>
      <c r="B45" s="1" t="s">
        <v>968</v>
      </c>
      <c r="C45" t="s">
        <v>969</v>
      </c>
      <c r="D45" s="4" t="s">
        <v>22</v>
      </c>
      <c r="E45" s="4" t="s">
        <v>22</v>
      </c>
      <c r="G45">
        <v>95</v>
      </c>
    </row>
    <row r="46" spans="1:7" ht="15" x14ac:dyDescent="0.2">
      <c r="A46">
        <v>44</v>
      </c>
      <c r="B46" s="1" t="s">
        <v>970</v>
      </c>
      <c r="C46" t="s">
        <v>971</v>
      </c>
      <c r="D46" s="4" t="s">
        <v>22</v>
      </c>
      <c r="E46" s="4" t="s">
        <v>22</v>
      </c>
      <c r="G46">
        <v>86</v>
      </c>
    </row>
    <row r="47" spans="1:7" ht="15" x14ac:dyDescent="0.2">
      <c r="A47">
        <v>45</v>
      </c>
      <c r="B47" s="1" t="s">
        <v>972</v>
      </c>
      <c r="C47" t="s">
        <v>973</v>
      </c>
      <c r="D47" s="4" t="s">
        <v>22</v>
      </c>
      <c r="E47" s="4" t="s">
        <v>22</v>
      </c>
      <c r="G47">
        <v>70</v>
      </c>
    </row>
    <row r="48" spans="1:7" ht="15" x14ac:dyDescent="0.2">
      <c r="A48">
        <v>46</v>
      </c>
      <c r="B48" s="1" t="s">
        <v>974</v>
      </c>
      <c r="C48" t="s">
        <v>975</v>
      </c>
      <c r="D48" s="4" t="s">
        <v>22</v>
      </c>
      <c r="E48" s="4" t="s">
        <v>22</v>
      </c>
      <c r="G48">
        <v>94</v>
      </c>
    </row>
    <row r="49" spans="1:7" ht="15" x14ac:dyDescent="0.2">
      <c r="A49">
        <v>47</v>
      </c>
      <c r="B49" s="1" t="s">
        <v>976</v>
      </c>
      <c r="C49" t="s">
        <v>977</v>
      </c>
      <c r="D49" s="4" t="s">
        <v>22</v>
      </c>
      <c r="E49" s="4" t="s">
        <v>22</v>
      </c>
      <c r="G49">
        <v>67</v>
      </c>
    </row>
    <row r="50" spans="1:7" ht="15" x14ac:dyDescent="0.2">
      <c r="A50">
        <v>48</v>
      </c>
      <c r="B50" s="1" t="s">
        <v>978</v>
      </c>
      <c r="C50" t="s">
        <v>979</v>
      </c>
      <c r="D50" s="4" t="s">
        <v>22</v>
      </c>
      <c r="E50" s="4" t="s">
        <v>22</v>
      </c>
      <c r="G50">
        <v>79</v>
      </c>
    </row>
    <row r="51" spans="1:7" ht="15" x14ac:dyDescent="0.2">
      <c r="A51">
        <v>49</v>
      </c>
      <c r="B51" s="1" t="s">
        <v>980</v>
      </c>
      <c r="C51" t="s">
        <v>981</v>
      </c>
      <c r="D51" s="4" t="s">
        <v>22</v>
      </c>
      <c r="E51" s="4" t="s">
        <v>22</v>
      </c>
      <c r="G51">
        <v>82</v>
      </c>
    </row>
    <row r="52" spans="1:7" ht="15" x14ac:dyDescent="0.2">
      <c r="A52">
        <v>50</v>
      </c>
      <c r="B52" s="1" t="s">
        <v>982</v>
      </c>
      <c r="C52" t="s">
        <v>983</v>
      </c>
      <c r="D52" s="4" t="s">
        <v>22</v>
      </c>
      <c r="E52" s="4" t="s">
        <v>22</v>
      </c>
      <c r="G52">
        <v>81</v>
      </c>
    </row>
    <row r="53" spans="1:7" ht="15" x14ac:dyDescent="0.2">
      <c r="A53">
        <v>51</v>
      </c>
      <c r="B53" s="1" t="s">
        <v>984</v>
      </c>
      <c r="C53" t="s">
        <v>985</v>
      </c>
      <c r="D53" s="4" t="s">
        <v>22</v>
      </c>
      <c r="E53" s="4" t="s">
        <v>22</v>
      </c>
      <c r="G53">
        <v>59</v>
      </c>
    </row>
    <row r="54" spans="1:7" ht="15" x14ac:dyDescent="0.2">
      <c r="A54">
        <v>52</v>
      </c>
      <c r="B54" s="1" t="s">
        <v>986</v>
      </c>
      <c r="C54" t="s">
        <v>987</v>
      </c>
      <c r="D54" s="4" t="s">
        <v>22</v>
      </c>
      <c r="E54" s="4" t="s">
        <v>22</v>
      </c>
      <c r="G54">
        <v>72</v>
      </c>
    </row>
    <row r="55" spans="1:7" ht="15" x14ac:dyDescent="0.2">
      <c r="A55">
        <v>53</v>
      </c>
      <c r="B55" s="1" t="s">
        <v>988</v>
      </c>
      <c r="C55" t="s">
        <v>989</v>
      </c>
      <c r="D55" s="4" t="s">
        <v>22</v>
      </c>
      <c r="E55" s="4" t="s">
        <v>22</v>
      </c>
      <c r="G55">
        <v>73</v>
      </c>
    </row>
    <row r="56" spans="1:7" ht="15" x14ac:dyDescent="0.2">
      <c r="A56">
        <v>54</v>
      </c>
      <c r="B56" s="1" t="s">
        <v>990</v>
      </c>
      <c r="C56" t="s">
        <v>578</v>
      </c>
      <c r="D56" s="4" t="s">
        <v>22</v>
      </c>
      <c r="E56" s="4" t="s">
        <v>22</v>
      </c>
      <c r="G56">
        <v>74</v>
      </c>
    </row>
    <row r="57" spans="1:7" ht="15" x14ac:dyDescent="0.2">
      <c r="A57">
        <v>55</v>
      </c>
      <c r="B57" s="1" t="s">
        <v>991</v>
      </c>
      <c r="C57" t="s">
        <v>992</v>
      </c>
      <c r="D57" s="4" t="s">
        <v>22</v>
      </c>
      <c r="E57" s="4" t="s">
        <v>22</v>
      </c>
      <c r="G57">
        <v>68</v>
      </c>
    </row>
    <row r="58" spans="1:7" ht="15" x14ac:dyDescent="0.2">
      <c r="A58">
        <v>56</v>
      </c>
      <c r="B58" s="1" t="s">
        <v>993</v>
      </c>
      <c r="C58" t="s">
        <v>994</v>
      </c>
      <c r="D58" s="4" t="s">
        <v>22</v>
      </c>
      <c r="E58" s="4" t="s">
        <v>22</v>
      </c>
      <c r="G58">
        <v>69</v>
      </c>
    </row>
    <row r="59" spans="1:7" ht="15" x14ac:dyDescent="0.2">
      <c r="A59">
        <v>57</v>
      </c>
      <c r="B59" s="1" t="s">
        <v>995</v>
      </c>
      <c r="C59" t="s">
        <v>996</v>
      </c>
      <c r="D59" s="4" t="s">
        <v>22</v>
      </c>
      <c r="E59" s="4" t="s">
        <v>22</v>
      </c>
      <c r="G59">
        <v>71</v>
      </c>
    </row>
    <row r="60" spans="1:7" ht="15" x14ac:dyDescent="0.2">
      <c r="A60">
        <v>58</v>
      </c>
      <c r="B60" s="1" t="s">
        <v>997</v>
      </c>
      <c r="C60" t="s">
        <v>998</v>
      </c>
      <c r="D60" s="4" t="s">
        <v>22</v>
      </c>
      <c r="E60" s="4" t="s">
        <v>22</v>
      </c>
      <c r="G60">
        <v>63</v>
      </c>
    </row>
    <row r="61" spans="1:7" ht="15" x14ac:dyDescent="0.2">
      <c r="A61">
        <v>59</v>
      </c>
      <c r="B61" s="1" t="s">
        <v>999</v>
      </c>
      <c r="C61" t="s">
        <v>1000</v>
      </c>
      <c r="D61" s="4" t="s">
        <v>22</v>
      </c>
      <c r="E61" s="4" t="s">
        <v>22</v>
      </c>
      <c r="G61">
        <v>64</v>
      </c>
    </row>
    <row r="62" spans="1:7" ht="15" x14ac:dyDescent="0.2">
      <c r="A62">
        <v>60</v>
      </c>
      <c r="B62" s="1" t="s">
        <v>1001</v>
      </c>
      <c r="C62" t="s">
        <v>1002</v>
      </c>
      <c r="D62" s="4" t="s">
        <v>22</v>
      </c>
      <c r="E62" s="4" t="s">
        <v>22</v>
      </c>
      <c r="G62">
        <v>61</v>
      </c>
    </row>
    <row r="63" spans="1:7" ht="15" x14ac:dyDescent="0.2">
      <c r="A63">
        <v>61</v>
      </c>
      <c r="B63" s="1" t="s">
        <v>1003</v>
      </c>
      <c r="C63" t="s">
        <v>979</v>
      </c>
      <c r="D63" s="4" t="s">
        <v>22</v>
      </c>
      <c r="E63" s="4" t="s">
        <v>22</v>
      </c>
      <c r="G63">
        <v>78</v>
      </c>
    </row>
    <row r="64" spans="1:7" ht="15" x14ac:dyDescent="0.2">
      <c r="A64">
        <v>62</v>
      </c>
      <c r="B64" s="1" t="s">
        <v>1004</v>
      </c>
      <c r="C64" t="s">
        <v>1005</v>
      </c>
      <c r="D64" s="4" t="s">
        <v>22</v>
      </c>
      <c r="E64" s="4" t="s">
        <v>22</v>
      </c>
      <c r="G64">
        <v>65</v>
      </c>
    </row>
    <row r="65" spans="1:7" ht="15" x14ac:dyDescent="0.2">
      <c r="A65">
        <v>63</v>
      </c>
      <c r="B65" s="1" t="s">
        <v>1006</v>
      </c>
      <c r="C65" t="s">
        <v>1007</v>
      </c>
      <c r="D65" s="4" t="s">
        <v>22</v>
      </c>
      <c r="E65" s="4" t="s">
        <v>22</v>
      </c>
      <c r="G65">
        <v>66</v>
      </c>
    </row>
    <row r="66" spans="1:7" ht="15" x14ac:dyDescent="0.2">
      <c r="A66">
        <v>64</v>
      </c>
      <c r="B66" s="1" t="s">
        <v>1008</v>
      </c>
      <c r="C66" t="s">
        <v>1009</v>
      </c>
      <c r="D66" s="4" t="s">
        <v>22</v>
      </c>
      <c r="E66" s="4" t="s">
        <v>22</v>
      </c>
      <c r="G66">
        <v>83</v>
      </c>
    </row>
    <row r="67" spans="1:7" ht="15" x14ac:dyDescent="0.2">
      <c r="A67">
        <v>65</v>
      </c>
      <c r="B67" s="1" t="s">
        <v>1010</v>
      </c>
      <c r="C67" t="s">
        <v>1011</v>
      </c>
      <c r="D67" s="4" t="s">
        <v>22</v>
      </c>
      <c r="E67" s="4" t="s">
        <v>22</v>
      </c>
      <c r="G67">
        <v>62</v>
      </c>
    </row>
    <row r="68" spans="1:7" ht="15" x14ac:dyDescent="0.2">
      <c r="A68">
        <v>66</v>
      </c>
      <c r="B68" s="1" t="s">
        <v>1012</v>
      </c>
      <c r="C68" t="s">
        <v>1013</v>
      </c>
      <c r="D68" s="4" t="s">
        <v>22</v>
      </c>
      <c r="E68" s="4" t="s">
        <v>22</v>
      </c>
      <c r="G68">
        <v>84</v>
      </c>
    </row>
    <row r="69" spans="1:7" ht="15" x14ac:dyDescent="0.2">
      <c r="A69">
        <v>67</v>
      </c>
      <c r="B69" s="1" t="s">
        <v>1014</v>
      </c>
      <c r="C69" t="s">
        <v>1015</v>
      </c>
      <c r="D69" s="4" t="s">
        <v>22</v>
      </c>
      <c r="E69" s="4" t="s">
        <v>22</v>
      </c>
      <c r="G69">
        <v>77</v>
      </c>
    </row>
    <row r="70" spans="1:7" ht="15" x14ac:dyDescent="0.2">
      <c r="A70">
        <v>68</v>
      </c>
      <c r="B70" s="1" t="s">
        <v>1016</v>
      </c>
      <c r="C70" t="s">
        <v>1017</v>
      </c>
      <c r="D70" s="4" t="s">
        <v>22</v>
      </c>
      <c r="E70" s="4" t="s">
        <v>22</v>
      </c>
      <c r="G70">
        <v>76</v>
      </c>
    </row>
    <row r="71" spans="1:7" ht="15" x14ac:dyDescent="0.2">
      <c r="A71">
        <v>69</v>
      </c>
      <c r="B71" s="1" t="s">
        <v>1018</v>
      </c>
      <c r="C71" t="s">
        <v>1019</v>
      </c>
      <c r="D71" s="4" t="s">
        <v>22</v>
      </c>
      <c r="E71" s="4" t="s">
        <v>22</v>
      </c>
      <c r="G71">
        <v>60</v>
      </c>
    </row>
    <row r="72" spans="1:7" ht="15" x14ac:dyDescent="0.2">
      <c r="A72">
        <v>70</v>
      </c>
      <c r="B72" s="1" t="s">
        <v>1020</v>
      </c>
      <c r="C72" t="s">
        <v>1021</v>
      </c>
      <c r="D72" s="4" t="s">
        <v>22</v>
      </c>
      <c r="E72" s="4" t="s">
        <v>22</v>
      </c>
      <c r="G72">
        <v>11</v>
      </c>
    </row>
    <row r="73" spans="1:7" ht="15" x14ac:dyDescent="0.2">
      <c r="A73">
        <v>71</v>
      </c>
      <c r="B73" s="1" t="s">
        <v>1022</v>
      </c>
      <c r="C73" t="s">
        <v>1023</v>
      </c>
      <c r="D73" s="4" t="s">
        <v>22</v>
      </c>
      <c r="E73" s="4" t="s">
        <v>22</v>
      </c>
      <c r="G73">
        <v>75</v>
      </c>
    </row>
    <row r="74" spans="1:7" ht="15" x14ac:dyDescent="0.2">
      <c r="A74">
        <v>72</v>
      </c>
      <c r="B74" s="1" t="s">
        <v>1024</v>
      </c>
      <c r="C74" t="s">
        <v>1025</v>
      </c>
      <c r="D74" s="4" t="s">
        <v>22</v>
      </c>
      <c r="E74" s="4" t="s">
        <v>22</v>
      </c>
      <c r="G74">
        <v>87</v>
      </c>
    </row>
    <row r="75" spans="1:7" ht="15" x14ac:dyDescent="0.2">
      <c r="A75">
        <v>73</v>
      </c>
      <c r="B75" s="1" t="s">
        <v>1026</v>
      </c>
      <c r="C75" t="s">
        <v>1027</v>
      </c>
      <c r="D75" s="4" t="s">
        <v>22</v>
      </c>
      <c r="E75" s="4" t="s">
        <v>22</v>
      </c>
      <c r="G75">
        <v>37</v>
      </c>
    </row>
    <row r="76" spans="1:7" ht="15" x14ac:dyDescent="0.2">
      <c r="A76">
        <v>74</v>
      </c>
      <c r="B76" s="1" t="s">
        <v>1028</v>
      </c>
      <c r="C76" t="s">
        <v>1029</v>
      </c>
      <c r="D76" s="4" t="s">
        <v>22</v>
      </c>
      <c r="E76" s="4" t="s">
        <v>22</v>
      </c>
      <c r="G76">
        <v>99</v>
      </c>
    </row>
    <row r="77" spans="1:7" ht="15" x14ac:dyDescent="0.2">
      <c r="A77">
        <v>75</v>
      </c>
      <c r="B77" s="1" t="s">
        <v>1030</v>
      </c>
      <c r="C77" t="s">
        <v>1031</v>
      </c>
      <c r="D77" s="4" t="s">
        <v>22</v>
      </c>
      <c r="E77" s="4" t="s">
        <v>22</v>
      </c>
      <c r="G77">
        <v>18</v>
      </c>
    </row>
    <row r="78" spans="1:7" ht="15" x14ac:dyDescent="0.2">
      <c r="A78">
        <v>76</v>
      </c>
      <c r="B78" s="1" t="s">
        <v>1032</v>
      </c>
      <c r="C78" t="s">
        <v>1033</v>
      </c>
      <c r="D78" s="4" t="s">
        <v>22</v>
      </c>
      <c r="E78" s="4" t="s">
        <v>22</v>
      </c>
      <c r="G78">
        <v>100</v>
      </c>
    </row>
    <row r="79" spans="1:7" ht="15" x14ac:dyDescent="0.2">
      <c r="A79">
        <v>77</v>
      </c>
      <c r="B79" s="1" t="s">
        <v>1034</v>
      </c>
      <c r="C79" t="s">
        <v>1035</v>
      </c>
      <c r="D79" s="4" t="s">
        <v>22</v>
      </c>
      <c r="E79" s="4" t="s">
        <v>22</v>
      </c>
      <c r="G79">
        <v>22</v>
      </c>
    </row>
    <row r="80" spans="1:7" ht="15" x14ac:dyDescent="0.2">
      <c r="A80">
        <v>78</v>
      </c>
      <c r="B80" s="1" t="s">
        <v>1036</v>
      </c>
      <c r="C80" t="s">
        <v>1037</v>
      </c>
      <c r="D80" s="4" t="s">
        <v>22</v>
      </c>
      <c r="E80" s="4" t="s">
        <v>22</v>
      </c>
      <c r="G80">
        <v>40</v>
      </c>
    </row>
    <row r="81" spans="1:7" ht="15" x14ac:dyDescent="0.2">
      <c r="A81">
        <v>79</v>
      </c>
      <c r="B81" s="1" t="s">
        <v>1038</v>
      </c>
      <c r="C81" t="s">
        <v>1039</v>
      </c>
      <c r="D81" s="4" t="s">
        <v>22</v>
      </c>
      <c r="E81" s="4" t="s">
        <v>22</v>
      </c>
      <c r="G81">
        <v>101</v>
      </c>
    </row>
    <row r="82" spans="1:7" ht="15" x14ac:dyDescent="0.2">
      <c r="A82">
        <v>80</v>
      </c>
      <c r="B82" s="1" t="s">
        <v>1040</v>
      </c>
      <c r="C82" t="s">
        <v>1041</v>
      </c>
      <c r="D82" s="4" t="s">
        <v>22</v>
      </c>
      <c r="E82" s="4" t="s">
        <v>22</v>
      </c>
      <c r="G82">
        <v>96</v>
      </c>
    </row>
    <row r="83" spans="1:7" ht="15" x14ac:dyDescent="0.2">
      <c r="A83">
        <v>81</v>
      </c>
      <c r="B83" s="1" t="s">
        <v>1042</v>
      </c>
      <c r="C83" t="s">
        <v>1043</v>
      </c>
      <c r="D83" s="4" t="s">
        <v>22</v>
      </c>
      <c r="E83" s="4" t="s">
        <v>22</v>
      </c>
      <c r="G83">
        <v>97</v>
      </c>
    </row>
    <row r="84" spans="1:7" ht="15" x14ac:dyDescent="0.2">
      <c r="A84">
        <v>82</v>
      </c>
      <c r="B84" s="1" t="s">
        <v>1044</v>
      </c>
      <c r="C84" t="s">
        <v>1045</v>
      </c>
      <c r="D84" s="4" t="s">
        <v>22</v>
      </c>
      <c r="E84" s="4"/>
      <c r="G84">
        <v>103</v>
      </c>
    </row>
    <row r="85" spans="1:7" ht="15" x14ac:dyDescent="0.2">
      <c r="A85">
        <v>83</v>
      </c>
      <c r="B85" s="1" t="s">
        <v>1046</v>
      </c>
      <c r="C85" t="s">
        <v>1047</v>
      </c>
      <c r="D85" s="4" t="s">
        <v>22</v>
      </c>
      <c r="E85" s="4" t="s">
        <v>22</v>
      </c>
      <c r="G85">
        <v>102</v>
      </c>
    </row>
    <row r="86" spans="1:7" ht="15" x14ac:dyDescent="0.2">
      <c r="A86">
        <v>84</v>
      </c>
      <c r="B86" s="6" t="s">
        <v>1296</v>
      </c>
      <c r="C86" t="s">
        <v>868</v>
      </c>
      <c r="D86" s="4"/>
      <c r="E86" s="4" t="s">
        <v>22</v>
      </c>
      <c r="G86">
        <v>3</v>
      </c>
    </row>
    <row r="87" spans="1:7" ht="15" x14ac:dyDescent="0.2">
      <c r="A87">
        <v>85</v>
      </c>
      <c r="B87" s="6" t="s">
        <v>1297</v>
      </c>
      <c r="C87" t="s">
        <v>869</v>
      </c>
      <c r="D87" s="4"/>
      <c r="E87" s="4" t="s">
        <v>22</v>
      </c>
      <c r="G87">
        <v>4</v>
      </c>
    </row>
    <row r="88" spans="1:7" ht="15" x14ac:dyDescent="0.2">
      <c r="A88">
        <v>86</v>
      </c>
      <c r="B88" s="6" t="s">
        <v>1048</v>
      </c>
      <c r="C88" t="s">
        <v>1049</v>
      </c>
      <c r="D88" s="4"/>
      <c r="E88" s="4" t="s">
        <v>22</v>
      </c>
      <c r="G88">
        <v>47</v>
      </c>
    </row>
    <row r="89" spans="1:7" ht="15" x14ac:dyDescent="0.2">
      <c r="A89">
        <v>87</v>
      </c>
      <c r="B89" s="6" t="s">
        <v>1050</v>
      </c>
      <c r="C89" t="s">
        <v>1051</v>
      </c>
      <c r="D89" s="4"/>
      <c r="E89" s="4"/>
      <c r="G89">
        <v>28</v>
      </c>
    </row>
    <row r="90" spans="1:7" ht="15" x14ac:dyDescent="0.2">
      <c r="A90">
        <v>88</v>
      </c>
      <c r="B90" s="6" t="s">
        <v>1298</v>
      </c>
      <c r="C90" t="s">
        <v>1052</v>
      </c>
      <c r="D90" s="4"/>
      <c r="E90" s="4" t="s">
        <v>22</v>
      </c>
      <c r="G90">
        <v>32</v>
      </c>
    </row>
    <row r="91" spans="1:7" ht="15" x14ac:dyDescent="0.2">
      <c r="A91">
        <v>89</v>
      </c>
      <c r="B91" s="6" t="s">
        <v>1299</v>
      </c>
      <c r="C91" t="s">
        <v>1053</v>
      </c>
      <c r="D91" s="4"/>
      <c r="E91" s="4" t="s">
        <v>22</v>
      </c>
      <c r="G91">
        <v>33</v>
      </c>
    </row>
    <row r="92" spans="1:7" ht="15" x14ac:dyDescent="0.2">
      <c r="A92">
        <v>90</v>
      </c>
      <c r="B92" s="6" t="s">
        <v>457</v>
      </c>
      <c r="C92" t="s">
        <v>461</v>
      </c>
      <c r="D92" s="4"/>
      <c r="E92" s="4" t="s">
        <v>22</v>
      </c>
      <c r="G92">
        <v>42</v>
      </c>
    </row>
    <row r="93" spans="1:7" ht="15" x14ac:dyDescent="0.2">
      <c r="A93">
        <v>91</v>
      </c>
      <c r="B93" s="6" t="s">
        <v>1054</v>
      </c>
      <c r="C93" t="s">
        <v>1055</v>
      </c>
      <c r="D93" s="4"/>
      <c r="E93" s="4" t="s">
        <v>22</v>
      </c>
      <c r="G93">
        <v>44</v>
      </c>
    </row>
    <row r="94" spans="1:7" ht="15" x14ac:dyDescent="0.2">
      <c r="A94">
        <v>92</v>
      </c>
      <c r="B94" s="6" t="s">
        <v>1300</v>
      </c>
      <c r="C94" t="s">
        <v>1056</v>
      </c>
      <c r="D94" s="4"/>
      <c r="E94" s="4" t="s">
        <v>22</v>
      </c>
      <c r="G94">
        <v>35</v>
      </c>
    </row>
    <row r="95" spans="1:7" ht="15" x14ac:dyDescent="0.2">
      <c r="A95">
        <v>93</v>
      </c>
      <c r="B95" s="6" t="s">
        <v>1301</v>
      </c>
      <c r="C95" t="s">
        <v>1057</v>
      </c>
      <c r="D95" s="4"/>
      <c r="E95" s="4" t="s">
        <v>22</v>
      </c>
      <c r="G95">
        <v>36</v>
      </c>
    </row>
    <row r="96" spans="1:7" ht="15" x14ac:dyDescent="0.2">
      <c r="A96">
        <v>94</v>
      </c>
      <c r="B96" s="6" t="s">
        <v>1302</v>
      </c>
      <c r="C96" t="s">
        <v>1058</v>
      </c>
      <c r="D96" s="4"/>
      <c r="E96" s="4" t="s">
        <v>22</v>
      </c>
      <c r="G96">
        <v>24</v>
      </c>
    </row>
    <row r="97" spans="1:7" ht="15" x14ac:dyDescent="0.2">
      <c r="A97">
        <v>95</v>
      </c>
      <c r="B97" s="6" t="s">
        <v>1303</v>
      </c>
      <c r="C97" t="s">
        <v>1059</v>
      </c>
      <c r="D97" s="4"/>
      <c r="E97" s="4" t="s">
        <v>22</v>
      </c>
      <c r="G97">
        <v>25</v>
      </c>
    </row>
    <row r="98" spans="1:7" ht="15" x14ac:dyDescent="0.2">
      <c r="A98">
        <v>96</v>
      </c>
      <c r="B98" s="6" t="s">
        <v>1304</v>
      </c>
      <c r="C98" t="s">
        <v>1060</v>
      </c>
      <c r="D98" s="4"/>
      <c r="E98" s="4" t="s">
        <v>22</v>
      </c>
      <c r="G98">
        <v>54</v>
      </c>
    </row>
    <row r="99" spans="1:7" ht="15" x14ac:dyDescent="0.2">
      <c r="A99">
        <v>97</v>
      </c>
      <c r="B99" s="6" t="s">
        <v>1305</v>
      </c>
      <c r="C99" t="s">
        <v>1061</v>
      </c>
      <c r="D99" s="4"/>
      <c r="E99" s="4" t="s">
        <v>22</v>
      </c>
      <c r="G99">
        <v>55</v>
      </c>
    </row>
    <row r="100" spans="1:7" ht="15" x14ac:dyDescent="0.2">
      <c r="A100">
        <v>98</v>
      </c>
      <c r="B100" s="6" t="s">
        <v>1306</v>
      </c>
      <c r="C100" t="s">
        <v>1062</v>
      </c>
      <c r="D100" s="4"/>
      <c r="E100" s="4" t="s">
        <v>22</v>
      </c>
      <c r="G100">
        <v>38</v>
      </c>
    </row>
    <row r="101" spans="1:7" ht="15" x14ac:dyDescent="0.2">
      <c r="A101">
        <v>99</v>
      </c>
      <c r="B101" s="6" t="s">
        <v>1307</v>
      </c>
      <c r="C101" t="s">
        <v>1063</v>
      </c>
      <c r="D101" s="4"/>
      <c r="E101" s="4" t="s">
        <v>22</v>
      </c>
      <c r="G101">
        <v>39</v>
      </c>
    </row>
    <row r="102" spans="1:7" ht="15" x14ac:dyDescent="0.2">
      <c r="A102">
        <v>100</v>
      </c>
      <c r="B102" s="6" t="s">
        <v>1064</v>
      </c>
      <c r="C102" t="s">
        <v>1065</v>
      </c>
      <c r="D102" s="4"/>
      <c r="E102" s="4" t="s">
        <v>22</v>
      </c>
      <c r="G102">
        <v>98</v>
      </c>
    </row>
    <row r="103" spans="1:7" ht="15" x14ac:dyDescent="0.2">
      <c r="A103" s="2">
        <v>101</v>
      </c>
      <c r="B103" s="3" t="s">
        <v>1066</v>
      </c>
      <c r="C103" s="2" t="s">
        <v>1067</v>
      </c>
      <c r="D103" s="4" t="s">
        <v>22</v>
      </c>
      <c r="E103" s="4" t="s">
        <v>22</v>
      </c>
      <c r="F103" t="b">
        <v>0</v>
      </c>
      <c r="G103">
        <v>19</v>
      </c>
    </row>
    <row r="104" spans="1:7" ht="15" x14ac:dyDescent="0.2">
      <c r="A104" s="2">
        <v>102</v>
      </c>
      <c r="B104" s="3" t="s">
        <v>1068</v>
      </c>
      <c r="C104" s="2" t="s">
        <v>1069</v>
      </c>
      <c r="D104" s="4" t="s">
        <v>22</v>
      </c>
      <c r="E104" s="4" t="s">
        <v>22</v>
      </c>
      <c r="F104" t="b">
        <v>0</v>
      </c>
      <c r="G104">
        <v>20</v>
      </c>
    </row>
    <row r="105" spans="1:7" ht="15" x14ac:dyDescent="0.2">
      <c r="A105" s="2">
        <v>103</v>
      </c>
      <c r="B105" s="3" t="s">
        <v>1070</v>
      </c>
      <c r="C105" s="2" t="s">
        <v>1071</v>
      </c>
      <c r="D105" s="4" t="s">
        <v>22</v>
      </c>
      <c r="E105" s="4" t="s">
        <v>22</v>
      </c>
      <c r="F105" t="b">
        <v>0</v>
      </c>
      <c r="G105">
        <v>21</v>
      </c>
    </row>
    <row r="106" spans="1:7" ht="15" x14ac:dyDescent="0.2">
      <c r="A106" s="7">
        <v>104</v>
      </c>
      <c r="B106" s="8" t="s">
        <v>1072</v>
      </c>
      <c r="C106" s="7" t="s">
        <v>1073</v>
      </c>
      <c r="D106" s="4" t="s">
        <v>22</v>
      </c>
      <c r="E106" s="4" t="s">
        <v>22</v>
      </c>
      <c r="G106">
        <v>104</v>
      </c>
    </row>
    <row r="107" spans="1:7" ht="15" x14ac:dyDescent="0.2">
      <c r="A107" s="7">
        <v>105</v>
      </c>
      <c r="B107" s="8" t="s">
        <v>1074</v>
      </c>
      <c r="C107" s="7" t="s">
        <v>1075</v>
      </c>
      <c r="D107" s="4" t="s">
        <v>22</v>
      </c>
      <c r="E107" s="4" t="s">
        <v>22</v>
      </c>
      <c r="G107">
        <v>105</v>
      </c>
    </row>
    <row r="108" spans="1:7" ht="15" x14ac:dyDescent="0.2">
      <c r="A108" s="7">
        <v>106</v>
      </c>
      <c r="B108" s="8" t="s">
        <v>1076</v>
      </c>
      <c r="C108" s="7" t="s">
        <v>1077</v>
      </c>
      <c r="D108" s="4" t="s">
        <v>22</v>
      </c>
      <c r="E108" s="4" t="s">
        <v>22</v>
      </c>
      <c r="F108" t="b">
        <v>1</v>
      </c>
      <c r="G108">
        <v>106</v>
      </c>
    </row>
    <row r="109" spans="1:7" ht="15" x14ac:dyDescent="0.2">
      <c r="A109" s="7">
        <v>107</v>
      </c>
      <c r="B109" s="8" t="s">
        <v>1078</v>
      </c>
      <c r="C109" s="7" t="s">
        <v>442</v>
      </c>
      <c r="D109" s="4" t="s">
        <v>22</v>
      </c>
      <c r="E109" s="4" t="s">
        <v>22</v>
      </c>
      <c r="G109">
        <v>124</v>
      </c>
    </row>
    <row r="110" spans="1:7" ht="15" x14ac:dyDescent="0.2">
      <c r="A110" s="7">
        <v>108</v>
      </c>
      <c r="B110" s="8" t="s">
        <v>1079</v>
      </c>
      <c r="C110" s="7" t="s">
        <v>1080</v>
      </c>
      <c r="D110" s="4" t="s">
        <v>22</v>
      </c>
      <c r="E110" s="4" t="s">
        <v>22</v>
      </c>
      <c r="G110">
        <v>127</v>
      </c>
    </row>
    <row r="111" spans="1:7" ht="15" x14ac:dyDescent="0.2">
      <c r="A111" s="7">
        <v>109</v>
      </c>
      <c r="B111" s="8" t="s">
        <v>1081</v>
      </c>
      <c r="C111" s="7" t="s">
        <v>1082</v>
      </c>
      <c r="D111" s="4" t="s">
        <v>22</v>
      </c>
      <c r="E111" s="4" t="s">
        <v>22</v>
      </c>
      <c r="G111">
        <v>132</v>
      </c>
    </row>
    <row r="112" spans="1:7" ht="15" x14ac:dyDescent="0.2">
      <c r="A112" s="7">
        <v>110</v>
      </c>
      <c r="B112" s="8" t="s">
        <v>1083</v>
      </c>
      <c r="C112" s="7" t="s">
        <v>1084</v>
      </c>
      <c r="D112" s="4" t="s">
        <v>22</v>
      </c>
      <c r="E112" s="4" t="s">
        <v>22</v>
      </c>
      <c r="G112">
        <v>137</v>
      </c>
    </row>
    <row r="113" spans="1:7" ht="15" x14ac:dyDescent="0.2">
      <c r="A113" s="7">
        <v>111</v>
      </c>
      <c r="B113" s="8" t="s">
        <v>1085</v>
      </c>
      <c r="C113" s="7" t="s">
        <v>1086</v>
      </c>
      <c r="D113" s="4" t="s">
        <v>22</v>
      </c>
      <c r="E113" s="4" t="s">
        <v>22</v>
      </c>
      <c r="G113">
        <v>142</v>
      </c>
    </row>
    <row r="114" spans="1:7" ht="15" x14ac:dyDescent="0.2">
      <c r="A114" s="7">
        <v>112</v>
      </c>
      <c r="B114" s="8" t="s">
        <v>1087</v>
      </c>
      <c r="C114" s="7" t="s">
        <v>443</v>
      </c>
      <c r="D114" s="4" t="s">
        <v>22</v>
      </c>
      <c r="E114" s="4" t="s">
        <v>22</v>
      </c>
      <c r="G114">
        <v>145</v>
      </c>
    </row>
    <row r="115" spans="1:7" ht="15" x14ac:dyDescent="0.2">
      <c r="A115" s="7">
        <v>113</v>
      </c>
      <c r="B115" s="8" t="s">
        <v>1088</v>
      </c>
      <c r="C115" s="7" t="s">
        <v>1089</v>
      </c>
      <c r="D115" s="4" t="s">
        <v>22</v>
      </c>
      <c r="E115" s="4" t="s">
        <v>22</v>
      </c>
      <c r="G115">
        <v>150</v>
      </c>
    </row>
    <row r="116" spans="1:7" ht="15" x14ac:dyDescent="0.2">
      <c r="A116" s="7">
        <v>114</v>
      </c>
      <c r="B116" s="8" t="s">
        <v>1090</v>
      </c>
      <c r="C116" s="7" t="s">
        <v>1091</v>
      </c>
      <c r="D116" s="4" t="s">
        <v>22</v>
      </c>
      <c r="E116" s="4" t="s">
        <v>22</v>
      </c>
      <c r="G116">
        <v>155</v>
      </c>
    </row>
    <row r="117" spans="1:7" ht="15" x14ac:dyDescent="0.2">
      <c r="A117" s="7">
        <v>115</v>
      </c>
      <c r="B117" s="8" t="s">
        <v>1092</v>
      </c>
      <c r="C117" s="7" t="s">
        <v>1093</v>
      </c>
      <c r="D117" s="4" t="s">
        <v>22</v>
      </c>
      <c r="E117" s="4" t="s">
        <v>22</v>
      </c>
      <c r="G117">
        <v>160</v>
      </c>
    </row>
    <row r="118" spans="1:7" ht="15" x14ac:dyDescent="0.2">
      <c r="A118" s="7">
        <v>116</v>
      </c>
      <c r="B118" s="8" t="s">
        <v>1094</v>
      </c>
      <c r="C118" s="7" t="s">
        <v>1095</v>
      </c>
      <c r="D118" s="4" t="s">
        <v>22</v>
      </c>
      <c r="E118" s="4" t="s">
        <v>22</v>
      </c>
      <c r="G118">
        <v>165</v>
      </c>
    </row>
    <row r="119" spans="1:7" ht="15" x14ac:dyDescent="0.2">
      <c r="A119" s="7">
        <v>117</v>
      </c>
      <c r="B119" s="8" t="s">
        <v>1096</v>
      </c>
      <c r="C119" s="7" t="s">
        <v>1097</v>
      </c>
      <c r="D119" s="4" t="s">
        <v>22</v>
      </c>
      <c r="E119" s="4" t="s">
        <v>22</v>
      </c>
      <c r="G119">
        <v>168</v>
      </c>
    </row>
    <row r="120" spans="1:7" ht="15" x14ac:dyDescent="0.2">
      <c r="A120" s="7">
        <v>118</v>
      </c>
      <c r="B120" s="8" t="s">
        <v>1098</v>
      </c>
      <c r="C120" s="7" t="s">
        <v>1099</v>
      </c>
      <c r="D120" s="4" t="s">
        <v>22</v>
      </c>
      <c r="E120" s="4" t="s">
        <v>22</v>
      </c>
      <c r="G120">
        <v>173</v>
      </c>
    </row>
    <row r="121" spans="1:7" ht="15" x14ac:dyDescent="0.2">
      <c r="A121" s="7">
        <v>119</v>
      </c>
      <c r="B121" s="8" t="s">
        <v>1100</v>
      </c>
      <c r="C121" s="7" t="s">
        <v>1101</v>
      </c>
      <c r="D121" s="4" t="s">
        <v>22</v>
      </c>
      <c r="E121" s="4" t="s">
        <v>22</v>
      </c>
      <c r="G121">
        <v>178</v>
      </c>
    </row>
    <row r="122" spans="1:7" ht="15" x14ac:dyDescent="0.2">
      <c r="A122" s="7">
        <v>120</v>
      </c>
      <c r="B122" s="8" t="s">
        <v>1102</v>
      </c>
      <c r="C122" s="7" t="s">
        <v>1103</v>
      </c>
      <c r="D122" s="4" t="s">
        <v>22</v>
      </c>
      <c r="E122" s="4" t="s">
        <v>22</v>
      </c>
      <c r="G122">
        <v>183</v>
      </c>
    </row>
    <row r="123" spans="1:7" ht="15" x14ac:dyDescent="0.2">
      <c r="A123" s="7">
        <v>121</v>
      </c>
      <c r="B123" s="8" t="s">
        <v>1104</v>
      </c>
      <c r="C123" s="7" t="s">
        <v>1105</v>
      </c>
      <c r="D123" s="4" t="s">
        <v>22</v>
      </c>
      <c r="E123" s="4" t="s">
        <v>22</v>
      </c>
      <c r="G123">
        <v>188</v>
      </c>
    </row>
    <row r="124" spans="1:7" ht="15" x14ac:dyDescent="0.2">
      <c r="A124" s="7">
        <v>122</v>
      </c>
      <c r="B124" s="8" t="s">
        <v>1106</v>
      </c>
      <c r="C124" s="7" t="s">
        <v>1107</v>
      </c>
      <c r="D124" s="4" t="s">
        <v>22</v>
      </c>
      <c r="E124" s="4" t="s">
        <v>22</v>
      </c>
      <c r="G124">
        <v>193</v>
      </c>
    </row>
    <row r="125" spans="1:7" ht="15" x14ac:dyDescent="0.2">
      <c r="A125" s="7">
        <v>123</v>
      </c>
      <c r="B125" s="8" t="s">
        <v>1108</v>
      </c>
      <c r="C125" s="7" t="s">
        <v>1109</v>
      </c>
      <c r="D125" s="4" t="s">
        <v>22</v>
      </c>
      <c r="E125" s="4" t="s">
        <v>22</v>
      </c>
      <c r="G125">
        <v>196</v>
      </c>
    </row>
    <row r="126" spans="1:7" ht="15" x14ac:dyDescent="0.2">
      <c r="A126" s="7">
        <v>124</v>
      </c>
      <c r="B126" s="8" t="s">
        <v>1110</v>
      </c>
      <c r="C126" s="7" t="s">
        <v>1111</v>
      </c>
      <c r="D126" s="4" t="s">
        <v>22</v>
      </c>
      <c r="E126" s="4" t="s">
        <v>22</v>
      </c>
      <c r="G126">
        <v>201</v>
      </c>
    </row>
    <row r="127" spans="1:7" ht="15" x14ac:dyDescent="0.2">
      <c r="A127" s="7">
        <v>125</v>
      </c>
      <c r="B127" s="8" t="s">
        <v>1112</v>
      </c>
      <c r="C127" s="7" t="s">
        <v>1113</v>
      </c>
      <c r="D127" s="4" t="s">
        <v>22</v>
      </c>
      <c r="E127" s="4" t="s">
        <v>22</v>
      </c>
      <c r="G127">
        <v>206</v>
      </c>
    </row>
    <row r="128" spans="1:7" ht="15" x14ac:dyDescent="0.2">
      <c r="A128" s="7">
        <v>126</v>
      </c>
      <c r="B128" s="8" t="s">
        <v>1114</v>
      </c>
      <c r="C128" s="7" t="s">
        <v>1115</v>
      </c>
      <c r="D128" s="4" t="s">
        <v>22</v>
      </c>
      <c r="E128" s="4" t="s">
        <v>22</v>
      </c>
      <c r="G128">
        <v>211</v>
      </c>
    </row>
    <row r="129" spans="1:7" ht="15" x14ac:dyDescent="0.2">
      <c r="A129" s="7">
        <v>127</v>
      </c>
      <c r="B129" s="8" t="s">
        <v>1417</v>
      </c>
      <c r="C129" s="7" t="s">
        <v>1418</v>
      </c>
      <c r="D129" s="4" t="s">
        <v>1419</v>
      </c>
      <c r="E129" s="4"/>
      <c r="G129">
        <v>107</v>
      </c>
    </row>
    <row r="130" spans="1:7" ht="15" x14ac:dyDescent="0.2">
      <c r="A130" s="7">
        <v>128</v>
      </c>
      <c r="B130" s="8" t="s">
        <v>1116</v>
      </c>
      <c r="C130" s="7" t="s">
        <v>843</v>
      </c>
      <c r="D130" s="4" t="s">
        <v>22</v>
      </c>
      <c r="E130" s="4" t="s">
        <v>22</v>
      </c>
      <c r="G130">
        <v>109</v>
      </c>
    </row>
    <row r="131" spans="1:7" ht="15" x14ac:dyDescent="0.2">
      <c r="A131" s="7">
        <v>129</v>
      </c>
      <c r="B131" s="8" t="s">
        <v>1117</v>
      </c>
      <c r="C131" s="7" t="s">
        <v>1118</v>
      </c>
      <c r="D131" s="4" t="s">
        <v>22</v>
      </c>
      <c r="E131" s="4" t="s">
        <v>22</v>
      </c>
      <c r="G131">
        <v>114</v>
      </c>
    </row>
    <row r="132" spans="1:7" ht="15" x14ac:dyDescent="0.2">
      <c r="A132" s="7">
        <v>130</v>
      </c>
      <c r="B132" s="8" t="s">
        <v>1119</v>
      </c>
      <c r="C132" s="7" t="s">
        <v>1120</v>
      </c>
      <c r="D132" s="4" t="s">
        <v>22</v>
      </c>
      <c r="E132" s="4" t="s">
        <v>22</v>
      </c>
      <c r="G132">
        <v>119</v>
      </c>
    </row>
    <row r="133" spans="1:7" ht="15" x14ac:dyDescent="0.2">
      <c r="A133" s="7">
        <v>131</v>
      </c>
      <c r="B133" s="8" t="s">
        <v>1121</v>
      </c>
      <c r="C133" s="7" t="s">
        <v>1122</v>
      </c>
      <c r="D133" s="4" t="s">
        <v>22</v>
      </c>
      <c r="E133" s="4" t="s">
        <v>22</v>
      </c>
      <c r="G133">
        <v>212</v>
      </c>
    </row>
    <row r="134" spans="1:7" ht="15" x14ac:dyDescent="0.2">
      <c r="A134" s="7">
        <v>132</v>
      </c>
      <c r="B134" s="8" t="s">
        <v>1123</v>
      </c>
      <c r="C134" s="7" t="s">
        <v>1124</v>
      </c>
      <c r="D134" s="4" t="s">
        <v>22</v>
      </c>
      <c r="E134" s="4" t="s">
        <v>22</v>
      </c>
      <c r="G134">
        <v>213</v>
      </c>
    </row>
    <row r="135" spans="1:7" ht="15" x14ac:dyDescent="0.2">
      <c r="A135" s="7">
        <v>133</v>
      </c>
      <c r="B135" s="8" t="s">
        <v>1125</v>
      </c>
      <c r="C135" s="7" t="s">
        <v>1126</v>
      </c>
      <c r="D135" s="4" t="s">
        <v>22</v>
      </c>
      <c r="E135" s="4" t="s">
        <v>22</v>
      </c>
      <c r="G135">
        <v>214</v>
      </c>
    </row>
    <row r="136" spans="1:7" ht="15" x14ac:dyDescent="0.2">
      <c r="A136" s="7">
        <v>134</v>
      </c>
      <c r="B136" s="8" t="s">
        <v>1127</v>
      </c>
      <c r="C136" s="7" t="s">
        <v>1128</v>
      </c>
      <c r="D136" s="4" t="s">
        <v>22</v>
      </c>
      <c r="E136" s="4" t="s">
        <v>22</v>
      </c>
      <c r="G136">
        <v>215</v>
      </c>
    </row>
    <row r="137" spans="1:7" ht="15" x14ac:dyDescent="0.2">
      <c r="A137" s="7">
        <v>135</v>
      </c>
      <c r="B137" s="8" t="s">
        <v>1129</v>
      </c>
      <c r="C137" s="7" t="s">
        <v>1130</v>
      </c>
      <c r="D137" s="4" t="s">
        <v>22</v>
      </c>
      <c r="E137" s="4" t="s">
        <v>22</v>
      </c>
      <c r="G137">
        <v>217</v>
      </c>
    </row>
    <row r="138" spans="1:7" ht="15" x14ac:dyDescent="0.2">
      <c r="A138" s="7">
        <v>136</v>
      </c>
      <c r="B138" s="8" t="s">
        <v>1131</v>
      </c>
      <c r="C138" s="7" t="s">
        <v>1132</v>
      </c>
      <c r="D138" s="4" t="s">
        <v>22</v>
      </c>
      <c r="E138" s="4" t="s">
        <v>22</v>
      </c>
      <c r="G138">
        <v>218</v>
      </c>
    </row>
    <row r="139" spans="1:7" ht="15" x14ac:dyDescent="0.2">
      <c r="A139" s="7">
        <v>137</v>
      </c>
      <c r="B139" s="8" t="s">
        <v>1133</v>
      </c>
      <c r="C139" s="7" t="s">
        <v>1134</v>
      </c>
      <c r="D139" s="4" t="s">
        <v>22</v>
      </c>
      <c r="E139" s="4" t="s">
        <v>22</v>
      </c>
      <c r="G139">
        <v>219</v>
      </c>
    </row>
    <row r="140" spans="1:7" ht="15" x14ac:dyDescent="0.2">
      <c r="A140" s="7">
        <v>138</v>
      </c>
      <c r="B140" s="21" t="s">
        <v>1135</v>
      </c>
      <c r="C140" s="7" t="s">
        <v>1136</v>
      </c>
      <c r="D140" s="4"/>
      <c r="E140" s="4" t="s">
        <v>22</v>
      </c>
      <c r="G140">
        <v>108</v>
      </c>
    </row>
    <row r="141" spans="1:7" ht="15" x14ac:dyDescent="0.2">
      <c r="A141" s="7">
        <v>139</v>
      </c>
      <c r="B141" s="21" t="s">
        <v>1137</v>
      </c>
      <c r="C141" s="7" t="s">
        <v>474</v>
      </c>
      <c r="D141" s="4"/>
      <c r="E141" s="4" t="s">
        <v>22</v>
      </c>
      <c r="G141">
        <v>125</v>
      </c>
    </row>
    <row r="142" spans="1:7" ht="15" x14ac:dyDescent="0.2">
      <c r="A142" s="7">
        <v>140</v>
      </c>
      <c r="B142" s="21" t="s">
        <v>1138</v>
      </c>
      <c r="C142" s="7" t="s">
        <v>475</v>
      </c>
      <c r="D142" s="4"/>
      <c r="E142" s="4" t="s">
        <v>22</v>
      </c>
      <c r="G142">
        <v>126</v>
      </c>
    </row>
    <row r="143" spans="1:7" ht="15" x14ac:dyDescent="0.2">
      <c r="A143" s="7">
        <v>141</v>
      </c>
      <c r="B143" s="21" t="s">
        <v>1139</v>
      </c>
      <c r="C143" s="7" t="s">
        <v>1140</v>
      </c>
      <c r="D143" s="4"/>
      <c r="E143" s="4" t="s">
        <v>22</v>
      </c>
      <c r="G143">
        <v>128</v>
      </c>
    </row>
    <row r="144" spans="1:7" ht="15" x14ac:dyDescent="0.2">
      <c r="A144" s="7">
        <v>142</v>
      </c>
      <c r="B144" s="21" t="s">
        <v>1141</v>
      </c>
      <c r="C144" s="7" t="s">
        <v>1142</v>
      </c>
      <c r="D144" s="4"/>
      <c r="E144" s="4" t="s">
        <v>22</v>
      </c>
      <c r="G144">
        <v>129</v>
      </c>
    </row>
    <row r="145" spans="1:7" ht="15" x14ac:dyDescent="0.2">
      <c r="A145" s="7">
        <v>143</v>
      </c>
      <c r="B145" s="21" t="s">
        <v>1143</v>
      </c>
      <c r="C145" s="7" t="s">
        <v>1144</v>
      </c>
      <c r="D145" s="4"/>
      <c r="E145" s="4" t="s">
        <v>22</v>
      </c>
      <c r="G145">
        <v>130</v>
      </c>
    </row>
    <row r="146" spans="1:7" ht="15" x14ac:dyDescent="0.2">
      <c r="A146" s="7">
        <v>144</v>
      </c>
      <c r="B146" s="21" t="s">
        <v>1145</v>
      </c>
      <c r="C146" s="7" t="s">
        <v>1146</v>
      </c>
      <c r="D146" s="4"/>
      <c r="E146" s="4" t="s">
        <v>22</v>
      </c>
      <c r="G146">
        <v>131</v>
      </c>
    </row>
    <row r="147" spans="1:7" ht="15" x14ac:dyDescent="0.2">
      <c r="A147" s="7">
        <v>145</v>
      </c>
      <c r="B147" s="21" t="s">
        <v>1147</v>
      </c>
      <c r="C147" s="7" t="s">
        <v>1148</v>
      </c>
      <c r="D147" s="4"/>
      <c r="E147" s="4" t="s">
        <v>22</v>
      </c>
      <c r="G147">
        <v>133</v>
      </c>
    </row>
    <row r="148" spans="1:7" ht="15" x14ac:dyDescent="0.2">
      <c r="A148" s="7">
        <v>146</v>
      </c>
      <c r="B148" s="21" t="s">
        <v>1149</v>
      </c>
      <c r="C148" s="7" t="s">
        <v>1150</v>
      </c>
      <c r="D148" s="4"/>
      <c r="E148" s="4" t="s">
        <v>22</v>
      </c>
      <c r="G148">
        <v>134</v>
      </c>
    </row>
    <row r="149" spans="1:7" ht="15" x14ac:dyDescent="0.2">
      <c r="A149" s="7">
        <v>147</v>
      </c>
      <c r="B149" s="21" t="s">
        <v>1151</v>
      </c>
      <c r="C149" s="7" t="s">
        <v>1152</v>
      </c>
      <c r="D149" s="4"/>
      <c r="E149" s="4" t="s">
        <v>22</v>
      </c>
      <c r="G149">
        <v>135</v>
      </c>
    </row>
    <row r="150" spans="1:7" ht="15" x14ac:dyDescent="0.2">
      <c r="A150" s="7">
        <v>148</v>
      </c>
      <c r="B150" s="21" t="s">
        <v>1153</v>
      </c>
      <c r="C150" s="7" t="s">
        <v>1154</v>
      </c>
      <c r="D150" s="4"/>
      <c r="E150" s="4" t="s">
        <v>22</v>
      </c>
      <c r="G150">
        <v>136</v>
      </c>
    </row>
    <row r="151" spans="1:7" ht="15" x14ac:dyDescent="0.2">
      <c r="A151" s="7">
        <v>149</v>
      </c>
      <c r="B151" s="21" t="s">
        <v>1155</v>
      </c>
      <c r="C151" s="7" t="s">
        <v>1156</v>
      </c>
      <c r="D151" s="4"/>
      <c r="E151" s="4" t="s">
        <v>22</v>
      </c>
      <c r="G151">
        <v>138</v>
      </c>
    </row>
    <row r="152" spans="1:7" ht="15" x14ac:dyDescent="0.2">
      <c r="A152" s="7">
        <v>150</v>
      </c>
      <c r="B152" s="21" t="s">
        <v>1157</v>
      </c>
      <c r="C152" s="7" t="s">
        <v>1158</v>
      </c>
      <c r="D152" s="4"/>
      <c r="E152" s="4" t="s">
        <v>22</v>
      </c>
      <c r="G152">
        <v>139</v>
      </c>
    </row>
    <row r="153" spans="1:7" ht="15" x14ac:dyDescent="0.2">
      <c r="A153" s="7">
        <v>151</v>
      </c>
      <c r="B153" s="21" t="s">
        <v>1159</v>
      </c>
      <c r="C153" s="7" t="s">
        <v>1160</v>
      </c>
      <c r="D153" s="4"/>
      <c r="E153" s="4" t="s">
        <v>22</v>
      </c>
      <c r="G153">
        <v>140</v>
      </c>
    </row>
    <row r="154" spans="1:7" ht="15" x14ac:dyDescent="0.2">
      <c r="A154" s="7">
        <v>152</v>
      </c>
      <c r="B154" s="21" t="s">
        <v>1161</v>
      </c>
      <c r="C154" s="7" t="s">
        <v>1162</v>
      </c>
      <c r="D154" s="4"/>
      <c r="E154" s="4" t="s">
        <v>22</v>
      </c>
      <c r="G154">
        <v>141</v>
      </c>
    </row>
    <row r="155" spans="1:7" ht="15" x14ac:dyDescent="0.2">
      <c r="A155" s="7">
        <v>153</v>
      </c>
      <c r="B155" s="21" t="s">
        <v>1163</v>
      </c>
      <c r="C155" s="7" t="s">
        <v>1164</v>
      </c>
      <c r="D155" s="4"/>
      <c r="E155" s="4" t="s">
        <v>22</v>
      </c>
      <c r="G155">
        <v>143</v>
      </c>
    </row>
    <row r="156" spans="1:7" ht="15" x14ac:dyDescent="0.2">
      <c r="A156" s="7">
        <v>154</v>
      </c>
      <c r="B156" s="21" t="s">
        <v>1165</v>
      </c>
      <c r="C156" s="7" t="s">
        <v>1166</v>
      </c>
      <c r="D156" s="4"/>
      <c r="E156" s="4" t="s">
        <v>22</v>
      </c>
      <c r="G156">
        <v>144</v>
      </c>
    </row>
    <row r="157" spans="1:7" ht="15" x14ac:dyDescent="0.2">
      <c r="A157" s="7">
        <v>155</v>
      </c>
      <c r="B157" s="21" t="s">
        <v>1167</v>
      </c>
      <c r="C157" s="7" t="s">
        <v>1168</v>
      </c>
      <c r="D157" s="4"/>
      <c r="E157" s="4" t="s">
        <v>22</v>
      </c>
      <c r="G157">
        <v>146</v>
      </c>
    </row>
    <row r="158" spans="1:7" ht="15" x14ac:dyDescent="0.2">
      <c r="A158" s="7">
        <v>156</v>
      </c>
      <c r="B158" s="21" t="s">
        <v>1169</v>
      </c>
      <c r="C158" s="7" t="s">
        <v>1170</v>
      </c>
      <c r="D158" s="4"/>
      <c r="E158" s="4" t="s">
        <v>22</v>
      </c>
      <c r="G158">
        <v>147</v>
      </c>
    </row>
    <row r="159" spans="1:7" ht="15" x14ac:dyDescent="0.2">
      <c r="A159" s="7">
        <v>157</v>
      </c>
      <c r="B159" s="21" t="s">
        <v>1171</v>
      </c>
      <c r="C159" s="7" t="s">
        <v>1172</v>
      </c>
      <c r="D159" s="4"/>
      <c r="E159" s="4" t="s">
        <v>22</v>
      </c>
      <c r="G159">
        <v>148</v>
      </c>
    </row>
    <row r="160" spans="1:7" ht="15" x14ac:dyDescent="0.2">
      <c r="A160" s="7">
        <v>158</v>
      </c>
      <c r="B160" s="21" t="s">
        <v>1173</v>
      </c>
      <c r="C160" s="7" t="s">
        <v>1174</v>
      </c>
      <c r="D160" s="4"/>
      <c r="E160" s="4" t="s">
        <v>22</v>
      </c>
      <c r="G160">
        <v>149</v>
      </c>
    </row>
    <row r="161" spans="1:7" ht="15" x14ac:dyDescent="0.2">
      <c r="A161" s="7">
        <v>159</v>
      </c>
      <c r="B161" s="21" t="s">
        <v>1175</v>
      </c>
      <c r="C161" s="7" t="s">
        <v>1176</v>
      </c>
      <c r="D161" s="4"/>
      <c r="E161" s="4" t="s">
        <v>22</v>
      </c>
      <c r="G161">
        <v>151</v>
      </c>
    </row>
    <row r="162" spans="1:7" ht="15" x14ac:dyDescent="0.2">
      <c r="A162" s="7">
        <v>160</v>
      </c>
      <c r="B162" s="21" t="s">
        <v>1177</v>
      </c>
      <c r="C162" s="7" t="s">
        <v>1178</v>
      </c>
      <c r="D162" s="4"/>
      <c r="E162" s="4" t="s">
        <v>22</v>
      </c>
      <c r="G162">
        <v>152</v>
      </c>
    </row>
    <row r="163" spans="1:7" ht="15" x14ac:dyDescent="0.2">
      <c r="A163" s="7">
        <v>161</v>
      </c>
      <c r="B163" s="21" t="s">
        <v>1179</v>
      </c>
      <c r="C163" s="7" t="s">
        <v>1180</v>
      </c>
      <c r="D163" s="4"/>
      <c r="E163" s="4" t="s">
        <v>22</v>
      </c>
      <c r="G163">
        <v>153</v>
      </c>
    </row>
    <row r="164" spans="1:7" ht="15" x14ac:dyDescent="0.2">
      <c r="A164" s="7">
        <v>162</v>
      </c>
      <c r="B164" s="21" t="s">
        <v>1181</v>
      </c>
      <c r="C164" s="7" t="s">
        <v>1182</v>
      </c>
      <c r="D164" s="4"/>
      <c r="E164" s="4" t="s">
        <v>22</v>
      </c>
      <c r="G164">
        <v>154</v>
      </c>
    </row>
    <row r="165" spans="1:7" ht="15" x14ac:dyDescent="0.2">
      <c r="A165" s="7">
        <v>163</v>
      </c>
      <c r="B165" s="21" t="s">
        <v>1183</v>
      </c>
      <c r="C165" s="7" t="s">
        <v>1184</v>
      </c>
      <c r="D165" s="4"/>
      <c r="E165" s="4" t="s">
        <v>22</v>
      </c>
      <c r="G165">
        <v>156</v>
      </c>
    </row>
    <row r="166" spans="1:7" ht="15" x14ac:dyDescent="0.2">
      <c r="A166" s="7">
        <v>164</v>
      </c>
      <c r="B166" s="21" t="s">
        <v>1185</v>
      </c>
      <c r="C166" s="7" t="s">
        <v>1186</v>
      </c>
      <c r="D166" s="4"/>
      <c r="E166" s="4" t="s">
        <v>22</v>
      </c>
      <c r="G166">
        <v>157</v>
      </c>
    </row>
    <row r="167" spans="1:7" ht="15" x14ac:dyDescent="0.2">
      <c r="A167" s="7">
        <v>165</v>
      </c>
      <c r="B167" s="21" t="s">
        <v>1187</v>
      </c>
      <c r="C167" s="7" t="s">
        <v>1188</v>
      </c>
      <c r="D167" s="4"/>
      <c r="E167" s="4" t="s">
        <v>22</v>
      </c>
      <c r="G167">
        <v>158</v>
      </c>
    </row>
    <row r="168" spans="1:7" ht="15" x14ac:dyDescent="0.2">
      <c r="A168" s="7">
        <v>166</v>
      </c>
      <c r="B168" s="21" t="s">
        <v>1189</v>
      </c>
      <c r="C168" s="7" t="s">
        <v>1190</v>
      </c>
      <c r="D168" s="4"/>
      <c r="E168" s="4" t="s">
        <v>22</v>
      </c>
      <c r="G168">
        <v>159</v>
      </c>
    </row>
    <row r="169" spans="1:7" ht="15" x14ac:dyDescent="0.2">
      <c r="A169" s="7">
        <v>167</v>
      </c>
      <c r="B169" s="21" t="s">
        <v>1191</v>
      </c>
      <c r="C169" s="7" t="s">
        <v>1192</v>
      </c>
      <c r="D169" s="4"/>
      <c r="E169" s="4" t="s">
        <v>22</v>
      </c>
      <c r="G169">
        <v>161</v>
      </c>
    </row>
    <row r="170" spans="1:7" ht="15" x14ac:dyDescent="0.2">
      <c r="A170" s="7">
        <v>168</v>
      </c>
      <c r="B170" s="21" t="s">
        <v>1193</v>
      </c>
      <c r="C170" s="7" t="s">
        <v>1194</v>
      </c>
      <c r="D170" s="4"/>
      <c r="E170" s="4" t="s">
        <v>22</v>
      </c>
      <c r="G170">
        <v>162</v>
      </c>
    </row>
    <row r="171" spans="1:7" ht="15" x14ac:dyDescent="0.2">
      <c r="A171" s="7">
        <v>169</v>
      </c>
      <c r="B171" s="21" t="s">
        <v>1195</v>
      </c>
      <c r="C171" s="7" t="s">
        <v>1196</v>
      </c>
      <c r="D171" s="4"/>
      <c r="E171" s="4" t="s">
        <v>22</v>
      </c>
      <c r="G171">
        <v>163</v>
      </c>
    </row>
    <row r="172" spans="1:7" ht="15" x14ac:dyDescent="0.2">
      <c r="A172" s="7">
        <v>170</v>
      </c>
      <c r="B172" s="21" t="s">
        <v>1197</v>
      </c>
      <c r="C172" s="7" t="s">
        <v>1198</v>
      </c>
      <c r="D172" s="4"/>
      <c r="E172" s="4" t="s">
        <v>22</v>
      </c>
      <c r="G172">
        <v>164</v>
      </c>
    </row>
    <row r="173" spans="1:7" ht="15" x14ac:dyDescent="0.2">
      <c r="A173" s="7">
        <v>171</v>
      </c>
      <c r="B173" s="21" t="s">
        <v>1199</v>
      </c>
      <c r="C173" s="7" t="s">
        <v>1200</v>
      </c>
      <c r="D173" s="4"/>
      <c r="E173" s="4" t="s">
        <v>22</v>
      </c>
      <c r="G173">
        <v>166</v>
      </c>
    </row>
    <row r="174" spans="1:7" ht="15" x14ac:dyDescent="0.2">
      <c r="A174" s="7">
        <v>172</v>
      </c>
      <c r="B174" s="21" t="s">
        <v>1201</v>
      </c>
      <c r="C174" s="7" t="s">
        <v>1202</v>
      </c>
      <c r="D174" s="4"/>
      <c r="E174" s="4" t="s">
        <v>22</v>
      </c>
      <c r="G174">
        <v>167</v>
      </c>
    </row>
    <row r="175" spans="1:7" ht="15" x14ac:dyDescent="0.2">
      <c r="A175" s="7">
        <v>173</v>
      </c>
      <c r="B175" s="21" t="s">
        <v>1203</v>
      </c>
      <c r="C175" s="7" t="s">
        <v>1204</v>
      </c>
      <c r="D175" s="4"/>
      <c r="E175" s="4" t="s">
        <v>22</v>
      </c>
      <c r="G175">
        <v>169</v>
      </c>
    </row>
    <row r="176" spans="1:7" ht="15" x14ac:dyDescent="0.2">
      <c r="A176" s="7">
        <v>174</v>
      </c>
      <c r="B176" s="21" t="s">
        <v>1205</v>
      </c>
      <c r="C176" s="7" t="s">
        <v>1206</v>
      </c>
      <c r="D176" s="4"/>
      <c r="E176" s="4" t="s">
        <v>22</v>
      </c>
      <c r="G176">
        <v>170</v>
      </c>
    </row>
    <row r="177" spans="1:7" ht="15" x14ac:dyDescent="0.2">
      <c r="A177" s="7">
        <v>175</v>
      </c>
      <c r="B177" s="21" t="s">
        <v>1207</v>
      </c>
      <c r="C177" s="7" t="s">
        <v>1208</v>
      </c>
      <c r="D177" s="4"/>
      <c r="E177" s="4" t="s">
        <v>22</v>
      </c>
      <c r="G177">
        <v>171</v>
      </c>
    </row>
    <row r="178" spans="1:7" ht="15" x14ac:dyDescent="0.2">
      <c r="A178" s="7">
        <v>176</v>
      </c>
      <c r="B178" s="21" t="s">
        <v>1209</v>
      </c>
      <c r="C178" s="7" t="s">
        <v>1210</v>
      </c>
      <c r="D178" s="4"/>
      <c r="E178" s="4" t="s">
        <v>22</v>
      </c>
      <c r="G178">
        <v>172</v>
      </c>
    </row>
    <row r="179" spans="1:7" ht="15" x14ac:dyDescent="0.2">
      <c r="A179" s="7">
        <v>177</v>
      </c>
      <c r="B179" s="21" t="s">
        <v>1211</v>
      </c>
      <c r="C179" s="7" t="s">
        <v>1212</v>
      </c>
      <c r="D179" s="4"/>
      <c r="E179" s="4" t="s">
        <v>22</v>
      </c>
      <c r="G179">
        <v>174</v>
      </c>
    </row>
    <row r="180" spans="1:7" ht="15" x14ac:dyDescent="0.2">
      <c r="A180" s="7">
        <v>178</v>
      </c>
      <c r="B180" s="21" t="s">
        <v>1213</v>
      </c>
      <c r="C180" s="7" t="s">
        <v>1214</v>
      </c>
      <c r="D180" s="4"/>
      <c r="E180" s="4" t="s">
        <v>22</v>
      </c>
      <c r="G180">
        <v>175</v>
      </c>
    </row>
    <row r="181" spans="1:7" ht="15" x14ac:dyDescent="0.2">
      <c r="A181" s="7">
        <v>179</v>
      </c>
      <c r="B181" s="21" t="s">
        <v>1215</v>
      </c>
      <c r="C181" s="7" t="s">
        <v>1216</v>
      </c>
      <c r="D181" s="4"/>
      <c r="E181" s="4" t="s">
        <v>22</v>
      </c>
      <c r="G181">
        <v>176</v>
      </c>
    </row>
    <row r="182" spans="1:7" ht="15" x14ac:dyDescent="0.2">
      <c r="A182" s="7">
        <v>180</v>
      </c>
      <c r="B182" s="21" t="s">
        <v>1217</v>
      </c>
      <c r="C182" s="7" t="s">
        <v>1218</v>
      </c>
      <c r="D182" s="4"/>
      <c r="E182" s="4" t="s">
        <v>22</v>
      </c>
      <c r="G182">
        <v>177</v>
      </c>
    </row>
    <row r="183" spans="1:7" ht="15" x14ac:dyDescent="0.2">
      <c r="A183" s="7">
        <v>181</v>
      </c>
      <c r="B183" s="21" t="s">
        <v>1219</v>
      </c>
      <c r="C183" s="7" t="s">
        <v>1220</v>
      </c>
      <c r="D183" s="4"/>
      <c r="E183" s="4" t="s">
        <v>22</v>
      </c>
      <c r="G183">
        <v>179</v>
      </c>
    </row>
    <row r="184" spans="1:7" ht="15" x14ac:dyDescent="0.2">
      <c r="A184" s="7">
        <v>182</v>
      </c>
      <c r="B184" s="21" t="s">
        <v>1221</v>
      </c>
      <c r="C184" s="7" t="s">
        <v>1222</v>
      </c>
      <c r="D184" s="4"/>
      <c r="E184" s="4" t="s">
        <v>22</v>
      </c>
      <c r="G184">
        <v>180</v>
      </c>
    </row>
    <row r="185" spans="1:7" ht="15" x14ac:dyDescent="0.2">
      <c r="A185" s="7">
        <v>183</v>
      </c>
      <c r="B185" s="21" t="s">
        <v>1223</v>
      </c>
      <c r="C185" s="7" t="s">
        <v>1224</v>
      </c>
      <c r="D185" s="4"/>
      <c r="E185" s="4" t="s">
        <v>22</v>
      </c>
      <c r="G185">
        <v>181</v>
      </c>
    </row>
    <row r="186" spans="1:7" ht="15" x14ac:dyDescent="0.2">
      <c r="A186" s="7">
        <v>184</v>
      </c>
      <c r="B186" s="21" t="s">
        <v>1225</v>
      </c>
      <c r="C186" s="7" t="s">
        <v>1226</v>
      </c>
      <c r="D186" s="4"/>
      <c r="E186" s="4" t="s">
        <v>22</v>
      </c>
      <c r="G186">
        <v>182</v>
      </c>
    </row>
    <row r="187" spans="1:7" ht="15" x14ac:dyDescent="0.2">
      <c r="A187" s="7">
        <v>185</v>
      </c>
      <c r="B187" s="21" t="s">
        <v>1227</v>
      </c>
      <c r="C187" s="7" t="s">
        <v>1228</v>
      </c>
      <c r="D187" s="4"/>
      <c r="E187" s="4" t="s">
        <v>22</v>
      </c>
      <c r="G187">
        <v>184</v>
      </c>
    </row>
    <row r="188" spans="1:7" ht="15" x14ac:dyDescent="0.2">
      <c r="A188" s="7">
        <v>186</v>
      </c>
      <c r="B188" s="21" t="s">
        <v>1229</v>
      </c>
      <c r="C188" s="7" t="s">
        <v>1230</v>
      </c>
      <c r="D188" s="4"/>
      <c r="E188" s="4" t="s">
        <v>22</v>
      </c>
      <c r="G188">
        <v>185</v>
      </c>
    </row>
    <row r="189" spans="1:7" ht="15" x14ac:dyDescent="0.2">
      <c r="A189" s="7">
        <v>187</v>
      </c>
      <c r="B189" s="21" t="s">
        <v>1231</v>
      </c>
      <c r="C189" s="7" t="s">
        <v>1232</v>
      </c>
      <c r="D189" s="4"/>
      <c r="E189" s="4" t="s">
        <v>22</v>
      </c>
      <c r="G189">
        <v>186</v>
      </c>
    </row>
    <row r="190" spans="1:7" ht="15" x14ac:dyDescent="0.2">
      <c r="A190" s="7">
        <v>188</v>
      </c>
      <c r="B190" s="21" t="s">
        <v>1233</v>
      </c>
      <c r="C190" s="7" t="s">
        <v>1234</v>
      </c>
      <c r="D190" s="4"/>
      <c r="E190" s="4" t="s">
        <v>22</v>
      </c>
      <c r="G190">
        <v>187</v>
      </c>
    </row>
    <row r="191" spans="1:7" ht="15" x14ac:dyDescent="0.2">
      <c r="A191" s="7">
        <v>189</v>
      </c>
      <c r="B191" s="21" t="s">
        <v>1235</v>
      </c>
      <c r="C191" s="7" t="s">
        <v>1236</v>
      </c>
      <c r="D191" s="4"/>
      <c r="E191" s="4" t="s">
        <v>22</v>
      </c>
      <c r="G191">
        <v>189</v>
      </c>
    </row>
    <row r="192" spans="1:7" ht="15" x14ac:dyDescent="0.2">
      <c r="A192" s="7">
        <v>190</v>
      </c>
      <c r="B192" s="21" t="s">
        <v>1237</v>
      </c>
      <c r="C192" s="7" t="s">
        <v>1238</v>
      </c>
      <c r="D192" s="4"/>
      <c r="E192" s="4" t="s">
        <v>22</v>
      </c>
      <c r="G192">
        <v>190</v>
      </c>
    </row>
    <row r="193" spans="1:7" ht="15" x14ac:dyDescent="0.2">
      <c r="A193" s="7">
        <v>191</v>
      </c>
      <c r="B193" s="21" t="s">
        <v>1239</v>
      </c>
      <c r="C193" s="7" t="s">
        <v>1240</v>
      </c>
      <c r="D193" s="4"/>
      <c r="E193" s="4" t="s">
        <v>22</v>
      </c>
      <c r="G193">
        <v>191</v>
      </c>
    </row>
    <row r="194" spans="1:7" ht="15" x14ac:dyDescent="0.2">
      <c r="A194" s="7">
        <v>192</v>
      </c>
      <c r="B194" s="21" t="s">
        <v>1241</v>
      </c>
      <c r="C194" s="7" t="s">
        <v>1242</v>
      </c>
      <c r="D194" s="4"/>
      <c r="E194" s="4" t="s">
        <v>22</v>
      </c>
      <c r="G194">
        <v>192</v>
      </c>
    </row>
    <row r="195" spans="1:7" ht="15" x14ac:dyDescent="0.2">
      <c r="A195" s="7">
        <v>193</v>
      </c>
      <c r="B195" s="21" t="s">
        <v>1243</v>
      </c>
      <c r="C195" s="7" t="s">
        <v>1244</v>
      </c>
      <c r="D195" s="4"/>
      <c r="E195" s="4" t="s">
        <v>22</v>
      </c>
      <c r="G195">
        <v>194</v>
      </c>
    </row>
    <row r="196" spans="1:7" ht="15" x14ac:dyDescent="0.2">
      <c r="A196" s="7">
        <v>194</v>
      </c>
      <c r="B196" s="21" t="s">
        <v>1245</v>
      </c>
      <c r="C196" s="7" t="s">
        <v>1246</v>
      </c>
      <c r="D196" s="4"/>
      <c r="E196" s="4" t="s">
        <v>22</v>
      </c>
      <c r="G196">
        <v>195</v>
      </c>
    </row>
    <row r="197" spans="1:7" ht="15" x14ac:dyDescent="0.2">
      <c r="A197" s="7">
        <v>195</v>
      </c>
      <c r="B197" s="21" t="s">
        <v>1247</v>
      </c>
      <c r="C197" s="7" t="s">
        <v>1248</v>
      </c>
      <c r="D197" s="4"/>
      <c r="E197" s="4" t="s">
        <v>22</v>
      </c>
      <c r="G197">
        <v>197</v>
      </c>
    </row>
    <row r="198" spans="1:7" ht="15" x14ac:dyDescent="0.2">
      <c r="A198" s="7">
        <v>196</v>
      </c>
      <c r="B198" s="21" t="s">
        <v>1249</v>
      </c>
      <c r="C198" s="7" t="s">
        <v>1250</v>
      </c>
      <c r="D198" s="4"/>
      <c r="E198" s="4" t="s">
        <v>22</v>
      </c>
      <c r="G198">
        <v>198</v>
      </c>
    </row>
    <row r="199" spans="1:7" ht="15" x14ac:dyDescent="0.2">
      <c r="A199" s="7">
        <v>197</v>
      </c>
      <c r="B199" s="21" t="s">
        <v>1251</v>
      </c>
      <c r="C199" s="7" t="s">
        <v>1252</v>
      </c>
      <c r="D199" s="4"/>
      <c r="E199" s="4" t="s">
        <v>22</v>
      </c>
      <c r="G199">
        <v>199</v>
      </c>
    </row>
    <row r="200" spans="1:7" ht="15" x14ac:dyDescent="0.2">
      <c r="A200" s="7">
        <v>198</v>
      </c>
      <c r="B200" s="21" t="s">
        <v>1253</v>
      </c>
      <c r="C200" s="7" t="s">
        <v>1254</v>
      </c>
      <c r="D200" s="4"/>
      <c r="E200" s="4" t="s">
        <v>22</v>
      </c>
      <c r="G200">
        <v>200</v>
      </c>
    </row>
    <row r="201" spans="1:7" ht="15" x14ac:dyDescent="0.2">
      <c r="A201" s="7">
        <v>199</v>
      </c>
      <c r="B201" s="21" t="s">
        <v>1255</v>
      </c>
      <c r="C201" s="7" t="s">
        <v>1256</v>
      </c>
      <c r="D201" s="4"/>
      <c r="E201" s="4" t="s">
        <v>22</v>
      </c>
      <c r="G201">
        <v>202</v>
      </c>
    </row>
    <row r="202" spans="1:7" ht="15" x14ac:dyDescent="0.2">
      <c r="A202" s="7">
        <v>200</v>
      </c>
      <c r="B202" s="21" t="s">
        <v>1257</v>
      </c>
      <c r="C202" s="7" t="s">
        <v>1258</v>
      </c>
      <c r="D202" s="4"/>
      <c r="E202" s="4" t="s">
        <v>22</v>
      </c>
      <c r="G202">
        <v>203</v>
      </c>
    </row>
    <row r="203" spans="1:7" ht="15" x14ac:dyDescent="0.2">
      <c r="A203" s="7">
        <v>201</v>
      </c>
      <c r="B203" s="21" t="s">
        <v>1259</v>
      </c>
      <c r="C203" s="7" t="s">
        <v>1260</v>
      </c>
      <c r="D203" s="4"/>
      <c r="E203" s="4" t="s">
        <v>22</v>
      </c>
      <c r="G203">
        <v>204</v>
      </c>
    </row>
    <row r="204" spans="1:7" ht="15" x14ac:dyDescent="0.2">
      <c r="A204" s="7">
        <v>202</v>
      </c>
      <c r="B204" s="21" t="s">
        <v>1261</v>
      </c>
      <c r="C204" s="7" t="s">
        <v>1262</v>
      </c>
      <c r="D204" s="4"/>
      <c r="E204" s="4" t="s">
        <v>22</v>
      </c>
      <c r="G204">
        <v>205</v>
      </c>
    </row>
    <row r="205" spans="1:7" ht="15" x14ac:dyDescent="0.2">
      <c r="A205" s="7">
        <v>203</v>
      </c>
      <c r="B205" s="21" t="s">
        <v>1263</v>
      </c>
      <c r="C205" s="7" t="s">
        <v>1264</v>
      </c>
      <c r="D205" s="4"/>
      <c r="E205" s="4" t="s">
        <v>22</v>
      </c>
      <c r="G205">
        <v>207</v>
      </c>
    </row>
    <row r="206" spans="1:7" ht="15" x14ac:dyDescent="0.2">
      <c r="A206" s="7">
        <v>204</v>
      </c>
      <c r="B206" s="21" t="s">
        <v>1265</v>
      </c>
      <c r="C206" s="7" t="s">
        <v>1266</v>
      </c>
      <c r="D206" s="4"/>
      <c r="E206" s="4" t="s">
        <v>22</v>
      </c>
      <c r="G206">
        <v>208</v>
      </c>
    </row>
    <row r="207" spans="1:7" ht="15" x14ac:dyDescent="0.2">
      <c r="A207" s="7">
        <v>205</v>
      </c>
      <c r="B207" s="21" t="s">
        <v>1267</v>
      </c>
      <c r="C207" s="7" t="s">
        <v>1268</v>
      </c>
      <c r="D207" s="4"/>
      <c r="E207" s="4" t="s">
        <v>22</v>
      </c>
      <c r="G207">
        <v>209</v>
      </c>
    </row>
    <row r="208" spans="1:7" ht="15" x14ac:dyDescent="0.2">
      <c r="A208" s="7">
        <v>206</v>
      </c>
      <c r="B208" s="21" t="s">
        <v>1269</v>
      </c>
      <c r="C208" s="7" t="s">
        <v>1270</v>
      </c>
      <c r="D208" s="4"/>
      <c r="E208" s="4" t="s">
        <v>22</v>
      </c>
      <c r="G208">
        <v>210</v>
      </c>
    </row>
    <row r="209" spans="1:7" ht="15" x14ac:dyDescent="0.2">
      <c r="A209" s="7">
        <v>207</v>
      </c>
      <c r="B209" s="21" t="s">
        <v>1271</v>
      </c>
      <c r="C209" s="7" t="s">
        <v>846</v>
      </c>
      <c r="D209" s="4"/>
      <c r="E209" s="4" t="s">
        <v>22</v>
      </c>
      <c r="G209">
        <v>110</v>
      </c>
    </row>
    <row r="210" spans="1:7" ht="15" x14ac:dyDescent="0.2">
      <c r="A210" s="7">
        <v>208</v>
      </c>
      <c r="B210" s="21" t="s">
        <v>1272</v>
      </c>
      <c r="C210" s="7" t="s">
        <v>1273</v>
      </c>
      <c r="D210" s="4"/>
      <c r="E210" s="4" t="s">
        <v>22</v>
      </c>
      <c r="G210">
        <v>111</v>
      </c>
    </row>
    <row r="211" spans="1:7" ht="15" x14ac:dyDescent="0.2">
      <c r="A211" s="7">
        <v>209</v>
      </c>
      <c r="B211" s="21" t="s">
        <v>1274</v>
      </c>
      <c r="C211" s="7" t="s">
        <v>1275</v>
      </c>
      <c r="D211" s="4"/>
      <c r="E211" s="4" t="s">
        <v>22</v>
      </c>
      <c r="G211">
        <v>112</v>
      </c>
    </row>
    <row r="212" spans="1:7" ht="15" x14ac:dyDescent="0.2">
      <c r="A212" s="7">
        <v>210</v>
      </c>
      <c r="B212" s="21" t="s">
        <v>1276</v>
      </c>
      <c r="C212" s="7" t="s">
        <v>1277</v>
      </c>
      <c r="D212" s="4"/>
      <c r="E212" s="4" t="s">
        <v>22</v>
      </c>
      <c r="G212">
        <v>113</v>
      </c>
    </row>
    <row r="213" spans="1:7" ht="15" x14ac:dyDescent="0.2">
      <c r="A213" s="7">
        <v>211</v>
      </c>
      <c r="B213" s="21" t="s">
        <v>1278</v>
      </c>
      <c r="C213" s="7" t="s">
        <v>1279</v>
      </c>
      <c r="D213" s="4"/>
      <c r="E213" s="4" t="s">
        <v>22</v>
      </c>
      <c r="G213">
        <v>115</v>
      </c>
    </row>
    <row r="214" spans="1:7" ht="15" x14ac:dyDescent="0.2">
      <c r="A214" s="7">
        <v>212</v>
      </c>
      <c r="B214" s="21" t="s">
        <v>1280</v>
      </c>
      <c r="C214" s="7" t="s">
        <v>1281</v>
      </c>
      <c r="D214" s="4"/>
      <c r="E214" s="4" t="s">
        <v>22</v>
      </c>
      <c r="G214">
        <v>116</v>
      </c>
    </row>
    <row r="215" spans="1:7" ht="15" x14ac:dyDescent="0.2">
      <c r="A215" s="7">
        <v>213</v>
      </c>
      <c r="B215" s="21" t="s">
        <v>1282</v>
      </c>
      <c r="C215" s="7" t="s">
        <v>1283</v>
      </c>
      <c r="D215" s="4"/>
      <c r="E215" s="4" t="s">
        <v>22</v>
      </c>
      <c r="G215">
        <v>117</v>
      </c>
    </row>
    <row r="216" spans="1:7" ht="15" x14ac:dyDescent="0.2">
      <c r="A216" s="7">
        <v>214</v>
      </c>
      <c r="B216" s="21" t="s">
        <v>1284</v>
      </c>
      <c r="C216" s="7" t="s">
        <v>1285</v>
      </c>
      <c r="D216" s="4"/>
      <c r="E216" s="4" t="s">
        <v>22</v>
      </c>
      <c r="G216">
        <v>118</v>
      </c>
    </row>
    <row r="217" spans="1:7" ht="15" x14ac:dyDescent="0.2">
      <c r="A217" s="7">
        <v>215</v>
      </c>
      <c r="B217" s="21" t="s">
        <v>1286</v>
      </c>
      <c r="C217" s="7" t="s">
        <v>1287</v>
      </c>
      <c r="D217" s="4"/>
      <c r="E217" s="4" t="s">
        <v>22</v>
      </c>
      <c r="G217">
        <v>120</v>
      </c>
    </row>
    <row r="218" spans="1:7" ht="15" x14ac:dyDescent="0.2">
      <c r="A218" s="7">
        <v>216</v>
      </c>
      <c r="B218" s="21" t="s">
        <v>1288</v>
      </c>
      <c r="C218" s="7" t="s">
        <v>1289</v>
      </c>
      <c r="D218" s="4"/>
      <c r="E218" s="4" t="s">
        <v>22</v>
      </c>
      <c r="G218">
        <v>121</v>
      </c>
    </row>
    <row r="219" spans="1:7" ht="15" x14ac:dyDescent="0.2">
      <c r="A219" s="7">
        <v>217</v>
      </c>
      <c r="B219" s="21" t="s">
        <v>1290</v>
      </c>
      <c r="C219" s="7" t="s">
        <v>1291</v>
      </c>
      <c r="D219" s="4"/>
      <c r="E219" s="4" t="s">
        <v>22</v>
      </c>
      <c r="G219">
        <v>122</v>
      </c>
    </row>
    <row r="220" spans="1:7" ht="15" x14ac:dyDescent="0.2">
      <c r="A220" s="7">
        <v>218</v>
      </c>
      <c r="B220" s="21" t="s">
        <v>1292</v>
      </c>
      <c r="C220" s="7" t="s">
        <v>1293</v>
      </c>
      <c r="D220" s="4"/>
      <c r="E220" s="4" t="s">
        <v>22</v>
      </c>
      <c r="G220">
        <v>123</v>
      </c>
    </row>
    <row r="221" spans="1:7" ht="15" x14ac:dyDescent="0.2">
      <c r="A221" s="7">
        <v>219</v>
      </c>
      <c r="B221" s="21" t="s">
        <v>1294</v>
      </c>
      <c r="C221" s="7" t="s">
        <v>1295</v>
      </c>
      <c r="D221" s="4"/>
      <c r="E221" s="4" t="s">
        <v>22</v>
      </c>
      <c r="G221">
        <v>216</v>
      </c>
    </row>
  </sheetData>
  <sortState xmlns:xlrd2="http://schemas.microsoft.com/office/spreadsheetml/2017/richdata2" ref="A2:G221">
    <sortCondition ref="A1:A221"/>
  </sortState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5A8D-F208-4F04-9C5D-CD73D509CE53}">
  <sheetPr codeName="Sheet22"/>
  <dimension ref="A1:G28"/>
  <sheetViews>
    <sheetView workbookViewId="0"/>
  </sheetViews>
  <sheetFormatPr defaultRowHeight="14.25" x14ac:dyDescent="0.2"/>
  <cols>
    <col min="2" max="2" width="36.125" bestFit="1" customWidth="1"/>
    <col min="3" max="3" width="19.2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G2">
        <v>0</v>
      </c>
    </row>
    <row r="3" spans="1:7" ht="15" x14ac:dyDescent="0.2">
      <c r="A3">
        <v>1</v>
      </c>
      <c r="B3" s="1" t="s">
        <v>3294</v>
      </c>
      <c r="C3" t="s">
        <v>3301</v>
      </c>
      <c r="D3" s="4" t="s">
        <v>22</v>
      </c>
      <c r="E3" s="4"/>
      <c r="G3">
        <v>1</v>
      </c>
    </row>
    <row r="4" spans="1:7" ht="15" x14ac:dyDescent="0.2">
      <c r="A4">
        <v>2</v>
      </c>
      <c r="B4" s="1" t="s">
        <v>3295</v>
      </c>
      <c r="C4" t="s">
        <v>3302</v>
      </c>
      <c r="D4" s="4" t="s">
        <v>22</v>
      </c>
      <c r="E4" s="4" t="s">
        <v>22</v>
      </c>
      <c r="G4">
        <v>3</v>
      </c>
    </row>
    <row r="5" spans="1:7" ht="15" x14ac:dyDescent="0.2">
      <c r="A5">
        <v>3</v>
      </c>
      <c r="B5" s="1" t="s">
        <v>3296</v>
      </c>
      <c r="C5" t="s">
        <v>3304</v>
      </c>
      <c r="D5" s="4" t="s">
        <v>22</v>
      </c>
      <c r="E5" s="4" t="s">
        <v>22</v>
      </c>
      <c r="G5">
        <v>4</v>
      </c>
    </row>
    <row r="6" spans="1:7" ht="15" x14ac:dyDescent="0.2">
      <c r="A6">
        <v>4</v>
      </c>
      <c r="B6" s="1" t="s">
        <v>3300</v>
      </c>
      <c r="C6" t="s">
        <v>3303</v>
      </c>
      <c r="D6" s="4" t="s">
        <v>22</v>
      </c>
      <c r="E6" s="4" t="s">
        <v>22</v>
      </c>
      <c r="G6">
        <v>5</v>
      </c>
    </row>
    <row r="7" spans="1:7" ht="15" x14ac:dyDescent="0.2">
      <c r="A7">
        <v>5</v>
      </c>
      <c r="B7" s="1" t="s">
        <v>3297</v>
      </c>
      <c r="C7" t="s">
        <v>3305</v>
      </c>
      <c r="D7" s="4" t="s">
        <v>22</v>
      </c>
      <c r="E7" s="4" t="s">
        <v>22</v>
      </c>
      <c r="G7">
        <v>2</v>
      </c>
    </row>
    <row r="8" spans="1:7" ht="15" x14ac:dyDescent="0.2">
      <c r="A8">
        <v>6</v>
      </c>
      <c r="B8" s="1" t="s">
        <v>3298</v>
      </c>
      <c r="D8" s="4" t="s">
        <v>22</v>
      </c>
      <c r="E8" s="4" t="s">
        <v>22</v>
      </c>
      <c r="F8" t="b">
        <v>0</v>
      </c>
      <c r="G8">
        <v>7</v>
      </c>
    </row>
    <row r="9" spans="1:7" ht="15" x14ac:dyDescent="0.2">
      <c r="A9">
        <v>7</v>
      </c>
      <c r="B9" s="1" t="s">
        <v>3299</v>
      </c>
      <c r="C9" t="s">
        <v>3306</v>
      </c>
      <c r="D9" s="4" t="s">
        <v>22</v>
      </c>
      <c r="E9" s="4" t="s">
        <v>22</v>
      </c>
      <c r="G9">
        <v>6</v>
      </c>
    </row>
    <row r="10" spans="1:7" ht="15" x14ac:dyDescent="0.2">
      <c r="B10" s="1"/>
      <c r="D10" s="4"/>
      <c r="E10" s="4"/>
    </row>
    <row r="11" spans="1:7" ht="15" x14ac:dyDescent="0.2">
      <c r="B11" s="1"/>
      <c r="D11" s="4"/>
      <c r="E11" s="4"/>
    </row>
    <row r="12" spans="1:7" ht="15" x14ac:dyDescent="0.2">
      <c r="B12" s="1"/>
      <c r="D12" s="4"/>
      <c r="E12" s="4"/>
    </row>
    <row r="13" spans="1:7" ht="15" x14ac:dyDescent="0.2">
      <c r="B13" s="1"/>
      <c r="D13" s="4"/>
      <c r="E13" s="4"/>
    </row>
    <row r="14" spans="1:7" ht="15" x14ac:dyDescent="0.2">
      <c r="B14" s="1"/>
      <c r="D14" s="4"/>
      <c r="E14" s="4"/>
    </row>
    <row r="15" spans="1:7" ht="15" x14ac:dyDescent="0.2">
      <c r="B15" s="1"/>
      <c r="D15" s="4"/>
      <c r="E15" s="4"/>
    </row>
    <row r="16" spans="1:7" ht="15" x14ac:dyDescent="0.2">
      <c r="B16" s="6"/>
      <c r="D16" s="4"/>
      <c r="E16" s="4"/>
    </row>
    <row r="17" spans="2:5" ht="15" x14ac:dyDescent="0.2">
      <c r="B17" s="6"/>
      <c r="D17" s="4"/>
      <c r="E17" s="4"/>
    </row>
    <row r="18" spans="2:5" ht="15" x14ac:dyDescent="0.2">
      <c r="B18" s="6"/>
      <c r="D18" s="4"/>
      <c r="E18" s="4"/>
    </row>
    <row r="19" spans="2:5" ht="15" x14ac:dyDescent="0.2">
      <c r="B19" s="6"/>
      <c r="D19" s="4"/>
      <c r="E19" s="4"/>
    </row>
    <row r="20" spans="2:5" ht="15" x14ac:dyDescent="0.2">
      <c r="B20" s="6"/>
      <c r="D20" s="4"/>
      <c r="E20" s="4"/>
    </row>
    <row r="21" spans="2:5" ht="15" x14ac:dyDescent="0.2">
      <c r="B21" s="6"/>
      <c r="D21" s="4"/>
      <c r="E21" s="4"/>
    </row>
    <row r="22" spans="2:5" ht="15" x14ac:dyDescent="0.2">
      <c r="B22" s="6"/>
      <c r="D22" s="4"/>
      <c r="E22" s="4"/>
    </row>
    <row r="23" spans="2:5" ht="15" x14ac:dyDescent="0.2">
      <c r="B23" s="6"/>
      <c r="D23" s="4"/>
      <c r="E23" s="4"/>
    </row>
    <row r="24" spans="2:5" ht="15" x14ac:dyDescent="0.2">
      <c r="B24" s="6"/>
      <c r="D24" s="4"/>
      <c r="E24" s="4"/>
    </row>
    <row r="25" spans="2:5" ht="15" x14ac:dyDescent="0.2">
      <c r="B25" s="6"/>
      <c r="D25" s="4"/>
      <c r="E25" s="4"/>
    </row>
    <row r="26" spans="2:5" ht="15" x14ac:dyDescent="0.2">
      <c r="B26" s="6"/>
      <c r="D26" s="4"/>
      <c r="E26" s="4"/>
    </row>
    <row r="27" spans="2:5" ht="15" x14ac:dyDescent="0.2">
      <c r="B27" s="6"/>
      <c r="D27" s="4"/>
      <c r="E27" s="4"/>
    </row>
    <row r="28" spans="2:5" ht="15" x14ac:dyDescent="0.2">
      <c r="B28" s="6"/>
      <c r="D28" s="4"/>
      <c r="E28" s="4"/>
    </row>
  </sheetData>
  <sortState xmlns:xlrd2="http://schemas.microsoft.com/office/spreadsheetml/2017/richdata2" ref="A2:G9">
    <sortCondition ref="A1:A9"/>
  </sortState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64C7-3D64-42BC-A4D2-303DDDFAC1AC}">
  <sheetPr codeName="Sheet23"/>
  <dimension ref="A1:G51"/>
  <sheetViews>
    <sheetView workbookViewId="0"/>
  </sheetViews>
  <sheetFormatPr defaultRowHeight="14.25" x14ac:dyDescent="0.2"/>
  <cols>
    <col min="2" max="2" width="56" bestFit="1" customWidth="1"/>
    <col min="3" max="3" width="29.625" bestFit="1" customWidth="1"/>
    <col min="4" max="4" width="14.375" style="4" bestFit="1" customWidth="1"/>
    <col min="5" max="5" width="9" style="4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G2">
        <v>0</v>
      </c>
    </row>
    <row r="3" spans="1:7" ht="15" x14ac:dyDescent="0.2">
      <c r="A3">
        <v>1</v>
      </c>
      <c r="B3" s="1" t="s">
        <v>3307</v>
      </c>
      <c r="C3" t="s">
        <v>3334</v>
      </c>
      <c r="D3" s="4" t="s">
        <v>22</v>
      </c>
      <c r="G3">
        <v>1</v>
      </c>
    </row>
    <row r="4" spans="1:7" ht="15" x14ac:dyDescent="0.2">
      <c r="A4">
        <v>2</v>
      </c>
      <c r="B4" s="1" t="s">
        <v>3308</v>
      </c>
      <c r="C4" t="s">
        <v>3400</v>
      </c>
      <c r="D4" s="4" t="s">
        <v>22</v>
      </c>
      <c r="E4" s="4" t="s">
        <v>22</v>
      </c>
      <c r="G4">
        <v>18</v>
      </c>
    </row>
    <row r="5" spans="1:7" ht="15" x14ac:dyDescent="0.2">
      <c r="A5">
        <v>3</v>
      </c>
      <c r="B5" s="1" t="s">
        <v>3309</v>
      </c>
      <c r="C5" t="s">
        <v>3337</v>
      </c>
      <c r="D5" s="4" t="s">
        <v>22</v>
      </c>
      <c r="E5" s="4" t="s">
        <v>22</v>
      </c>
      <c r="G5">
        <v>2</v>
      </c>
    </row>
    <row r="6" spans="1:7" ht="15" x14ac:dyDescent="0.2">
      <c r="A6">
        <v>4</v>
      </c>
      <c r="B6" s="1" t="s">
        <v>3310</v>
      </c>
      <c r="C6" t="s">
        <v>3343</v>
      </c>
      <c r="D6" s="4" t="s">
        <v>22</v>
      </c>
      <c r="E6" s="4" t="s">
        <v>22</v>
      </c>
      <c r="G6">
        <v>10</v>
      </c>
    </row>
    <row r="7" spans="1:7" ht="15" x14ac:dyDescent="0.2">
      <c r="A7">
        <v>5</v>
      </c>
      <c r="B7" s="1" t="s">
        <v>3311</v>
      </c>
      <c r="C7" t="s">
        <v>3345</v>
      </c>
      <c r="D7" s="4" t="s">
        <v>22</v>
      </c>
      <c r="E7" s="4" t="s">
        <v>22</v>
      </c>
      <c r="G7">
        <v>5</v>
      </c>
    </row>
    <row r="8" spans="1:7" ht="15" x14ac:dyDescent="0.2">
      <c r="A8">
        <v>6</v>
      </c>
      <c r="B8" s="1" t="s">
        <v>3312</v>
      </c>
      <c r="C8" t="s">
        <v>3344</v>
      </c>
      <c r="D8" s="4" t="s">
        <v>22</v>
      </c>
      <c r="E8" s="4" t="s">
        <v>22</v>
      </c>
      <c r="G8">
        <v>11</v>
      </c>
    </row>
    <row r="9" spans="1:7" ht="15" x14ac:dyDescent="0.2">
      <c r="A9">
        <v>7</v>
      </c>
      <c r="B9" s="1" t="s">
        <v>3313</v>
      </c>
      <c r="C9" t="s">
        <v>3350</v>
      </c>
      <c r="D9" s="4" t="s">
        <v>22</v>
      </c>
      <c r="E9" s="4" t="s">
        <v>22</v>
      </c>
      <c r="G9">
        <v>21</v>
      </c>
    </row>
    <row r="10" spans="1:7" ht="15" x14ac:dyDescent="0.2">
      <c r="A10">
        <v>8</v>
      </c>
      <c r="B10" s="1" t="s">
        <v>3314</v>
      </c>
      <c r="C10" t="s">
        <v>3351</v>
      </c>
      <c r="D10" s="4" t="s">
        <v>22</v>
      </c>
      <c r="E10" s="4" t="s">
        <v>22</v>
      </c>
      <c r="G10">
        <v>24</v>
      </c>
    </row>
    <row r="11" spans="1:7" ht="15" x14ac:dyDescent="0.2">
      <c r="A11">
        <v>9</v>
      </c>
      <c r="B11" s="1" t="s">
        <v>3315</v>
      </c>
      <c r="C11" t="s">
        <v>3356</v>
      </c>
      <c r="D11" s="4" t="s">
        <v>22</v>
      </c>
      <c r="E11" s="4" t="s">
        <v>22</v>
      </c>
      <c r="F11" t="b">
        <v>0</v>
      </c>
      <c r="G11">
        <v>7</v>
      </c>
    </row>
    <row r="12" spans="1:7" ht="15" x14ac:dyDescent="0.2">
      <c r="A12">
        <v>10</v>
      </c>
      <c r="B12" s="1" t="s">
        <v>3316</v>
      </c>
      <c r="C12" t="s">
        <v>3357</v>
      </c>
      <c r="D12" s="4" t="s">
        <v>22</v>
      </c>
      <c r="E12" s="4" t="s">
        <v>22</v>
      </c>
      <c r="F12" t="b">
        <v>0</v>
      </c>
      <c r="G12">
        <v>8</v>
      </c>
    </row>
    <row r="13" spans="1:7" ht="15" x14ac:dyDescent="0.2">
      <c r="A13">
        <v>11</v>
      </c>
      <c r="B13" s="1" t="s">
        <v>3317</v>
      </c>
      <c r="C13" t="s">
        <v>3403</v>
      </c>
      <c r="D13" s="4" t="s">
        <v>22</v>
      </c>
      <c r="E13" s="4" t="s">
        <v>22</v>
      </c>
      <c r="G13">
        <v>17</v>
      </c>
    </row>
    <row r="14" spans="1:7" ht="15" x14ac:dyDescent="0.2">
      <c r="A14">
        <v>12</v>
      </c>
      <c r="B14" s="1" t="s">
        <v>3318</v>
      </c>
      <c r="C14" t="s">
        <v>3358</v>
      </c>
      <c r="D14" s="4" t="s">
        <v>22</v>
      </c>
      <c r="E14" s="4" t="s">
        <v>22</v>
      </c>
      <c r="F14" t="b">
        <v>0</v>
      </c>
      <c r="G14">
        <v>6</v>
      </c>
    </row>
    <row r="15" spans="1:7" ht="15" x14ac:dyDescent="0.2">
      <c r="A15">
        <v>13</v>
      </c>
      <c r="B15" s="1" t="s">
        <v>3319</v>
      </c>
      <c r="C15" t="s">
        <v>3359</v>
      </c>
      <c r="D15" s="4" t="s">
        <v>22</v>
      </c>
      <c r="E15" s="4" t="s">
        <v>22</v>
      </c>
      <c r="G15">
        <v>16</v>
      </c>
    </row>
    <row r="16" spans="1:7" ht="15" x14ac:dyDescent="0.2">
      <c r="A16">
        <v>14</v>
      </c>
      <c r="B16" s="1" t="s">
        <v>3320</v>
      </c>
      <c r="C16" t="s">
        <v>3360</v>
      </c>
      <c r="D16" s="4" t="s">
        <v>22</v>
      </c>
      <c r="E16" s="4" t="s">
        <v>22</v>
      </c>
      <c r="G16">
        <v>12</v>
      </c>
    </row>
    <row r="17" spans="1:7" ht="15" x14ac:dyDescent="0.2">
      <c r="A17">
        <v>15</v>
      </c>
      <c r="B17" s="1" t="s">
        <v>3321</v>
      </c>
      <c r="C17" t="s">
        <v>3402</v>
      </c>
      <c r="D17" s="4" t="s">
        <v>22</v>
      </c>
      <c r="E17" s="4" t="s">
        <v>22</v>
      </c>
      <c r="G17">
        <v>15</v>
      </c>
    </row>
    <row r="18" spans="1:7" ht="15" x14ac:dyDescent="0.2">
      <c r="A18">
        <v>16</v>
      </c>
      <c r="B18" s="1" t="s">
        <v>3322</v>
      </c>
      <c r="C18" t="s">
        <v>3363</v>
      </c>
      <c r="D18" s="4" t="s">
        <v>22</v>
      </c>
      <c r="E18" s="4" t="s">
        <v>22</v>
      </c>
      <c r="G18">
        <v>36</v>
      </c>
    </row>
    <row r="19" spans="1:7" ht="15" x14ac:dyDescent="0.2">
      <c r="A19">
        <v>17</v>
      </c>
      <c r="B19" s="1" t="s">
        <v>3323</v>
      </c>
      <c r="C19" t="s">
        <v>3366</v>
      </c>
      <c r="D19" s="4" t="s">
        <v>22</v>
      </c>
      <c r="E19" s="4" t="s">
        <v>22</v>
      </c>
      <c r="G19">
        <v>39</v>
      </c>
    </row>
    <row r="20" spans="1:7" ht="15" x14ac:dyDescent="0.2">
      <c r="A20">
        <v>18</v>
      </c>
      <c r="B20" s="1" t="s">
        <v>3324</v>
      </c>
      <c r="C20" t="s">
        <v>3404</v>
      </c>
      <c r="D20" s="4" t="s">
        <v>22</v>
      </c>
      <c r="E20" s="4" t="s">
        <v>22</v>
      </c>
      <c r="G20">
        <v>14</v>
      </c>
    </row>
    <row r="21" spans="1:7" ht="15" x14ac:dyDescent="0.2">
      <c r="A21">
        <v>19</v>
      </c>
      <c r="B21" s="1" t="s">
        <v>3325</v>
      </c>
      <c r="C21" t="s">
        <v>3371</v>
      </c>
      <c r="D21" s="4" t="s">
        <v>22</v>
      </c>
      <c r="E21" s="4" t="s">
        <v>22</v>
      </c>
      <c r="G21">
        <v>48</v>
      </c>
    </row>
    <row r="22" spans="1:7" ht="15" x14ac:dyDescent="0.2">
      <c r="A22">
        <v>20</v>
      </c>
      <c r="B22" s="1" t="s">
        <v>3326</v>
      </c>
      <c r="C22" t="s">
        <v>3372</v>
      </c>
      <c r="D22" s="4" t="s">
        <v>22</v>
      </c>
      <c r="E22" s="4" t="s">
        <v>22</v>
      </c>
      <c r="G22">
        <v>42</v>
      </c>
    </row>
    <row r="23" spans="1:7" ht="15" x14ac:dyDescent="0.2">
      <c r="A23">
        <v>21</v>
      </c>
      <c r="B23" s="1" t="s">
        <v>3327</v>
      </c>
      <c r="C23" t="s">
        <v>3373</v>
      </c>
      <c r="D23" s="4" t="s">
        <v>22</v>
      </c>
      <c r="E23" s="4" t="s">
        <v>22</v>
      </c>
      <c r="G23">
        <v>45</v>
      </c>
    </row>
    <row r="24" spans="1:7" ht="15" x14ac:dyDescent="0.2">
      <c r="A24">
        <v>22</v>
      </c>
      <c r="B24" s="1" t="s">
        <v>3328</v>
      </c>
      <c r="C24" t="s">
        <v>3382</v>
      </c>
      <c r="D24" s="4" t="s">
        <v>22</v>
      </c>
      <c r="E24" s="4" t="s">
        <v>22</v>
      </c>
      <c r="G24">
        <v>27</v>
      </c>
    </row>
    <row r="25" spans="1:7" ht="15" x14ac:dyDescent="0.2">
      <c r="A25">
        <v>23</v>
      </c>
      <c r="B25" s="1" t="s">
        <v>3329</v>
      </c>
      <c r="C25" t="s">
        <v>3383</v>
      </c>
      <c r="D25" s="4" t="s">
        <v>22</v>
      </c>
      <c r="E25" s="4" t="s">
        <v>22</v>
      </c>
      <c r="G25">
        <v>30</v>
      </c>
    </row>
    <row r="26" spans="1:7" ht="15" x14ac:dyDescent="0.2">
      <c r="A26">
        <v>24</v>
      </c>
      <c r="B26" s="1" t="s">
        <v>3330</v>
      </c>
      <c r="C26" t="s">
        <v>3384</v>
      </c>
      <c r="D26" s="4" t="s">
        <v>22</v>
      </c>
      <c r="E26" s="4" t="s">
        <v>22</v>
      </c>
      <c r="G26">
        <v>33</v>
      </c>
    </row>
    <row r="27" spans="1:7" ht="15" x14ac:dyDescent="0.2">
      <c r="A27">
        <v>25</v>
      </c>
      <c r="B27" s="1" t="s">
        <v>3331</v>
      </c>
      <c r="C27" t="s">
        <v>3397</v>
      </c>
      <c r="D27" s="4" t="s">
        <v>22</v>
      </c>
      <c r="E27" s="4" t="s">
        <v>22</v>
      </c>
      <c r="F27" t="b">
        <v>0</v>
      </c>
      <c r="G27">
        <v>9</v>
      </c>
    </row>
    <row r="28" spans="1:7" ht="15" x14ac:dyDescent="0.2">
      <c r="A28">
        <v>26</v>
      </c>
      <c r="B28" s="1" t="s">
        <v>3332</v>
      </c>
      <c r="C28" t="s">
        <v>3398</v>
      </c>
      <c r="D28" s="4" t="s">
        <v>22</v>
      </c>
      <c r="E28" s="4" t="s">
        <v>22</v>
      </c>
      <c r="G28">
        <v>13</v>
      </c>
    </row>
    <row r="29" spans="1:7" ht="15" x14ac:dyDescent="0.2">
      <c r="A29">
        <v>27</v>
      </c>
      <c r="B29" s="1" t="s">
        <v>3333</v>
      </c>
      <c r="C29" t="s">
        <v>3399</v>
      </c>
      <c r="D29" s="4" t="s">
        <v>22</v>
      </c>
      <c r="E29" s="4" t="s">
        <v>22</v>
      </c>
      <c r="G29">
        <v>49</v>
      </c>
    </row>
    <row r="30" spans="1:7" ht="15" x14ac:dyDescent="0.2">
      <c r="A30">
        <v>28</v>
      </c>
      <c r="B30" s="6" t="s">
        <v>3401</v>
      </c>
      <c r="C30" t="s">
        <v>3336</v>
      </c>
      <c r="E30" s="4" t="s">
        <v>22</v>
      </c>
      <c r="G30">
        <v>19</v>
      </c>
    </row>
    <row r="31" spans="1:7" ht="15" x14ac:dyDescent="0.2">
      <c r="A31">
        <v>29</v>
      </c>
      <c r="B31" s="6" t="s">
        <v>3339</v>
      </c>
      <c r="C31" t="s">
        <v>3335</v>
      </c>
      <c r="E31" s="4" t="s">
        <v>22</v>
      </c>
      <c r="G31">
        <v>20</v>
      </c>
    </row>
    <row r="32" spans="1:7" ht="15" x14ac:dyDescent="0.2">
      <c r="A32">
        <v>30</v>
      </c>
      <c r="B32" s="6" t="s">
        <v>3338</v>
      </c>
      <c r="C32" t="s">
        <v>3341</v>
      </c>
      <c r="E32" s="4" t="s">
        <v>22</v>
      </c>
      <c r="G32">
        <v>3</v>
      </c>
    </row>
    <row r="33" spans="1:7" ht="15" x14ac:dyDescent="0.2">
      <c r="A33">
        <v>31</v>
      </c>
      <c r="B33" s="6" t="s">
        <v>3340</v>
      </c>
      <c r="C33" t="s">
        <v>3342</v>
      </c>
      <c r="E33" s="4" t="s">
        <v>22</v>
      </c>
      <c r="G33">
        <v>4</v>
      </c>
    </row>
    <row r="34" spans="1:7" ht="15" x14ac:dyDescent="0.2">
      <c r="A34">
        <v>32</v>
      </c>
      <c r="B34" s="6" t="s">
        <v>3346</v>
      </c>
      <c r="C34" t="s">
        <v>3352</v>
      </c>
      <c r="E34" s="4" t="s">
        <v>22</v>
      </c>
      <c r="G34">
        <v>22</v>
      </c>
    </row>
    <row r="35" spans="1:7" ht="15" x14ac:dyDescent="0.2">
      <c r="A35">
        <v>33</v>
      </c>
      <c r="B35" s="6" t="s">
        <v>3347</v>
      </c>
      <c r="C35" t="s">
        <v>3353</v>
      </c>
      <c r="E35" s="4" t="s">
        <v>22</v>
      </c>
      <c r="G35">
        <v>23</v>
      </c>
    </row>
    <row r="36" spans="1:7" ht="15" x14ac:dyDescent="0.2">
      <c r="A36">
        <v>34</v>
      </c>
      <c r="B36" s="6" t="s">
        <v>3348</v>
      </c>
      <c r="C36" t="s">
        <v>3354</v>
      </c>
      <c r="E36" s="4" t="s">
        <v>22</v>
      </c>
      <c r="G36">
        <v>25</v>
      </c>
    </row>
    <row r="37" spans="1:7" ht="15" x14ac:dyDescent="0.2">
      <c r="A37">
        <v>35</v>
      </c>
      <c r="B37" s="6" t="s">
        <v>3349</v>
      </c>
      <c r="C37" t="s">
        <v>3355</v>
      </c>
      <c r="E37" s="4" t="s">
        <v>22</v>
      </c>
      <c r="G37">
        <v>26</v>
      </c>
    </row>
    <row r="38" spans="1:7" ht="15" x14ac:dyDescent="0.2">
      <c r="A38">
        <v>36</v>
      </c>
      <c r="B38" s="6" t="s">
        <v>3361</v>
      </c>
      <c r="C38" t="s">
        <v>3364</v>
      </c>
      <c r="E38" s="4" t="s">
        <v>22</v>
      </c>
      <c r="G38">
        <v>37</v>
      </c>
    </row>
    <row r="39" spans="1:7" ht="15" x14ac:dyDescent="0.2">
      <c r="A39">
        <v>37</v>
      </c>
      <c r="B39" s="6" t="s">
        <v>3362</v>
      </c>
      <c r="C39" t="s">
        <v>3365</v>
      </c>
      <c r="E39" s="4" t="s">
        <v>22</v>
      </c>
      <c r="G39">
        <v>38</v>
      </c>
    </row>
    <row r="40" spans="1:7" ht="15" x14ac:dyDescent="0.2">
      <c r="A40">
        <v>38</v>
      </c>
      <c r="B40" s="6" t="s">
        <v>3367</v>
      </c>
      <c r="C40" t="s">
        <v>3369</v>
      </c>
      <c r="E40" s="4" t="s">
        <v>22</v>
      </c>
      <c r="G40">
        <v>40</v>
      </c>
    </row>
    <row r="41" spans="1:7" ht="15" x14ac:dyDescent="0.2">
      <c r="A41">
        <v>39</v>
      </c>
      <c r="B41" s="6" t="s">
        <v>3368</v>
      </c>
      <c r="C41" t="s">
        <v>3370</v>
      </c>
      <c r="E41" s="4" t="s">
        <v>22</v>
      </c>
      <c r="G41">
        <v>41</v>
      </c>
    </row>
    <row r="42" spans="1:7" ht="15" x14ac:dyDescent="0.2">
      <c r="A42">
        <v>40</v>
      </c>
      <c r="B42" s="6" t="s">
        <v>3374</v>
      </c>
      <c r="C42" t="s">
        <v>3378</v>
      </c>
      <c r="E42" s="4" t="s">
        <v>22</v>
      </c>
      <c r="G42">
        <v>43</v>
      </c>
    </row>
    <row r="43" spans="1:7" ht="15" x14ac:dyDescent="0.2">
      <c r="A43">
        <v>41</v>
      </c>
      <c r="B43" s="6" t="s">
        <v>3375</v>
      </c>
      <c r="C43" t="s">
        <v>3379</v>
      </c>
      <c r="E43" s="4" t="s">
        <v>22</v>
      </c>
      <c r="G43">
        <v>44</v>
      </c>
    </row>
    <row r="44" spans="1:7" ht="15" x14ac:dyDescent="0.2">
      <c r="A44">
        <v>42</v>
      </c>
      <c r="B44" s="6" t="s">
        <v>3376</v>
      </c>
      <c r="C44" t="s">
        <v>3380</v>
      </c>
      <c r="E44" s="4" t="s">
        <v>22</v>
      </c>
      <c r="G44">
        <v>46</v>
      </c>
    </row>
    <row r="45" spans="1:7" ht="15" x14ac:dyDescent="0.2">
      <c r="A45">
        <v>43</v>
      </c>
      <c r="B45" s="6" t="s">
        <v>3377</v>
      </c>
      <c r="C45" t="s">
        <v>3381</v>
      </c>
      <c r="E45" s="4" t="s">
        <v>22</v>
      </c>
      <c r="G45">
        <v>47</v>
      </c>
    </row>
    <row r="46" spans="1:7" ht="15" x14ac:dyDescent="0.2">
      <c r="A46">
        <v>44</v>
      </c>
      <c r="B46" s="6" t="s">
        <v>3385</v>
      </c>
      <c r="C46" t="s">
        <v>3386</v>
      </c>
      <c r="E46" s="4" t="s">
        <v>22</v>
      </c>
      <c r="G46">
        <v>28</v>
      </c>
    </row>
    <row r="47" spans="1:7" ht="15" x14ac:dyDescent="0.2">
      <c r="A47">
        <v>45</v>
      </c>
      <c r="B47" s="6" t="s">
        <v>3387</v>
      </c>
      <c r="C47" t="s">
        <v>3388</v>
      </c>
      <c r="E47" s="4" t="s">
        <v>22</v>
      </c>
      <c r="G47">
        <v>29</v>
      </c>
    </row>
    <row r="48" spans="1:7" ht="15" x14ac:dyDescent="0.2">
      <c r="A48">
        <v>46</v>
      </c>
      <c r="B48" s="6" t="s">
        <v>3391</v>
      </c>
      <c r="C48" t="s">
        <v>3389</v>
      </c>
      <c r="E48" s="4" t="s">
        <v>22</v>
      </c>
      <c r="G48">
        <v>31</v>
      </c>
    </row>
    <row r="49" spans="1:7" ht="15" x14ac:dyDescent="0.2">
      <c r="A49">
        <v>47</v>
      </c>
      <c r="B49" s="6" t="s">
        <v>3392</v>
      </c>
      <c r="C49" t="s">
        <v>3390</v>
      </c>
      <c r="E49" s="4" t="s">
        <v>22</v>
      </c>
      <c r="G49">
        <v>32</v>
      </c>
    </row>
    <row r="50" spans="1:7" ht="15" x14ac:dyDescent="0.2">
      <c r="A50">
        <v>48</v>
      </c>
      <c r="B50" s="6" t="s">
        <v>3393</v>
      </c>
      <c r="C50" t="s">
        <v>3395</v>
      </c>
      <c r="E50" s="4" t="s">
        <v>22</v>
      </c>
      <c r="G50">
        <v>34</v>
      </c>
    </row>
    <row r="51" spans="1:7" ht="15" x14ac:dyDescent="0.2">
      <c r="A51">
        <v>49</v>
      </c>
      <c r="B51" s="6" t="s">
        <v>3394</v>
      </c>
      <c r="C51" t="s">
        <v>3396</v>
      </c>
      <c r="E51" s="4" t="s">
        <v>22</v>
      </c>
      <c r="G51">
        <v>35</v>
      </c>
    </row>
  </sheetData>
  <sortState xmlns:xlrd2="http://schemas.microsoft.com/office/spreadsheetml/2017/richdata2" ref="A2:G51">
    <sortCondition ref="A1:A51"/>
  </sortState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3B7E-9BC9-4455-8D15-B9792A999072}">
  <sheetPr codeName="Sheet49"/>
  <dimension ref="A1:G72"/>
  <sheetViews>
    <sheetView workbookViewId="0">
      <selection activeCell="B9" sqref="B9"/>
    </sheetView>
  </sheetViews>
  <sheetFormatPr defaultRowHeight="14.25" x14ac:dyDescent="0.2"/>
  <cols>
    <col min="2" max="2" width="53.875" bestFit="1" customWidth="1"/>
    <col min="3" max="3" width="43" bestFit="1" customWidth="1"/>
    <col min="4" max="4" width="14.375" style="4" bestFit="1" customWidth="1"/>
    <col min="5" max="6" width="9" style="4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G2">
        <v>0</v>
      </c>
    </row>
    <row r="3" spans="1:7" ht="15" x14ac:dyDescent="0.2">
      <c r="A3">
        <v>1</v>
      </c>
      <c r="B3" s="1" t="s">
        <v>437</v>
      </c>
      <c r="C3" t="s">
        <v>438</v>
      </c>
      <c r="D3" s="4" t="s">
        <v>22</v>
      </c>
      <c r="G3">
        <v>1</v>
      </c>
    </row>
    <row r="4" spans="1:7" ht="15" x14ac:dyDescent="0.2">
      <c r="A4">
        <v>2</v>
      </c>
      <c r="B4" s="1" t="s">
        <v>447</v>
      </c>
      <c r="C4" t="s">
        <v>448</v>
      </c>
      <c r="D4" s="4" t="s">
        <v>22</v>
      </c>
      <c r="E4" s="4" t="s">
        <v>22</v>
      </c>
      <c r="F4" s="4" t="b">
        <v>1</v>
      </c>
      <c r="G4">
        <v>3</v>
      </c>
    </row>
    <row r="5" spans="1:7" ht="15" x14ac:dyDescent="0.2">
      <c r="A5">
        <v>3</v>
      </c>
      <c r="B5" s="1" t="s">
        <v>439</v>
      </c>
      <c r="C5" t="s">
        <v>442</v>
      </c>
      <c r="D5" s="4" t="s">
        <v>22</v>
      </c>
      <c r="G5">
        <v>4</v>
      </c>
    </row>
    <row r="6" spans="1:7" ht="15" x14ac:dyDescent="0.2">
      <c r="A6">
        <v>4</v>
      </c>
      <c r="B6" s="1" t="s">
        <v>440</v>
      </c>
      <c r="C6" t="s">
        <v>443</v>
      </c>
      <c r="D6" s="4" t="s">
        <v>22</v>
      </c>
      <c r="G6">
        <v>21</v>
      </c>
    </row>
    <row r="7" spans="1:7" ht="15" x14ac:dyDescent="0.2">
      <c r="A7">
        <v>5</v>
      </c>
      <c r="B7" s="1" t="s">
        <v>441</v>
      </c>
      <c r="C7" t="s">
        <v>444</v>
      </c>
      <c r="D7" s="4" t="s">
        <v>22</v>
      </c>
      <c r="G7">
        <v>26</v>
      </c>
    </row>
    <row r="8" spans="1:7" ht="15" x14ac:dyDescent="0.2">
      <c r="A8">
        <v>6</v>
      </c>
      <c r="B8" s="1" t="s">
        <v>445</v>
      </c>
      <c r="C8" t="s">
        <v>3837</v>
      </c>
      <c r="D8" s="4" t="s">
        <v>22</v>
      </c>
      <c r="G8">
        <v>56</v>
      </c>
    </row>
    <row r="9" spans="1:7" ht="15" x14ac:dyDescent="0.2">
      <c r="A9">
        <v>7</v>
      </c>
      <c r="B9" s="1" t="s">
        <v>3867</v>
      </c>
      <c r="C9" t="s">
        <v>3838</v>
      </c>
      <c r="D9" s="4" t="s">
        <v>22</v>
      </c>
      <c r="G9">
        <v>58</v>
      </c>
    </row>
    <row r="10" spans="1:7" ht="15" x14ac:dyDescent="0.2">
      <c r="A10">
        <v>8</v>
      </c>
      <c r="B10" s="1" t="s">
        <v>449</v>
      </c>
      <c r="C10" t="s">
        <v>450</v>
      </c>
      <c r="D10" s="4" t="s">
        <v>22</v>
      </c>
      <c r="E10" s="4" t="s">
        <v>22</v>
      </c>
      <c r="G10">
        <v>15</v>
      </c>
    </row>
    <row r="11" spans="1:7" ht="15" x14ac:dyDescent="0.2">
      <c r="A11">
        <v>9</v>
      </c>
      <c r="B11" s="1" t="s">
        <v>451</v>
      </c>
      <c r="C11" t="s">
        <v>452</v>
      </c>
      <c r="D11" s="4" t="s">
        <v>22</v>
      </c>
      <c r="E11" s="4" t="s">
        <v>22</v>
      </c>
      <c r="G11">
        <v>16</v>
      </c>
    </row>
    <row r="12" spans="1:7" ht="15" x14ac:dyDescent="0.2">
      <c r="A12">
        <v>10</v>
      </c>
      <c r="B12" s="1" t="s">
        <v>3437</v>
      </c>
      <c r="C12" t="s">
        <v>3441</v>
      </c>
      <c r="D12" s="4" t="s">
        <v>22</v>
      </c>
      <c r="G12">
        <v>31</v>
      </c>
    </row>
    <row r="13" spans="1:7" ht="15" x14ac:dyDescent="0.2">
      <c r="A13">
        <v>11</v>
      </c>
      <c r="B13" s="1" t="s">
        <v>3438</v>
      </c>
      <c r="C13" t="s">
        <v>3442</v>
      </c>
      <c r="D13" s="4" t="s">
        <v>22</v>
      </c>
      <c r="E13" s="4" t="s">
        <v>22</v>
      </c>
      <c r="G13">
        <v>36</v>
      </c>
    </row>
    <row r="14" spans="1:7" ht="15" x14ac:dyDescent="0.2">
      <c r="A14">
        <v>12</v>
      </c>
      <c r="B14" s="1" t="s">
        <v>3439</v>
      </c>
      <c r="C14" t="s">
        <v>3444</v>
      </c>
      <c r="D14" s="4" t="s">
        <v>22</v>
      </c>
      <c r="G14">
        <v>41</v>
      </c>
    </row>
    <row r="15" spans="1:7" ht="15" x14ac:dyDescent="0.2">
      <c r="A15">
        <v>13</v>
      </c>
      <c r="B15" s="1" t="s">
        <v>3440</v>
      </c>
      <c r="C15" t="s">
        <v>3443</v>
      </c>
      <c r="D15" s="4" t="s">
        <v>22</v>
      </c>
      <c r="G15">
        <v>46</v>
      </c>
    </row>
    <row r="16" spans="1:7" ht="15" x14ac:dyDescent="0.2">
      <c r="A16">
        <v>14</v>
      </c>
      <c r="B16" s="1" t="s">
        <v>465</v>
      </c>
      <c r="C16" t="s">
        <v>466</v>
      </c>
      <c r="D16" s="4" t="s">
        <v>22</v>
      </c>
      <c r="G16">
        <v>64</v>
      </c>
    </row>
    <row r="17" spans="1:7" ht="15" x14ac:dyDescent="0.2">
      <c r="A17">
        <v>15</v>
      </c>
      <c r="B17" s="1" t="s">
        <v>453</v>
      </c>
      <c r="C17" t="s">
        <v>454</v>
      </c>
      <c r="D17" s="4" t="s">
        <v>22</v>
      </c>
      <c r="G17">
        <v>65</v>
      </c>
    </row>
    <row r="18" spans="1:7" ht="15" x14ac:dyDescent="0.2">
      <c r="A18">
        <v>16</v>
      </c>
      <c r="B18" s="1" t="s">
        <v>3483</v>
      </c>
      <c r="C18" t="s">
        <v>3616</v>
      </c>
      <c r="D18" s="4" t="s">
        <v>22</v>
      </c>
      <c r="E18" s="4" t="s">
        <v>22</v>
      </c>
      <c r="G18">
        <v>9</v>
      </c>
    </row>
    <row r="19" spans="1:7" ht="15" x14ac:dyDescent="0.2">
      <c r="A19">
        <v>17</v>
      </c>
      <c r="B19" s="1" t="s">
        <v>455</v>
      </c>
      <c r="C19" t="s">
        <v>456</v>
      </c>
      <c r="D19" s="4" t="s">
        <v>22</v>
      </c>
      <c r="G19">
        <v>11</v>
      </c>
    </row>
    <row r="20" spans="1:7" ht="15" x14ac:dyDescent="0.2">
      <c r="A20">
        <v>18</v>
      </c>
      <c r="B20" s="1" t="s">
        <v>457</v>
      </c>
      <c r="C20" t="s">
        <v>458</v>
      </c>
      <c r="D20" s="4" t="s">
        <v>22</v>
      </c>
      <c r="E20" s="4" t="s">
        <v>22</v>
      </c>
      <c r="G20">
        <v>7</v>
      </c>
    </row>
    <row r="21" spans="1:7" ht="15" x14ac:dyDescent="0.2">
      <c r="A21">
        <v>19</v>
      </c>
      <c r="B21" s="1" t="s">
        <v>3205</v>
      </c>
      <c r="C21" t="s">
        <v>3617</v>
      </c>
      <c r="D21" s="4" t="s">
        <v>22</v>
      </c>
      <c r="E21" s="4" t="s">
        <v>22</v>
      </c>
      <c r="F21" s="4" t="b">
        <v>0</v>
      </c>
      <c r="G21">
        <v>17</v>
      </c>
    </row>
    <row r="22" spans="1:7" ht="15" x14ac:dyDescent="0.2">
      <c r="A22">
        <v>20</v>
      </c>
      <c r="B22" s="1" t="s">
        <v>459</v>
      </c>
      <c r="C22" t="s">
        <v>464</v>
      </c>
      <c r="D22" s="4" t="s">
        <v>22</v>
      </c>
      <c r="F22" s="4">
        <v>-1</v>
      </c>
      <c r="G22">
        <v>2</v>
      </c>
    </row>
    <row r="23" spans="1:7" ht="15" x14ac:dyDescent="0.2">
      <c r="A23">
        <v>21</v>
      </c>
      <c r="B23" s="1" t="s">
        <v>3866</v>
      </c>
      <c r="C23" t="s">
        <v>3655</v>
      </c>
      <c r="D23" s="4" t="s">
        <v>22</v>
      </c>
      <c r="E23" s="4" t="s">
        <v>22</v>
      </c>
      <c r="G23">
        <v>60</v>
      </c>
    </row>
    <row r="24" spans="1:7" ht="15" x14ac:dyDescent="0.2">
      <c r="A24">
        <v>22</v>
      </c>
      <c r="B24" s="1" t="s">
        <v>3654</v>
      </c>
      <c r="C24" t="s">
        <v>3656</v>
      </c>
      <c r="D24" s="4" t="s">
        <v>22</v>
      </c>
      <c r="E24" s="4" t="s">
        <v>22</v>
      </c>
      <c r="F24" s="4" t="b">
        <v>0</v>
      </c>
      <c r="G24">
        <v>18</v>
      </c>
    </row>
    <row r="25" spans="1:7" ht="15" x14ac:dyDescent="0.2">
      <c r="A25">
        <v>23</v>
      </c>
      <c r="B25" s="1" t="s">
        <v>3479</v>
      </c>
      <c r="C25" t="s">
        <v>3481</v>
      </c>
      <c r="D25" s="4" t="s">
        <v>22</v>
      </c>
      <c r="E25" s="4" t="s">
        <v>22</v>
      </c>
      <c r="G25">
        <v>62</v>
      </c>
    </row>
    <row r="26" spans="1:7" ht="15" x14ac:dyDescent="0.2">
      <c r="A26">
        <v>24</v>
      </c>
      <c r="B26" s="6" t="s">
        <v>467</v>
      </c>
      <c r="C26" t="s">
        <v>474</v>
      </c>
      <c r="G26">
        <v>5</v>
      </c>
    </row>
    <row r="27" spans="1:7" ht="15" x14ac:dyDescent="0.2">
      <c r="A27">
        <v>25</v>
      </c>
      <c r="B27" s="6" t="s">
        <v>470</v>
      </c>
      <c r="C27" t="s">
        <v>475</v>
      </c>
      <c r="G27">
        <v>6</v>
      </c>
    </row>
    <row r="28" spans="1:7" ht="15" x14ac:dyDescent="0.2">
      <c r="A28">
        <v>26</v>
      </c>
      <c r="B28" s="6" t="s">
        <v>468</v>
      </c>
      <c r="C28" t="s">
        <v>476</v>
      </c>
      <c r="G28">
        <v>22</v>
      </c>
    </row>
    <row r="29" spans="1:7" ht="15" x14ac:dyDescent="0.2">
      <c r="A29">
        <v>27</v>
      </c>
      <c r="B29" s="6" t="s">
        <v>481</v>
      </c>
      <c r="C29" t="s">
        <v>482</v>
      </c>
      <c r="G29">
        <v>23</v>
      </c>
    </row>
    <row r="30" spans="1:7" ht="15" x14ac:dyDescent="0.2">
      <c r="A30">
        <v>28</v>
      </c>
      <c r="B30" s="6" t="s">
        <v>471</v>
      </c>
      <c r="C30" t="s">
        <v>477</v>
      </c>
      <c r="G30">
        <v>24</v>
      </c>
    </row>
    <row r="31" spans="1:7" ht="15" x14ac:dyDescent="0.2">
      <c r="A31">
        <v>29</v>
      </c>
      <c r="B31" s="6" t="s">
        <v>483</v>
      </c>
      <c r="C31" t="s">
        <v>484</v>
      </c>
      <c r="G31">
        <v>25</v>
      </c>
    </row>
    <row r="32" spans="1:7" ht="15" x14ac:dyDescent="0.2">
      <c r="A32">
        <v>30</v>
      </c>
      <c r="B32" s="6" t="s">
        <v>469</v>
      </c>
      <c r="C32" t="s">
        <v>478</v>
      </c>
      <c r="G32">
        <v>27</v>
      </c>
    </row>
    <row r="33" spans="1:7" ht="15" x14ac:dyDescent="0.2">
      <c r="A33">
        <v>31</v>
      </c>
      <c r="B33" s="6" t="s">
        <v>485</v>
      </c>
      <c r="C33" t="s">
        <v>487</v>
      </c>
      <c r="G33">
        <v>28</v>
      </c>
    </row>
    <row r="34" spans="1:7" ht="15" x14ac:dyDescent="0.2">
      <c r="A34">
        <v>32</v>
      </c>
      <c r="B34" s="6" t="s">
        <v>472</v>
      </c>
      <c r="C34" t="s">
        <v>473</v>
      </c>
      <c r="G34">
        <v>29</v>
      </c>
    </row>
    <row r="35" spans="1:7" ht="15" x14ac:dyDescent="0.2">
      <c r="A35">
        <v>33</v>
      </c>
      <c r="B35" s="6" t="s">
        <v>486</v>
      </c>
      <c r="C35" t="s">
        <v>488</v>
      </c>
      <c r="G35">
        <v>30</v>
      </c>
    </row>
    <row r="36" spans="1:7" ht="15" x14ac:dyDescent="0.2">
      <c r="A36">
        <v>34</v>
      </c>
      <c r="B36" s="6" t="s">
        <v>3445</v>
      </c>
      <c r="C36" t="s">
        <v>3461</v>
      </c>
      <c r="G36">
        <v>32</v>
      </c>
    </row>
    <row r="37" spans="1:7" ht="15" x14ac:dyDescent="0.2">
      <c r="A37">
        <v>35</v>
      </c>
      <c r="B37" s="6" t="s">
        <v>3446</v>
      </c>
      <c r="C37" t="s">
        <v>3462</v>
      </c>
      <c r="G37">
        <v>33</v>
      </c>
    </row>
    <row r="38" spans="1:7" ht="15" x14ac:dyDescent="0.2">
      <c r="A38">
        <v>36</v>
      </c>
      <c r="B38" s="6" t="s">
        <v>3447</v>
      </c>
      <c r="C38" t="s">
        <v>3463</v>
      </c>
      <c r="G38">
        <v>34</v>
      </c>
    </row>
    <row r="39" spans="1:7" ht="15" x14ac:dyDescent="0.2">
      <c r="A39">
        <v>37</v>
      </c>
      <c r="B39" s="6" t="s">
        <v>3448</v>
      </c>
      <c r="C39" t="s">
        <v>3464</v>
      </c>
      <c r="G39">
        <v>35</v>
      </c>
    </row>
    <row r="40" spans="1:7" ht="15" x14ac:dyDescent="0.2">
      <c r="A40">
        <v>38</v>
      </c>
      <c r="B40" s="6" t="s">
        <v>3449</v>
      </c>
      <c r="C40" t="s">
        <v>3465</v>
      </c>
      <c r="G40">
        <v>37</v>
      </c>
    </row>
    <row r="41" spans="1:7" ht="15" x14ac:dyDescent="0.2">
      <c r="A41">
        <v>39</v>
      </c>
      <c r="B41" s="6" t="s">
        <v>3450</v>
      </c>
      <c r="C41" t="s">
        <v>3466</v>
      </c>
      <c r="G41">
        <v>38</v>
      </c>
    </row>
    <row r="42" spans="1:7" ht="15" x14ac:dyDescent="0.2">
      <c r="A42">
        <v>40</v>
      </c>
      <c r="B42" s="6" t="s">
        <v>3451</v>
      </c>
      <c r="C42" t="s">
        <v>3467</v>
      </c>
      <c r="G42">
        <v>39</v>
      </c>
    </row>
    <row r="43" spans="1:7" ht="15" x14ac:dyDescent="0.2">
      <c r="A43">
        <v>41</v>
      </c>
      <c r="B43" s="6" t="s">
        <v>3452</v>
      </c>
      <c r="C43" t="s">
        <v>3468</v>
      </c>
      <c r="G43">
        <v>40</v>
      </c>
    </row>
    <row r="44" spans="1:7" ht="15" x14ac:dyDescent="0.2">
      <c r="A44">
        <v>42</v>
      </c>
      <c r="B44" s="6" t="s">
        <v>3453</v>
      </c>
      <c r="C44" t="s">
        <v>3469</v>
      </c>
      <c r="G44">
        <v>42</v>
      </c>
    </row>
    <row r="45" spans="1:7" ht="15" x14ac:dyDescent="0.2">
      <c r="A45">
        <v>43</v>
      </c>
      <c r="B45" s="6" t="s">
        <v>3454</v>
      </c>
      <c r="C45" t="s">
        <v>3470</v>
      </c>
      <c r="G45">
        <v>43</v>
      </c>
    </row>
    <row r="46" spans="1:7" ht="15" x14ac:dyDescent="0.2">
      <c r="A46">
        <v>44</v>
      </c>
      <c r="B46" s="6" t="s">
        <v>3455</v>
      </c>
      <c r="C46" t="s">
        <v>3471</v>
      </c>
      <c r="G46">
        <v>44</v>
      </c>
    </row>
    <row r="47" spans="1:7" ht="15" x14ac:dyDescent="0.2">
      <c r="A47">
        <v>45</v>
      </c>
      <c r="B47" s="6" t="s">
        <v>3456</v>
      </c>
      <c r="C47" t="s">
        <v>3472</v>
      </c>
      <c r="G47">
        <v>45</v>
      </c>
    </row>
    <row r="48" spans="1:7" ht="15" x14ac:dyDescent="0.2">
      <c r="A48">
        <v>46</v>
      </c>
      <c r="B48" s="6" t="s">
        <v>3457</v>
      </c>
      <c r="C48" t="s">
        <v>3473</v>
      </c>
      <c r="G48">
        <v>47</v>
      </c>
    </row>
    <row r="49" spans="1:7" ht="15" x14ac:dyDescent="0.2">
      <c r="A49">
        <v>47</v>
      </c>
      <c r="B49" s="6" t="s">
        <v>3458</v>
      </c>
      <c r="C49" t="s">
        <v>3474</v>
      </c>
      <c r="G49">
        <v>48</v>
      </c>
    </row>
    <row r="50" spans="1:7" ht="15" x14ac:dyDescent="0.2">
      <c r="A50">
        <v>48</v>
      </c>
      <c r="B50" s="6" t="s">
        <v>3459</v>
      </c>
      <c r="C50" t="s">
        <v>3475</v>
      </c>
      <c r="G50">
        <v>49</v>
      </c>
    </row>
    <row r="51" spans="1:7" ht="15" x14ac:dyDescent="0.2">
      <c r="A51">
        <v>49</v>
      </c>
      <c r="B51" s="6" t="s">
        <v>3460</v>
      </c>
      <c r="C51" t="s">
        <v>3476</v>
      </c>
      <c r="G51">
        <v>50</v>
      </c>
    </row>
    <row r="52" spans="1:7" ht="15" x14ac:dyDescent="0.2">
      <c r="A52">
        <v>50</v>
      </c>
      <c r="B52" s="6" t="s">
        <v>462</v>
      </c>
      <c r="C52" t="s">
        <v>463</v>
      </c>
      <c r="G52">
        <v>12</v>
      </c>
    </row>
    <row r="53" spans="1:7" ht="15" x14ac:dyDescent="0.2">
      <c r="A53">
        <v>51</v>
      </c>
      <c r="B53" s="6" t="s">
        <v>460</v>
      </c>
      <c r="C53" t="s">
        <v>461</v>
      </c>
      <c r="E53" s="4" t="s">
        <v>22</v>
      </c>
      <c r="G53">
        <v>8</v>
      </c>
    </row>
    <row r="54" spans="1:7" ht="15" x14ac:dyDescent="0.2">
      <c r="A54">
        <v>52</v>
      </c>
      <c r="B54" s="6" t="s">
        <v>479</v>
      </c>
      <c r="C54" t="s">
        <v>480</v>
      </c>
      <c r="D54" s="4" t="s">
        <v>22</v>
      </c>
      <c r="G54">
        <v>57</v>
      </c>
    </row>
    <row r="55" spans="1:7" ht="15" x14ac:dyDescent="0.2">
      <c r="A55">
        <v>53</v>
      </c>
      <c r="B55" s="6" t="s">
        <v>3868</v>
      </c>
      <c r="C55" t="s">
        <v>3207</v>
      </c>
      <c r="D55" s="4" t="s">
        <v>22</v>
      </c>
      <c r="G55">
        <v>59</v>
      </c>
    </row>
    <row r="56" spans="1:7" ht="15" x14ac:dyDescent="0.2">
      <c r="A56">
        <v>54</v>
      </c>
      <c r="B56" s="1" t="s">
        <v>3485</v>
      </c>
      <c r="C56" t="s">
        <v>3484</v>
      </c>
      <c r="D56" s="4" t="s">
        <v>22</v>
      </c>
      <c r="G56">
        <v>10</v>
      </c>
    </row>
    <row r="57" spans="1:7" ht="15" x14ac:dyDescent="0.2">
      <c r="A57">
        <v>55</v>
      </c>
      <c r="B57" s="1" t="s">
        <v>3480</v>
      </c>
      <c r="C57" t="s">
        <v>3186</v>
      </c>
      <c r="D57" s="4" t="s">
        <v>22</v>
      </c>
      <c r="G57">
        <v>63</v>
      </c>
    </row>
    <row r="58" spans="1:7" ht="15" x14ac:dyDescent="0.2">
      <c r="A58" s="7">
        <v>56</v>
      </c>
      <c r="B58" s="8" t="s">
        <v>3664</v>
      </c>
      <c r="C58" s="7"/>
      <c r="D58" s="4" t="s">
        <v>22</v>
      </c>
      <c r="G58">
        <v>13</v>
      </c>
    </row>
    <row r="59" spans="1:7" ht="15" x14ac:dyDescent="0.2">
      <c r="A59" s="7">
        <v>57</v>
      </c>
      <c r="B59" s="8" t="s">
        <v>3665</v>
      </c>
      <c r="C59" s="7" t="s">
        <v>3677</v>
      </c>
      <c r="D59" s="4" t="s">
        <v>22</v>
      </c>
      <c r="G59">
        <v>14</v>
      </c>
    </row>
    <row r="60" spans="1:7" ht="15" x14ac:dyDescent="0.2">
      <c r="A60" s="7">
        <v>58</v>
      </c>
      <c r="B60" s="8" t="s">
        <v>3666</v>
      </c>
      <c r="C60" s="7" t="s">
        <v>3672</v>
      </c>
    </row>
    <row r="61" spans="1:7" ht="15" x14ac:dyDescent="0.2">
      <c r="A61" s="7">
        <v>59</v>
      </c>
      <c r="B61" s="8" t="s">
        <v>3667</v>
      </c>
      <c r="C61" s="7" t="s">
        <v>3673</v>
      </c>
      <c r="D61" s="4" t="s">
        <v>22</v>
      </c>
      <c r="G61">
        <v>51</v>
      </c>
    </row>
    <row r="62" spans="1:7" ht="15" x14ac:dyDescent="0.2">
      <c r="A62" s="7">
        <v>60</v>
      </c>
      <c r="B62" s="8" t="s">
        <v>3668</v>
      </c>
      <c r="C62" s="7" t="s">
        <v>3675</v>
      </c>
      <c r="D62" s="4" t="s">
        <v>22</v>
      </c>
    </row>
    <row r="63" spans="1:7" ht="15" x14ac:dyDescent="0.2">
      <c r="A63" s="7">
        <v>61</v>
      </c>
      <c r="B63" s="8" t="s">
        <v>3669</v>
      </c>
      <c r="C63" s="7"/>
      <c r="D63" s="4" t="s">
        <v>22</v>
      </c>
      <c r="E63" s="4" t="s">
        <v>22</v>
      </c>
      <c r="F63" s="4" t="b">
        <v>0</v>
      </c>
      <c r="G63">
        <v>19</v>
      </c>
    </row>
    <row r="64" spans="1:7" ht="15" x14ac:dyDescent="0.2">
      <c r="A64" s="7">
        <v>62</v>
      </c>
      <c r="B64" s="8" t="s">
        <v>3670</v>
      </c>
      <c r="C64" s="7" t="s">
        <v>3694</v>
      </c>
    </row>
    <row r="65" spans="1:7" ht="15" x14ac:dyDescent="0.2">
      <c r="A65" s="7">
        <v>63</v>
      </c>
      <c r="B65" s="8" t="s">
        <v>3671</v>
      </c>
      <c r="C65" s="7" t="s">
        <v>3719</v>
      </c>
      <c r="D65" s="4" t="s">
        <v>22</v>
      </c>
      <c r="G65">
        <v>61</v>
      </c>
    </row>
    <row r="66" spans="1:7" ht="15" x14ac:dyDescent="0.2">
      <c r="A66" s="7">
        <v>64</v>
      </c>
      <c r="B66" s="8" t="s">
        <v>3720</v>
      </c>
      <c r="C66" s="7"/>
      <c r="D66" s="4" t="s">
        <v>22</v>
      </c>
      <c r="F66" s="4" t="b">
        <v>0</v>
      </c>
      <c r="G66">
        <v>20</v>
      </c>
    </row>
    <row r="67" spans="1:7" ht="15" x14ac:dyDescent="0.2">
      <c r="A67" s="7">
        <v>65</v>
      </c>
      <c r="B67" s="21" t="s">
        <v>3678</v>
      </c>
      <c r="C67" s="7" t="s">
        <v>3680</v>
      </c>
    </row>
    <row r="68" spans="1:7" ht="15" x14ac:dyDescent="0.2">
      <c r="A68" s="7">
        <v>66</v>
      </c>
      <c r="B68" s="21" t="s">
        <v>3679</v>
      </c>
      <c r="C68" s="7" t="s">
        <v>3681</v>
      </c>
    </row>
    <row r="69" spans="1:7" ht="15" x14ac:dyDescent="0.2">
      <c r="A69" s="7">
        <v>67</v>
      </c>
      <c r="B69" s="21" t="s">
        <v>3682</v>
      </c>
      <c r="C69" s="7" t="s">
        <v>3685</v>
      </c>
      <c r="G69">
        <v>52</v>
      </c>
    </row>
    <row r="70" spans="1:7" ht="15" x14ac:dyDescent="0.2">
      <c r="A70" s="7">
        <v>68</v>
      </c>
      <c r="B70" s="21" t="s">
        <v>3683</v>
      </c>
      <c r="C70" s="7" t="s">
        <v>3687</v>
      </c>
      <c r="G70">
        <v>53</v>
      </c>
    </row>
    <row r="71" spans="1:7" ht="15" x14ac:dyDescent="0.2">
      <c r="A71" s="7">
        <v>69</v>
      </c>
      <c r="B71" s="21" t="s">
        <v>3688</v>
      </c>
      <c r="C71" s="7" t="s">
        <v>3691</v>
      </c>
      <c r="G71">
        <v>54</v>
      </c>
    </row>
    <row r="72" spans="1:7" ht="15" x14ac:dyDescent="0.2">
      <c r="A72" s="7">
        <v>70</v>
      </c>
      <c r="B72" s="21" t="s">
        <v>3689</v>
      </c>
      <c r="C72" s="7" t="s">
        <v>3693</v>
      </c>
      <c r="G72">
        <v>55</v>
      </c>
    </row>
  </sheetData>
  <sortState xmlns:xlrd2="http://schemas.microsoft.com/office/spreadsheetml/2017/richdata2" ref="A2:G72">
    <sortCondition ref="A1:A72"/>
  </sortState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55FC-26A9-4869-A0C1-950FCC7DF8BC}">
  <sheetPr codeName="Sheet19"/>
  <dimension ref="A1:G72"/>
  <sheetViews>
    <sheetView workbookViewId="0">
      <selection activeCell="B23" sqref="B23"/>
    </sheetView>
  </sheetViews>
  <sheetFormatPr defaultRowHeight="14.25" x14ac:dyDescent="0.2"/>
  <cols>
    <col min="2" max="2" width="53.875" bestFit="1" customWidth="1"/>
    <col min="3" max="3" width="43" bestFit="1" customWidth="1"/>
    <col min="4" max="4" width="14.375" style="4" bestFit="1" customWidth="1"/>
    <col min="5" max="6" width="9" style="4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3477</v>
      </c>
      <c r="G1" t="s">
        <v>21</v>
      </c>
    </row>
    <row r="2" spans="1:7" ht="15" x14ac:dyDescent="0.2">
      <c r="A2">
        <v>0</v>
      </c>
      <c r="B2" s="1" t="s">
        <v>0</v>
      </c>
      <c r="C2" t="str">
        <f>_xlfn.LET(_xlpm.x,VLOOKUP($B2,augment_header!$B$2:$G$72,2,FALSE),IF(_xlpm.x="","",_xlpm.x))</f>
        <v>主键</v>
      </c>
      <c r="D2" s="4" t="str">
        <f>IF(VLOOKUP($B2,augment_header!$B$2:$G$72,3,FALSE)="√","√","")</f>
        <v>√</v>
      </c>
      <c r="E2" s="4" t="str">
        <f>IF(VLOOKUP($B2,augment_header!$B$2:$G$72,4,FALSE)="√","√","")</f>
        <v/>
      </c>
      <c r="F2" s="4" t="str">
        <f>_xlfn.LET(_xlpm.x,VLOOKUP($B2,augment_header!$B$2:$G$72,5,FALSE),IF(_xlpm.x="","",_xlpm.x))</f>
        <v/>
      </c>
      <c r="G2">
        <v>0</v>
      </c>
    </row>
    <row r="3" spans="1:7" ht="15" x14ac:dyDescent="0.2">
      <c r="A3">
        <v>1</v>
      </c>
      <c r="B3" s="1" t="s">
        <v>437</v>
      </c>
      <c r="C3" t="str">
        <f>_xlfn.LET(_xlpm.x,VLOOKUP($B3,augment_header!$B$2:$G$72,2,FALSE),IF(_xlpm.x="","",_xlpm.x))</f>
        <v>强化符文代码</v>
      </c>
      <c r="D3" s="4" t="str">
        <f>IF(VLOOKUP($B3,augment_header!$B$2:$G$72,3,FALSE)="√","√","")</f>
        <v>√</v>
      </c>
      <c r="E3" s="4" t="str">
        <f>IF(VLOOKUP($B3,augment_header!$B$2:$G$72,4,FALSE)="√","√","")</f>
        <v/>
      </c>
      <c r="F3" s="4" t="str">
        <f>_xlfn.LET(_xlpm.x,VLOOKUP($B3,augment_header!$B$2:$G$72,5,FALSE),IF(_xlpm.x="","",_xlpm.x))</f>
        <v/>
      </c>
      <c r="G3">
        <v>1</v>
      </c>
    </row>
    <row r="4" spans="1:7" ht="15" x14ac:dyDescent="0.2">
      <c r="A4">
        <v>2</v>
      </c>
      <c r="B4" s="1" t="s">
        <v>447</v>
      </c>
      <c r="C4" t="str">
        <f>_xlfn.LET(_xlpm.x,VLOOKUP($B4,augment_header!$B$2:$G$72,2,FALSE),IF(_xlpm.x="","",_xlpm.x))</f>
        <v>可用性</v>
      </c>
      <c r="D4" s="4" t="str">
        <f>IF(VLOOKUP($B4,augment_header!$B$2:$G$72,3,FALSE)="√","√","")</f>
        <v>√</v>
      </c>
      <c r="E4" s="4" t="str">
        <f>IF(VLOOKUP($B4,augment_header!$B$2:$G$72,4,FALSE)="√","√","")</f>
        <v>√</v>
      </c>
      <c r="F4" s="4" t="b">
        <f>_xlfn.LET(_xlpm.x,VLOOKUP($B4,augment_header!$B$2:$G$72,5,FALSE),IF(_xlpm.x="","",_xlpm.x))</f>
        <v>1</v>
      </c>
      <c r="G4">
        <v>3</v>
      </c>
    </row>
    <row r="5" spans="1:7" ht="15" x14ac:dyDescent="0.2">
      <c r="A5">
        <v>3</v>
      </c>
      <c r="B5" s="1" t="s">
        <v>439</v>
      </c>
      <c r="C5" t="str">
        <f>_xlfn.LET(_xlpm.x,VLOOKUP($B5,augment_header!$B$2:$G$72,2,FALSE),IF(_xlpm.x="","",_xlpm.x))</f>
        <v>名称键</v>
      </c>
      <c r="D5" s="4" t="str">
        <f>IF(VLOOKUP($B5,augment_header!$B$2:$G$72,3,FALSE)="√","√","")</f>
        <v>√</v>
      </c>
      <c r="E5" s="4" t="str">
        <f>IF(VLOOKUP($B5,augment_header!$B$2:$G$72,4,FALSE)="√","√","")</f>
        <v/>
      </c>
      <c r="F5" s="4" t="str">
        <f>_xlfn.LET(_xlpm.x,VLOOKUP($B5,augment_header!$B$2:$G$72,5,FALSE),IF(_xlpm.x="","",_xlpm.x))</f>
        <v/>
      </c>
      <c r="G5">
        <v>4</v>
      </c>
    </row>
    <row r="6" spans="1:7" ht="15" x14ac:dyDescent="0.2">
      <c r="A6">
        <v>4</v>
      </c>
      <c r="B6" s="1" t="s">
        <v>440</v>
      </c>
      <c r="C6" t="str">
        <f>_xlfn.LET(_xlpm.x,VLOOKUP($B6,augment_header!$B$2:$G$72,2,FALSE),IF(_xlpm.x="","",_xlpm.x))</f>
        <v>简介键</v>
      </c>
      <c r="D6" s="4" t="str">
        <f>IF(VLOOKUP($B6,augment_header!$B$2:$G$72,3,FALSE)="√","√","")</f>
        <v>√</v>
      </c>
      <c r="E6" s="4" t="str">
        <f>IF(VLOOKUP($B6,augment_header!$B$2:$G$72,4,FALSE)="√","√","")</f>
        <v/>
      </c>
      <c r="F6" s="4" t="str">
        <f>_xlfn.LET(_xlpm.x,VLOOKUP($B6,augment_header!$B$2:$G$72,5,FALSE),IF(_xlpm.x="","",_xlpm.x))</f>
        <v/>
      </c>
      <c r="G6">
        <v>16</v>
      </c>
    </row>
    <row r="7" spans="1:7" ht="15" x14ac:dyDescent="0.2">
      <c r="A7">
        <v>5</v>
      </c>
      <c r="B7" s="1" t="s">
        <v>441</v>
      </c>
      <c r="C7" t="str">
        <f>_xlfn.LET(_xlpm.x,VLOOKUP($B7,augment_header!$B$2:$G$72,2,FALSE),IF(_xlpm.x="","",_xlpm.x))</f>
        <v>强化符文详细信息键</v>
      </c>
      <c r="D7" s="4" t="str">
        <f>IF(VLOOKUP($B7,augment_header!$B$2:$G$72,3,FALSE)="√","√","")</f>
        <v>√</v>
      </c>
      <c r="E7" s="4" t="str">
        <f>IF(VLOOKUP($B7,augment_header!$B$2:$G$72,4,FALSE)="√","√","")</f>
        <v/>
      </c>
      <c r="F7" s="4" t="str">
        <f>_xlfn.LET(_xlpm.x,VLOOKUP($B7,augment_header!$B$2:$G$72,5,FALSE),IF(_xlpm.x="","",_xlpm.x))</f>
        <v/>
      </c>
      <c r="G7">
        <v>21</v>
      </c>
    </row>
    <row r="8" spans="1:7" ht="15" x14ac:dyDescent="0.2">
      <c r="A8">
        <v>6</v>
      </c>
      <c r="B8" s="1" t="s">
        <v>445</v>
      </c>
      <c r="C8" t="str">
        <f>_xlfn.LET(_xlpm.x,VLOOKUP($B8,augment_header!$B$2:$G$72,2,FALSE),IF(_xlpm.x="","",_xlpm.x))</f>
        <v>根指令主键</v>
      </c>
      <c r="D8" s="4" t="str">
        <f>IF(VLOOKUP($B8,augment_header!$B$2:$G$72,3,FALSE)="√","√","")</f>
        <v>√</v>
      </c>
      <c r="E8" s="4" t="str">
        <f>IF(VLOOKUP($B8,augment_header!$B$2:$G$72,4,FALSE)="√","√","")</f>
        <v/>
      </c>
      <c r="F8" s="4" t="str">
        <f>_xlfn.LET(_xlpm.x,VLOOKUP($B8,augment_header!$B$2:$G$72,5,FALSE),IF(_xlpm.x="","",_xlpm.x))</f>
        <v/>
      </c>
      <c r="G8">
        <v>46</v>
      </c>
    </row>
    <row r="9" spans="1:7" ht="15" x14ac:dyDescent="0.2">
      <c r="A9">
        <v>7</v>
      </c>
      <c r="B9" s="1" t="s">
        <v>3867</v>
      </c>
      <c r="C9" t="str">
        <f>_xlfn.LET(_xlpm.x,VLOOKUP($B9,augment_header!$B$2:$G$72,2,FALSE),IF(_xlpm.x="","",_xlpm.x))</f>
        <v>其它指令主键列表</v>
      </c>
      <c r="D9" s="4" t="str">
        <f>IF(VLOOKUP($B9,augment_header!$B$2:$G$72,3,FALSE)="√","√","")</f>
        <v>√</v>
      </c>
      <c r="E9" s="4" t="str">
        <f>IF(VLOOKUP($B9,augment_header!$B$2:$G$72,4,FALSE)="√","√","")</f>
        <v/>
      </c>
      <c r="F9" s="4" t="str">
        <f>_xlfn.LET(_xlpm.x,VLOOKUP($B9,augment_header!$B$2:$G$72,5,FALSE),IF(_xlpm.x="","",_xlpm.x))</f>
        <v/>
      </c>
    </row>
    <row r="10" spans="1:7" ht="15" x14ac:dyDescent="0.2">
      <c r="A10">
        <v>8</v>
      </c>
      <c r="B10" s="1" t="s">
        <v>449</v>
      </c>
      <c r="C10" t="str">
        <f>_xlfn.LET(_xlpm.x,VLOOKUP($B10,augment_header!$B$2:$G$72,2,FALSE),IF(_xlpm.x="","",_xlpm.x))</f>
        <v>强化符文标签</v>
      </c>
      <c r="D10" s="4" t="str">
        <f>IF(VLOOKUP($B10,augment_header!$B$2:$G$72,3,FALSE)="√","√","")</f>
        <v>√</v>
      </c>
      <c r="E10" s="4" t="str">
        <f>IF(VLOOKUP($B10,augment_header!$B$2:$G$72,4,FALSE)="√","√","")</f>
        <v>√</v>
      </c>
      <c r="F10" s="4" t="str">
        <f>_xlfn.LET(_xlpm.x,VLOOKUP($B10,augment_header!$B$2:$G$72,5,FALSE),IF(_xlpm.x="","",_xlpm.x))</f>
        <v/>
      </c>
      <c r="G10">
        <v>13</v>
      </c>
    </row>
    <row r="11" spans="1:7" ht="15" x14ac:dyDescent="0.2">
      <c r="A11">
        <v>9</v>
      </c>
      <c r="B11" s="1" t="s">
        <v>451</v>
      </c>
      <c r="C11" t="str">
        <f>_xlfn.LET(_xlpm.x,VLOOKUP($B11,augment_header!$B$2:$G$72,2,FALSE),IF(_xlpm.x="","",_xlpm.x))</f>
        <v>构建标签</v>
      </c>
      <c r="D11" s="4" t="str">
        <f>IF(VLOOKUP($B11,augment_header!$B$2:$G$72,3,FALSE)="√","√","")</f>
        <v>√</v>
      </c>
      <c r="E11" s="4" t="str">
        <f>IF(VLOOKUP($B11,augment_header!$B$2:$G$72,4,FALSE)="√","√","")</f>
        <v>√</v>
      </c>
      <c r="F11" s="4" t="str">
        <f>_xlfn.LET(_xlpm.x,VLOOKUP($B11,augment_header!$B$2:$G$72,5,FALSE),IF(_xlpm.x="","",_xlpm.x))</f>
        <v/>
      </c>
      <c r="G11">
        <v>14</v>
      </c>
    </row>
    <row r="12" spans="1:7" ht="15" x14ac:dyDescent="0.2">
      <c r="A12">
        <v>10</v>
      </c>
      <c r="B12" s="1" t="s">
        <v>3437</v>
      </c>
      <c r="C12" t="str">
        <f>_xlfn.LET(_xlpm.x,VLOOKUP($B12,augment_header!$B$2:$G$72,2,FALSE),IF(_xlpm.x="","",_xlpm.x))</f>
        <v>强化符文详细信息描述部分键</v>
      </c>
      <c r="D12" s="4" t="str">
        <f>IF(VLOOKUP($B12,augment_header!$B$2:$G$72,3,FALSE)="√","√","")</f>
        <v>√</v>
      </c>
      <c r="E12" s="4" t="str">
        <f>IF(VLOOKUP($B12,augment_header!$B$2:$G$72,4,FALSE)="√","√","")</f>
        <v/>
      </c>
      <c r="F12" s="4" t="str">
        <f>_xlfn.LET(_xlpm.x,VLOOKUP($B12,augment_header!$B$2:$G$72,5,FALSE),IF(_xlpm.x="","",_xlpm.x))</f>
        <v/>
      </c>
      <c r="G12">
        <v>26</v>
      </c>
    </row>
    <row r="13" spans="1:7" ht="15" x14ac:dyDescent="0.2">
      <c r="A13">
        <v>11</v>
      </c>
      <c r="B13" s="1" t="s">
        <v>3438</v>
      </c>
      <c r="C13" t="str">
        <f>_xlfn.LET(_xlpm.x,VLOOKUP($B13,augment_header!$B$2:$G$72,2,FALSE),IF(_xlpm.x="","",_xlpm.x))</f>
        <v>强化符文详细信息追踪部分键</v>
      </c>
      <c r="D13" s="4" t="str">
        <f>IF(VLOOKUP($B13,augment_header!$B$2:$G$72,3,FALSE)="√","√","")</f>
        <v>√</v>
      </c>
      <c r="E13" s="4" t="str">
        <f>IF(VLOOKUP($B13,augment_header!$B$2:$G$72,4,FALSE)="√","√","")</f>
        <v>√</v>
      </c>
      <c r="F13" s="4" t="str">
        <f>_xlfn.LET(_xlpm.x,VLOOKUP($B13,augment_header!$B$2:$G$72,5,FALSE),IF(_xlpm.x="","",_xlpm.x))</f>
        <v/>
      </c>
      <c r="G13">
        <v>31</v>
      </c>
    </row>
    <row r="14" spans="1:7" ht="15" x14ac:dyDescent="0.2">
      <c r="A14">
        <v>12</v>
      </c>
      <c r="B14" s="1" t="s">
        <v>3439</v>
      </c>
      <c r="C14" t="str">
        <f>_xlfn.LET(_xlpm.x,VLOOKUP($B14,augment_header!$B$2:$G$72,2,FALSE),IF(_xlpm.x="","",_xlpm.x))</f>
        <v>满级效果简介键</v>
      </c>
      <c r="D14" s="4" t="str">
        <f>IF(VLOOKUP($B14,augment_header!$B$2:$G$72,3,FALSE)="√","√","")</f>
        <v>√</v>
      </c>
      <c r="E14" s="4" t="str">
        <f>IF(VLOOKUP($B14,augment_header!$B$2:$G$72,4,FALSE)="√","√","")</f>
        <v/>
      </c>
      <c r="F14" s="4" t="str">
        <f>_xlfn.LET(_xlpm.x,VLOOKUP($B14,augment_header!$B$2:$G$72,5,FALSE),IF(_xlpm.x="","",_xlpm.x))</f>
        <v/>
      </c>
      <c r="G14">
        <v>36</v>
      </c>
    </row>
    <row r="15" spans="1:7" ht="15" x14ac:dyDescent="0.2">
      <c r="A15">
        <v>13</v>
      </c>
      <c r="B15" s="1" t="s">
        <v>3440</v>
      </c>
      <c r="C15" t="str">
        <f>_xlfn.LET(_xlpm.x,VLOOKUP($B15,augment_header!$B$2:$G$72,2,FALSE),IF(_xlpm.x="","",_xlpm.x))</f>
        <v>满级效果详细信息键</v>
      </c>
      <c r="D15" s="4" t="str">
        <f>IF(VLOOKUP($B15,augment_header!$B$2:$G$72,3,FALSE)="√","√","")</f>
        <v>√</v>
      </c>
      <c r="E15" s="4" t="str">
        <f>IF(VLOOKUP($B15,augment_header!$B$2:$G$72,4,FALSE)="√","√","")</f>
        <v/>
      </c>
      <c r="F15" s="4" t="str">
        <f>_xlfn.LET(_xlpm.x,VLOOKUP($B15,augment_header!$B$2:$G$72,5,FALSE),IF(_xlpm.x="","",_xlpm.x))</f>
        <v/>
      </c>
      <c r="G15">
        <v>41</v>
      </c>
    </row>
    <row r="16" spans="1:7" ht="15" x14ac:dyDescent="0.2">
      <c r="A16">
        <v>14</v>
      </c>
      <c r="B16" s="1" t="s">
        <v>465</v>
      </c>
      <c r="C16" t="str">
        <f>_xlfn.LET(_xlpm.x,VLOOKUP($B16,augment_header!$B$2:$G$72,2,FALSE),IF(_xlpm.x="","",_xlpm.x))</f>
        <v>强化符文大图标路径</v>
      </c>
      <c r="D16" s="4" t="str">
        <f>IF(VLOOKUP($B16,augment_header!$B$2:$G$72,3,FALSE)="√","√","")</f>
        <v>√</v>
      </c>
      <c r="E16" s="4" t="str">
        <f>IF(VLOOKUP($B16,augment_header!$B$2:$G$72,4,FALSE)="√","√","")</f>
        <v/>
      </c>
      <c r="F16" s="4" t="str">
        <f>_xlfn.LET(_xlpm.x,VLOOKUP($B16,augment_header!$B$2:$G$72,5,FALSE),IF(_xlpm.x="","",_xlpm.x))</f>
        <v/>
      </c>
      <c r="G16">
        <v>48</v>
      </c>
    </row>
    <row r="17" spans="1:7" ht="15" x14ac:dyDescent="0.2">
      <c r="A17">
        <v>15</v>
      </c>
      <c r="B17" s="1" t="s">
        <v>453</v>
      </c>
      <c r="C17" t="str">
        <f>_xlfn.LET(_xlpm.x,VLOOKUP($B17,augment_header!$B$2:$G$72,2,FALSE),IF(_xlpm.x="","",_xlpm.x))</f>
        <v>强化符文小图标路径</v>
      </c>
      <c r="D17" s="4" t="str">
        <f>IF(VLOOKUP($B17,augment_header!$B$2:$G$72,3,FALSE)="√","√","")</f>
        <v>√</v>
      </c>
      <c r="E17" s="4" t="str">
        <f>IF(VLOOKUP($B17,augment_header!$B$2:$G$72,4,FALSE)="√","√","")</f>
        <v/>
      </c>
      <c r="F17" s="4" t="str">
        <f>_xlfn.LET(_xlpm.x,VLOOKUP($B17,augment_header!$B$2:$G$72,5,FALSE),IF(_xlpm.x="","",_xlpm.x))</f>
        <v/>
      </c>
      <c r="G17">
        <v>49</v>
      </c>
    </row>
    <row r="18" spans="1:7" ht="15" x14ac:dyDescent="0.2">
      <c r="A18">
        <v>16</v>
      </c>
      <c r="B18" s="1" t="s">
        <v>3483</v>
      </c>
      <c r="C18" t="str">
        <f>_xlfn.LET(_xlpm.x,VLOOKUP($B18,augment_header!$B$2:$G$72,2,FALSE),IF(_xlpm.x="","",_xlpm.x))</f>
        <v>次级稀有度</v>
      </c>
      <c r="D18" s="4" t="str">
        <f>IF(VLOOKUP($B18,augment_header!$B$2:$G$72,3,FALSE)="√","√","")</f>
        <v>√</v>
      </c>
      <c r="E18" s="4" t="str">
        <f>IF(VLOOKUP($B18,augment_header!$B$2:$G$72,4,FALSE)="√","√","")</f>
        <v>√</v>
      </c>
      <c r="F18" s="4" t="str">
        <f>_xlfn.LET(_xlpm.x,VLOOKUP($B18,augment_header!$B$2:$G$72,5,FALSE),IF(_xlpm.x="","",_xlpm.x))</f>
        <v/>
      </c>
      <c r="G18">
        <v>9</v>
      </c>
    </row>
    <row r="19" spans="1:7" ht="15" x14ac:dyDescent="0.2">
      <c r="A19">
        <v>17</v>
      </c>
      <c r="B19" s="1" t="s">
        <v>455</v>
      </c>
      <c r="C19" t="str">
        <f>_xlfn.LET(_xlpm.x,VLOOKUP($B19,augment_header!$B$2:$G$72,2,FALSE),IF(_xlpm.x="","",_xlpm.x))</f>
        <v>强化符文显示标签</v>
      </c>
      <c r="D19" s="4" t="str">
        <f>IF(VLOOKUP($B19,augment_header!$B$2:$G$72,3,FALSE)="√","√","")</f>
        <v>√</v>
      </c>
      <c r="E19" s="4" t="str">
        <f>IF(VLOOKUP($B19,augment_header!$B$2:$G$72,4,FALSE)="√","√","")</f>
        <v/>
      </c>
      <c r="F19" s="4" t="str">
        <f>_xlfn.LET(_xlpm.x,VLOOKUP($B19,augment_header!$B$2:$G$72,5,FALSE),IF(_xlpm.x="","",_xlpm.x))</f>
        <v/>
      </c>
      <c r="G19">
        <v>11</v>
      </c>
    </row>
    <row r="20" spans="1:7" ht="15" x14ac:dyDescent="0.2">
      <c r="A20">
        <v>18</v>
      </c>
      <c r="B20" s="1" t="s">
        <v>457</v>
      </c>
      <c r="C20" t="str">
        <f>_xlfn.LET(_xlpm.x,VLOOKUP($B20,augment_header!$B$2:$G$72,2,FALSE),IF(_xlpm.x="","",_xlpm.x))</f>
        <v>稀有度</v>
      </c>
      <c r="D20" s="4" t="str">
        <f>IF(VLOOKUP($B20,augment_header!$B$2:$G$72,3,FALSE)="√","√","")</f>
        <v>√</v>
      </c>
      <c r="E20" s="4" t="str">
        <f>IF(VLOOKUP($B20,augment_header!$B$2:$G$72,4,FALSE)="√","√","")</f>
        <v>√</v>
      </c>
      <c r="F20" s="4" t="str">
        <f>_xlfn.LET(_xlpm.x,VLOOKUP($B20,augment_header!$B$2:$G$72,5,FALSE),IF(_xlpm.x="","",_xlpm.x))</f>
        <v/>
      </c>
      <c r="G20">
        <v>7</v>
      </c>
    </row>
    <row r="21" spans="1:7" ht="15" x14ac:dyDescent="0.2">
      <c r="A21">
        <v>19</v>
      </c>
      <c r="B21" s="1" t="s">
        <v>3205</v>
      </c>
      <c r="C21" t="str">
        <f>_xlfn.LET(_xlpm.x,VLOOKUP($B21,augment_header!$B$2:$G$72,2,FALSE),IF(_xlpm.x="","",_xlpm.x))</f>
        <v>不占用栏位</v>
      </c>
      <c r="D21" s="4" t="str">
        <f>IF(VLOOKUP($B21,augment_header!$B$2:$G$72,3,FALSE)="√","√","")</f>
        <v>√</v>
      </c>
      <c r="E21" s="4" t="str">
        <f>IF(VLOOKUP($B21,augment_header!$B$2:$G$72,4,FALSE)="√","√","")</f>
        <v>√</v>
      </c>
      <c r="F21" s="4" t="b">
        <f>_xlfn.LET(_xlpm.x,VLOOKUP($B21,augment_header!$B$2:$G$72,5,FALSE),IF(_xlpm.x="","",_xlpm.x))</f>
        <v>0</v>
      </c>
      <c r="G21">
        <v>15</v>
      </c>
    </row>
    <row r="22" spans="1:7" ht="15" x14ac:dyDescent="0.2">
      <c r="A22">
        <v>20</v>
      </c>
      <c r="B22" s="1" t="s">
        <v>459</v>
      </c>
      <c r="C22" t="str">
        <f>_xlfn.LET(_xlpm.x,VLOOKUP($B22,augment_header!$B$2:$G$72,2,FALSE),IF(_xlpm.x="","",_xlpm.x))</f>
        <v>强化符文序号</v>
      </c>
      <c r="D22" s="4" t="str">
        <f>IF(VLOOKUP($B22,augment_header!$B$2:$G$72,3,FALSE)="√","√","")</f>
        <v>√</v>
      </c>
      <c r="E22" s="4" t="str">
        <f>IF(VLOOKUP($B22,augment_header!$B$2:$G$72,4,FALSE)="√","√","")</f>
        <v/>
      </c>
      <c r="F22" s="4">
        <f>_xlfn.LET(_xlpm.x,VLOOKUP($B22,augment_header!$B$2:$G$72,5,FALSE),IF(_xlpm.x="","",_xlpm.x))</f>
        <v>-1</v>
      </c>
      <c r="G22">
        <v>2</v>
      </c>
    </row>
    <row r="23" spans="1:7" ht="15" x14ac:dyDescent="0.2">
      <c r="A23">
        <v>21</v>
      </c>
      <c r="B23" s="1" t="s">
        <v>3866</v>
      </c>
      <c r="C23" t="str">
        <f>_xlfn.LET(_xlpm.x,VLOOKUP($B23,augment_header!$B$2:$G$72,2,FALSE),IF(_xlpm.x="","",_xlpm.x))</f>
        <v>任务线主键</v>
      </c>
      <c r="D23" s="4" t="str">
        <f>IF(VLOOKUP($B23,augment_header!$B$2:$G$72,3,FALSE)="√","√","")</f>
        <v>√</v>
      </c>
      <c r="E23" s="4" t="str">
        <f>IF(VLOOKUP($B23,augment_header!$B$2:$G$72,4,FALSE)="√","√","")</f>
        <v>√</v>
      </c>
      <c r="F23" s="4" t="str">
        <f>_xlfn.LET(_xlpm.x,VLOOKUP($B23,augment_header!$B$2:$G$72,5,FALSE),IF(_xlpm.x="","",_xlpm.x))</f>
        <v/>
      </c>
    </row>
    <row r="24" spans="1:7" ht="15" x14ac:dyDescent="0.2">
      <c r="A24">
        <v>22</v>
      </c>
      <c r="B24" s="1" t="s">
        <v>3654</v>
      </c>
      <c r="C24" t="str">
        <f>_xlfn.LET(_xlpm.x,VLOOKUP($B24,augment_header!$B$2:$G$72,2,FALSE),IF(_xlpm.x="","",_xlpm.x))</f>
        <v>技能重载</v>
      </c>
      <c r="D24" s="4" t="str">
        <f>IF(VLOOKUP($B24,augment_header!$B$2:$G$72,3,FALSE)="√","√","")</f>
        <v>√</v>
      </c>
      <c r="E24" s="4" t="str">
        <f>IF(VLOOKUP($B24,augment_header!$B$2:$G$72,4,FALSE)="√","√","")</f>
        <v>√</v>
      </c>
      <c r="F24" s="4" t="b">
        <f>_xlfn.LET(_xlpm.x,VLOOKUP($B24,augment_header!$B$2:$G$72,5,FALSE),IF(_xlpm.x="","",_xlpm.x))</f>
        <v>0</v>
      </c>
    </row>
    <row r="25" spans="1:7" ht="15" x14ac:dyDescent="0.2">
      <c r="A25">
        <v>23</v>
      </c>
      <c r="B25" s="1" t="s">
        <v>3479</v>
      </c>
      <c r="C25" t="str">
        <f>_xlfn.LET(_xlpm.x,VLOOKUP($B25,augment_header!$B$2:$G$72,2,FALSE),IF(_xlpm.x="","",_xlpm.x))</f>
        <v>资源解析器主键</v>
      </c>
      <c r="D25" s="4" t="str">
        <f>IF(VLOOKUP($B25,augment_header!$B$2:$G$72,3,FALSE)="√","√","")</f>
        <v>√</v>
      </c>
      <c r="E25" s="4" t="str">
        <f>IF(VLOOKUP($B25,augment_header!$B$2:$G$72,4,FALSE)="√","√","")</f>
        <v>√</v>
      </c>
      <c r="F25" s="4" t="str">
        <f>_xlfn.LET(_xlpm.x,VLOOKUP($B25,augment_header!$B$2:$G$72,5,FALSE),IF(_xlpm.x="","",_xlpm.x))</f>
        <v/>
      </c>
    </row>
    <row r="26" spans="1:7" ht="15" x14ac:dyDescent="0.2">
      <c r="A26">
        <v>24</v>
      </c>
      <c r="B26" s="6" t="s">
        <v>467</v>
      </c>
      <c r="C26" t="str">
        <f>_xlfn.LET(_xlpm.x,VLOOKUP($B26,augment_header!$B$2:$G$72,2,FALSE),IF(_xlpm.x="","",_xlpm.x))</f>
        <v>名称（中文）</v>
      </c>
      <c r="D26" s="4" t="str">
        <f>IF(VLOOKUP($B26,augment_header!$B$2:$G$72,3,FALSE)="√","√","")</f>
        <v/>
      </c>
      <c r="E26" s="4" t="str">
        <f>IF(VLOOKUP($B26,augment_header!$B$2:$G$72,4,FALSE)="√","√","")</f>
        <v/>
      </c>
      <c r="F26" s="4" t="str">
        <f>_xlfn.LET(_xlpm.x,VLOOKUP($B26,augment_header!$B$2:$G$72,5,FALSE),IF(_xlpm.x="","",_xlpm.x))</f>
        <v/>
      </c>
      <c r="G26">
        <v>5</v>
      </c>
    </row>
    <row r="27" spans="1:7" ht="15" x14ac:dyDescent="0.2">
      <c r="A27">
        <v>25</v>
      </c>
      <c r="B27" s="6" t="s">
        <v>470</v>
      </c>
      <c r="C27" t="str">
        <f>_xlfn.LET(_xlpm.x,VLOOKUP($B27,augment_header!$B$2:$G$72,2,FALSE),IF(_xlpm.x="","",_xlpm.x))</f>
        <v>名称（英文）</v>
      </c>
      <c r="D27" s="4" t="str">
        <f>IF(VLOOKUP($B27,augment_header!$B$2:$G$72,3,FALSE)="√","√","")</f>
        <v/>
      </c>
      <c r="E27" s="4" t="str">
        <f>IF(VLOOKUP($B27,augment_header!$B$2:$G$72,4,FALSE)="√","√","")</f>
        <v/>
      </c>
      <c r="F27" s="4" t="str">
        <f>_xlfn.LET(_xlpm.x,VLOOKUP($B27,augment_header!$B$2:$G$72,5,FALSE),IF(_xlpm.x="","",_xlpm.x))</f>
        <v/>
      </c>
      <c r="G27">
        <v>6</v>
      </c>
    </row>
    <row r="28" spans="1:7" ht="15" x14ac:dyDescent="0.2">
      <c r="A28">
        <v>26</v>
      </c>
      <c r="B28" s="6" t="s">
        <v>468</v>
      </c>
      <c r="C28" t="str">
        <f>_xlfn.LET(_xlpm.x,VLOOKUP($B28,augment_header!$B$2:$G$72,2,FALSE),IF(_xlpm.x="","",_xlpm.x))</f>
        <v>简介（中文）</v>
      </c>
      <c r="D28" s="4" t="str">
        <f>IF(VLOOKUP($B28,augment_header!$B$2:$G$72,3,FALSE)="√","√","")</f>
        <v/>
      </c>
      <c r="E28" s="4" t="str">
        <f>IF(VLOOKUP($B28,augment_header!$B$2:$G$72,4,FALSE)="√","√","")</f>
        <v/>
      </c>
      <c r="F28" s="4" t="str">
        <f>_xlfn.LET(_xlpm.x,VLOOKUP($B28,augment_header!$B$2:$G$72,5,FALSE),IF(_xlpm.x="","",_xlpm.x))</f>
        <v/>
      </c>
      <c r="G28">
        <v>17</v>
      </c>
    </row>
    <row r="29" spans="1:7" ht="15" x14ac:dyDescent="0.2">
      <c r="A29">
        <v>27</v>
      </c>
      <c r="B29" s="6" t="s">
        <v>481</v>
      </c>
      <c r="C29" t="str">
        <f>_xlfn.LET(_xlpm.x,VLOOKUP($B29,augment_header!$B$2:$G$72,2,FALSE),IF(_xlpm.x="","",_xlpm.x))</f>
        <v>简介（中文/数值转换）</v>
      </c>
      <c r="D29" s="4" t="str">
        <f>IF(VLOOKUP($B29,augment_header!$B$2:$G$72,3,FALSE)="√","√","")</f>
        <v/>
      </c>
      <c r="E29" s="4" t="str">
        <f>IF(VLOOKUP($B29,augment_header!$B$2:$G$72,4,FALSE)="√","√","")</f>
        <v/>
      </c>
      <c r="F29" s="4" t="str">
        <f>_xlfn.LET(_xlpm.x,VLOOKUP($B29,augment_header!$B$2:$G$72,5,FALSE),IF(_xlpm.x="","",_xlpm.x))</f>
        <v/>
      </c>
      <c r="G29">
        <v>18</v>
      </c>
    </row>
    <row r="30" spans="1:7" ht="15" x14ac:dyDescent="0.2">
      <c r="A30">
        <v>28</v>
      </c>
      <c r="B30" s="6" t="s">
        <v>471</v>
      </c>
      <c r="C30" t="str">
        <f>_xlfn.LET(_xlpm.x,VLOOKUP($B30,augment_header!$B$2:$G$72,2,FALSE),IF(_xlpm.x="","",_xlpm.x))</f>
        <v>简介（英文）</v>
      </c>
      <c r="D30" s="4" t="str">
        <f>IF(VLOOKUP($B30,augment_header!$B$2:$G$72,3,FALSE)="√","√","")</f>
        <v/>
      </c>
      <c r="E30" s="4" t="str">
        <f>IF(VLOOKUP($B30,augment_header!$B$2:$G$72,4,FALSE)="√","√","")</f>
        <v/>
      </c>
      <c r="F30" s="4" t="str">
        <f>_xlfn.LET(_xlpm.x,VLOOKUP($B30,augment_header!$B$2:$G$72,5,FALSE),IF(_xlpm.x="","",_xlpm.x))</f>
        <v/>
      </c>
      <c r="G30">
        <v>19</v>
      </c>
    </row>
    <row r="31" spans="1:7" ht="15" x14ac:dyDescent="0.2">
      <c r="A31">
        <v>29</v>
      </c>
      <c r="B31" s="6" t="s">
        <v>483</v>
      </c>
      <c r="C31" t="str">
        <f>_xlfn.LET(_xlpm.x,VLOOKUP($B31,augment_header!$B$2:$G$72,2,FALSE),IF(_xlpm.x="","",_xlpm.x))</f>
        <v>简介（英文/数值转换）</v>
      </c>
      <c r="D31" s="4" t="str">
        <f>IF(VLOOKUP($B31,augment_header!$B$2:$G$72,3,FALSE)="√","√","")</f>
        <v/>
      </c>
      <c r="E31" s="4" t="str">
        <f>IF(VLOOKUP($B31,augment_header!$B$2:$G$72,4,FALSE)="√","√","")</f>
        <v/>
      </c>
      <c r="F31" s="4" t="str">
        <f>_xlfn.LET(_xlpm.x,VLOOKUP($B31,augment_header!$B$2:$G$72,5,FALSE),IF(_xlpm.x="","",_xlpm.x))</f>
        <v/>
      </c>
      <c r="G31">
        <v>20</v>
      </c>
    </row>
    <row r="32" spans="1:7" ht="15" x14ac:dyDescent="0.2">
      <c r="A32">
        <v>30</v>
      </c>
      <c r="B32" s="6" t="s">
        <v>469</v>
      </c>
      <c r="C32" t="str">
        <f>_xlfn.LET(_xlpm.x,VLOOKUP($B32,augment_header!$B$2:$G$72,2,FALSE),IF(_xlpm.x="","",_xlpm.x))</f>
        <v>强化符文详细信息（中文）</v>
      </c>
      <c r="D32" s="4" t="str">
        <f>IF(VLOOKUP($B32,augment_header!$B$2:$G$72,3,FALSE)="√","√","")</f>
        <v/>
      </c>
      <c r="E32" s="4" t="str">
        <f>IF(VLOOKUP($B32,augment_header!$B$2:$G$72,4,FALSE)="√","√","")</f>
        <v/>
      </c>
      <c r="F32" s="4" t="str">
        <f>_xlfn.LET(_xlpm.x,VLOOKUP($B32,augment_header!$B$2:$G$72,5,FALSE),IF(_xlpm.x="","",_xlpm.x))</f>
        <v/>
      </c>
      <c r="G32">
        <v>22</v>
      </c>
    </row>
    <row r="33" spans="1:7" ht="15" x14ac:dyDescent="0.2">
      <c r="A33">
        <v>31</v>
      </c>
      <c r="B33" s="6" t="s">
        <v>485</v>
      </c>
      <c r="C33" t="str">
        <f>_xlfn.LET(_xlpm.x,VLOOKUP($B33,augment_header!$B$2:$G$72,2,FALSE),IF(_xlpm.x="","",_xlpm.x))</f>
        <v>强化符文详细信息（中文/数值转换）</v>
      </c>
      <c r="D33" s="4" t="str">
        <f>IF(VLOOKUP($B33,augment_header!$B$2:$G$72,3,FALSE)="√","√","")</f>
        <v/>
      </c>
      <c r="E33" s="4" t="str">
        <f>IF(VLOOKUP($B33,augment_header!$B$2:$G$72,4,FALSE)="√","√","")</f>
        <v/>
      </c>
      <c r="F33" s="4" t="str">
        <f>_xlfn.LET(_xlpm.x,VLOOKUP($B33,augment_header!$B$2:$G$72,5,FALSE),IF(_xlpm.x="","",_xlpm.x))</f>
        <v/>
      </c>
      <c r="G33">
        <v>23</v>
      </c>
    </row>
    <row r="34" spans="1:7" ht="15" x14ac:dyDescent="0.2">
      <c r="A34">
        <v>32</v>
      </c>
      <c r="B34" s="6" t="s">
        <v>472</v>
      </c>
      <c r="C34" t="str">
        <f>_xlfn.LET(_xlpm.x,VLOOKUP($B34,augment_header!$B$2:$G$72,2,FALSE),IF(_xlpm.x="","",_xlpm.x))</f>
        <v>强化符文详细信息（英文）</v>
      </c>
      <c r="D34" s="4" t="str">
        <f>IF(VLOOKUP($B34,augment_header!$B$2:$G$72,3,FALSE)="√","√","")</f>
        <v/>
      </c>
      <c r="E34" s="4" t="str">
        <f>IF(VLOOKUP($B34,augment_header!$B$2:$G$72,4,FALSE)="√","√","")</f>
        <v/>
      </c>
      <c r="F34" s="4" t="str">
        <f>_xlfn.LET(_xlpm.x,VLOOKUP($B34,augment_header!$B$2:$G$72,5,FALSE),IF(_xlpm.x="","",_xlpm.x))</f>
        <v/>
      </c>
      <c r="G34">
        <v>24</v>
      </c>
    </row>
    <row r="35" spans="1:7" ht="15" x14ac:dyDescent="0.2">
      <c r="A35">
        <v>33</v>
      </c>
      <c r="B35" s="6" t="s">
        <v>486</v>
      </c>
      <c r="C35" t="str">
        <f>_xlfn.LET(_xlpm.x,VLOOKUP($B35,augment_header!$B$2:$G$72,2,FALSE),IF(_xlpm.x="","",_xlpm.x))</f>
        <v>强化符文详细信息（英文/数值转换）</v>
      </c>
      <c r="D35" s="4" t="str">
        <f>IF(VLOOKUP($B35,augment_header!$B$2:$G$72,3,FALSE)="√","√","")</f>
        <v/>
      </c>
      <c r="E35" s="4" t="str">
        <f>IF(VLOOKUP($B35,augment_header!$B$2:$G$72,4,FALSE)="√","√","")</f>
        <v/>
      </c>
      <c r="F35" s="4" t="str">
        <f>_xlfn.LET(_xlpm.x,VLOOKUP($B35,augment_header!$B$2:$G$72,5,FALSE),IF(_xlpm.x="","",_xlpm.x))</f>
        <v/>
      </c>
      <c r="G35">
        <v>25</v>
      </c>
    </row>
    <row r="36" spans="1:7" ht="15" x14ac:dyDescent="0.2">
      <c r="A36">
        <v>34</v>
      </c>
      <c r="B36" s="6" t="s">
        <v>3445</v>
      </c>
      <c r="C36" t="str">
        <f>_xlfn.LET(_xlpm.x,VLOOKUP($B36,augment_header!$B$2:$G$72,2,FALSE),IF(_xlpm.x="","",_xlpm.x))</f>
        <v>强化符文详细信息描述部分（中文）</v>
      </c>
      <c r="D36" s="4" t="str">
        <f>IF(VLOOKUP($B36,augment_header!$B$2:$G$72,3,FALSE)="√","√","")</f>
        <v/>
      </c>
      <c r="E36" s="4" t="str">
        <f>IF(VLOOKUP($B36,augment_header!$B$2:$G$72,4,FALSE)="√","√","")</f>
        <v/>
      </c>
      <c r="F36" s="4" t="str">
        <f>_xlfn.LET(_xlpm.x,VLOOKUP($B36,augment_header!$B$2:$G$72,5,FALSE),IF(_xlpm.x="","",_xlpm.x))</f>
        <v/>
      </c>
      <c r="G36">
        <v>27</v>
      </c>
    </row>
    <row r="37" spans="1:7" ht="15" x14ac:dyDescent="0.2">
      <c r="A37">
        <v>35</v>
      </c>
      <c r="B37" s="6" t="s">
        <v>3446</v>
      </c>
      <c r="C37" t="str">
        <f>_xlfn.LET(_xlpm.x,VLOOKUP($B37,augment_header!$B$2:$G$72,2,FALSE),IF(_xlpm.x="","",_xlpm.x))</f>
        <v>强化符文详细信息描述部分（中文/数值转换）</v>
      </c>
      <c r="D37" s="4" t="str">
        <f>IF(VLOOKUP($B37,augment_header!$B$2:$G$72,3,FALSE)="√","√","")</f>
        <v/>
      </c>
      <c r="E37" s="4" t="str">
        <f>IF(VLOOKUP($B37,augment_header!$B$2:$G$72,4,FALSE)="√","√","")</f>
        <v/>
      </c>
      <c r="F37" s="4" t="str">
        <f>_xlfn.LET(_xlpm.x,VLOOKUP($B37,augment_header!$B$2:$G$72,5,FALSE),IF(_xlpm.x="","",_xlpm.x))</f>
        <v/>
      </c>
      <c r="G37">
        <v>28</v>
      </c>
    </row>
    <row r="38" spans="1:7" ht="15" x14ac:dyDescent="0.2">
      <c r="A38">
        <v>36</v>
      </c>
      <c r="B38" s="6" t="s">
        <v>3447</v>
      </c>
      <c r="C38" t="str">
        <f>_xlfn.LET(_xlpm.x,VLOOKUP($B38,augment_header!$B$2:$G$72,2,FALSE),IF(_xlpm.x="","",_xlpm.x))</f>
        <v>强化符文详细信息描述部分（英文）</v>
      </c>
      <c r="D38" s="4" t="str">
        <f>IF(VLOOKUP($B38,augment_header!$B$2:$G$72,3,FALSE)="√","√","")</f>
        <v/>
      </c>
      <c r="E38" s="4" t="str">
        <f>IF(VLOOKUP($B38,augment_header!$B$2:$G$72,4,FALSE)="√","√","")</f>
        <v/>
      </c>
      <c r="F38" s="4" t="str">
        <f>_xlfn.LET(_xlpm.x,VLOOKUP($B38,augment_header!$B$2:$G$72,5,FALSE),IF(_xlpm.x="","",_xlpm.x))</f>
        <v/>
      </c>
      <c r="G38">
        <v>29</v>
      </c>
    </row>
    <row r="39" spans="1:7" ht="15" x14ac:dyDescent="0.2">
      <c r="A39">
        <v>37</v>
      </c>
      <c r="B39" s="6" t="s">
        <v>3448</v>
      </c>
      <c r="C39" t="str">
        <f>_xlfn.LET(_xlpm.x,VLOOKUP($B39,augment_header!$B$2:$G$72,2,FALSE),IF(_xlpm.x="","",_xlpm.x))</f>
        <v>强化符文详细信息描述部分（英文/数值转换）</v>
      </c>
      <c r="D39" s="4" t="str">
        <f>IF(VLOOKUP($B39,augment_header!$B$2:$G$72,3,FALSE)="√","√","")</f>
        <v/>
      </c>
      <c r="E39" s="4" t="str">
        <f>IF(VLOOKUP($B39,augment_header!$B$2:$G$72,4,FALSE)="√","√","")</f>
        <v/>
      </c>
      <c r="F39" s="4" t="str">
        <f>_xlfn.LET(_xlpm.x,VLOOKUP($B39,augment_header!$B$2:$G$72,5,FALSE),IF(_xlpm.x="","",_xlpm.x))</f>
        <v/>
      </c>
      <c r="G39">
        <v>30</v>
      </c>
    </row>
    <row r="40" spans="1:7" ht="15" x14ac:dyDescent="0.2">
      <c r="A40">
        <v>38</v>
      </c>
      <c r="B40" s="6" t="s">
        <v>3449</v>
      </c>
      <c r="C40" t="str">
        <f>_xlfn.LET(_xlpm.x,VLOOKUP($B40,augment_header!$B$2:$G$72,2,FALSE),IF(_xlpm.x="","",_xlpm.x))</f>
        <v>强化符文详细信息追踪部分（中文）</v>
      </c>
      <c r="D40" s="4" t="str">
        <f>IF(VLOOKUP($B40,augment_header!$B$2:$G$72,3,FALSE)="√","√","")</f>
        <v/>
      </c>
      <c r="E40" s="4" t="str">
        <f>IF(VLOOKUP($B40,augment_header!$B$2:$G$72,4,FALSE)="√","√","")</f>
        <v/>
      </c>
      <c r="F40" s="4" t="str">
        <f>_xlfn.LET(_xlpm.x,VLOOKUP($B40,augment_header!$B$2:$G$72,5,FALSE),IF(_xlpm.x="","",_xlpm.x))</f>
        <v/>
      </c>
      <c r="G40">
        <v>32</v>
      </c>
    </row>
    <row r="41" spans="1:7" ht="15" x14ac:dyDescent="0.2">
      <c r="A41">
        <v>39</v>
      </c>
      <c r="B41" s="6" t="s">
        <v>3450</v>
      </c>
      <c r="C41" t="str">
        <f>_xlfn.LET(_xlpm.x,VLOOKUP($B41,augment_header!$B$2:$G$72,2,FALSE),IF(_xlpm.x="","",_xlpm.x))</f>
        <v>强化符文详细信息追踪部分（中文/数值转换）</v>
      </c>
      <c r="D41" s="4" t="str">
        <f>IF(VLOOKUP($B41,augment_header!$B$2:$G$72,3,FALSE)="√","√","")</f>
        <v/>
      </c>
      <c r="E41" s="4" t="str">
        <f>IF(VLOOKUP($B41,augment_header!$B$2:$G$72,4,FALSE)="√","√","")</f>
        <v/>
      </c>
      <c r="F41" s="4" t="str">
        <f>_xlfn.LET(_xlpm.x,VLOOKUP($B41,augment_header!$B$2:$G$72,5,FALSE),IF(_xlpm.x="","",_xlpm.x))</f>
        <v/>
      </c>
      <c r="G41">
        <v>33</v>
      </c>
    </row>
    <row r="42" spans="1:7" ht="15" x14ac:dyDescent="0.2">
      <c r="A42">
        <v>40</v>
      </c>
      <c r="B42" s="6" t="s">
        <v>3451</v>
      </c>
      <c r="C42" t="str">
        <f>_xlfn.LET(_xlpm.x,VLOOKUP($B42,augment_header!$B$2:$G$72,2,FALSE),IF(_xlpm.x="","",_xlpm.x))</f>
        <v>强化符文详细信息追踪部分（英文）</v>
      </c>
      <c r="D42" s="4" t="str">
        <f>IF(VLOOKUP($B42,augment_header!$B$2:$G$72,3,FALSE)="√","√","")</f>
        <v/>
      </c>
      <c r="E42" s="4" t="str">
        <f>IF(VLOOKUP($B42,augment_header!$B$2:$G$72,4,FALSE)="√","√","")</f>
        <v/>
      </c>
      <c r="F42" s="4" t="str">
        <f>_xlfn.LET(_xlpm.x,VLOOKUP($B42,augment_header!$B$2:$G$72,5,FALSE),IF(_xlpm.x="","",_xlpm.x))</f>
        <v/>
      </c>
      <c r="G42">
        <v>34</v>
      </c>
    </row>
    <row r="43" spans="1:7" ht="15" x14ac:dyDescent="0.2">
      <c r="A43">
        <v>41</v>
      </c>
      <c r="B43" s="6" t="s">
        <v>3452</v>
      </c>
      <c r="C43" t="str">
        <f>_xlfn.LET(_xlpm.x,VLOOKUP($B43,augment_header!$B$2:$G$72,2,FALSE),IF(_xlpm.x="","",_xlpm.x))</f>
        <v>强化符文详细信息追踪部分（英文/数值转换）</v>
      </c>
      <c r="D43" s="4" t="str">
        <f>IF(VLOOKUP($B43,augment_header!$B$2:$G$72,3,FALSE)="√","√","")</f>
        <v/>
      </c>
      <c r="E43" s="4" t="str">
        <f>IF(VLOOKUP($B43,augment_header!$B$2:$G$72,4,FALSE)="√","√","")</f>
        <v/>
      </c>
      <c r="F43" s="4" t="str">
        <f>_xlfn.LET(_xlpm.x,VLOOKUP($B43,augment_header!$B$2:$G$72,5,FALSE),IF(_xlpm.x="","",_xlpm.x))</f>
        <v/>
      </c>
      <c r="G43">
        <v>35</v>
      </c>
    </row>
    <row r="44" spans="1:7" ht="15" x14ac:dyDescent="0.2">
      <c r="A44">
        <v>42</v>
      </c>
      <c r="B44" s="6" t="s">
        <v>3453</v>
      </c>
      <c r="C44" t="str">
        <f>_xlfn.LET(_xlpm.x,VLOOKUP($B44,augment_header!$B$2:$G$72,2,FALSE),IF(_xlpm.x="","",_xlpm.x))</f>
        <v>满级效果简介（中文）</v>
      </c>
      <c r="D44" s="4" t="str">
        <f>IF(VLOOKUP($B44,augment_header!$B$2:$G$72,3,FALSE)="√","√","")</f>
        <v/>
      </c>
      <c r="E44" s="4" t="str">
        <f>IF(VLOOKUP($B44,augment_header!$B$2:$G$72,4,FALSE)="√","√","")</f>
        <v/>
      </c>
      <c r="F44" s="4" t="str">
        <f>_xlfn.LET(_xlpm.x,VLOOKUP($B44,augment_header!$B$2:$G$72,5,FALSE),IF(_xlpm.x="","",_xlpm.x))</f>
        <v/>
      </c>
      <c r="G44">
        <v>37</v>
      </c>
    </row>
    <row r="45" spans="1:7" ht="15" x14ac:dyDescent="0.2">
      <c r="A45">
        <v>43</v>
      </c>
      <c r="B45" s="6" t="s">
        <v>3454</v>
      </c>
      <c r="C45" t="str">
        <f>_xlfn.LET(_xlpm.x,VLOOKUP($B45,augment_header!$B$2:$G$72,2,FALSE),IF(_xlpm.x="","",_xlpm.x))</f>
        <v>满级效果简介（中文/数值转换）</v>
      </c>
      <c r="D45" s="4" t="str">
        <f>IF(VLOOKUP($B45,augment_header!$B$2:$G$72,3,FALSE)="√","√","")</f>
        <v/>
      </c>
      <c r="E45" s="4" t="str">
        <f>IF(VLOOKUP($B45,augment_header!$B$2:$G$72,4,FALSE)="√","√","")</f>
        <v/>
      </c>
      <c r="F45" s="4" t="str">
        <f>_xlfn.LET(_xlpm.x,VLOOKUP($B45,augment_header!$B$2:$G$72,5,FALSE),IF(_xlpm.x="","",_xlpm.x))</f>
        <v/>
      </c>
      <c r="G45">
        <v>38</v>
      </c>
    </row>
    <row r="46" spans="1:7" ht="15" x14ac:dyDescent="0.2">
      <c r="A46">
        <v>44</v>
      </c>
      <c r="B46" s="6" t="s">
        <v>3455</v>
      </c>
      <c r="C46" t="str">
        <f>_xlfn.LET(_xlpm.x,VLOOKUP($B46,augment_header!$B$2:$G$72,2,FALSE),IF(_xlpm.x="","",_xlpm.x))</f>
        <v>满级效果简介（英文）</v>
      </c>
      <c r="D46" s="4" t="str">
        <f>IF(VLOOKUP($B46,augment_header!$B$2:$G$72,3,FALSE)="√","√","")</f>
        <v/>
      </c>
      <c r="E46" s="4" t="str">
        <f>IF(VLOOKUP($B46,augment_header!$B$2:$G$72,4,FALSE)="√","√","")</f>
        <v/>
      </c>
      <c r="F46" s="4" t="str">
        <f>_xlfn.LET(_xlpm.x,VLOOKUP($B46,augment_header!$B$2:$G$72,5,FALSE),IF(_xlpm.x="","",_xlpm.x))</f>
        <v/>
      </c>
      <c r="G46">
        <v>39</v>
      </c>
    </row>
    <row r="47" spans="1:7" ht="15" x14ac:dyDescent="0.2">
      <c r="A47">
        <v>45</v>
      </c>
      <c r="B47" s="6" t="s">
        <v>3456</v>
      </c>
      <c r="C47" t="str">
        <f>_xlfn.LET(_xlpm.x,VLOOKUP($B47,augment_header!$B$2:$G$72,2,FALSE),IF(_xlpm.x="","",_xlpm.x))</f>
        <v>满级效果简介（英文/数值转换）</v>
      </c>
      <c r="D47" s="4" t="str">
        <f>IF(VLOOKUP($B47,augment_header!$B$2:$G$72,3,FALSE)="√","√","")</f>
        <v/>
      </c>
      <c r="E47" s="4" t="str">
        <f>IF(VLOOKUP($B47,augment_header!$B$2:$G$72,4,FALSE)="√","√","")</f>
        <v/>
      </c>
      <c r="F47" s="4" t="str">
        <f>_xlfn.LET(_xlpm.x,VLOOKUP($B47,augment_header!$B$2:$G$72,5,FALSE),IF(_xlpm.x="","",_xlpm.x))</f>
        <v/>
      </c>
      <c r="G47">
        <v>40</v>
      </c>
    </row>
    <row r="48" spans="1:7" ht="15" x14ac:dyDescent="0.2">
      <c r="A48">
        <v>46</v>
      </c>
      <c r="B48" s="6" t="s">
        <v>3457</v>
      </c>
      <c r="C48" t="str">
        <f>_xlfn.LET(_xlpm.x,VLOOKUP($B48,augment_header!$B$2:$G$72,2,FALSE),IF(_xlpm.x="","",_xlpm.x))</f>
        <v>满级效果详细信息（中文）</v>
      </c>
      <c r="D48" s="4" t="str">
        <f>IF(VLOOKUP($B48,augment_header!$B$2:$G$72,3,FALSE)="√","√","")</f>
        <v/>
      </c>
      <c r="E48" s="4" t="str">
        <f>IF(VLOOKUP($B48,augment_header!$B$2:$G$72,4,FALSE)="√","√","")</f>
        <v/>
      </c>
      <c r="F48" s="4" t="str">
        <f>_xlfn.LET(_xlpm.x,VLOOKUP($B48,augment_header!$B$2:$G$72,5,FALSE),IF(_xlpm.x="","",_xlpm.x))</f>
        <v/>
      </c>
      <c r="G48">
        <v>42</v>
      </c>
    </row>
    <row r="49" spans="1:7" ht="15" x14ac:dyDescent="0.2">
      <c r="A49">
        <v>47</v>
      </c>
      <c r="B49" s="6" t="s">
        <v>3458</v>
      </c>
      <c r="C49" t="str">
        <f>_xlfn.LET(_xlpm.x,VLOOKUP($B49,augment_header!$B$2:$G$72,2,FALSE),IF(_xlpm.x="","",_xlpm.x))</f>
        <v>满级效果详细信息（中文/数值转换）</v>
      </c>
      <c r="D49" s="4" t="str">
        <f>IF(VLOOKUP($B49,augment_header!$B$2:$G$72,3,FALSE)="√","√","")</f>
        <v/>
      </c>
      <c r="E49" s="4" t="str">
        <f>IF(VLOOKUP($B49,augment_header!$B$2:$G$72,4,FALSE)="√","√","")</f>
        <v/>
      </c>
      <c r="F49" s="4" t="str">
        <f>_xlfn.LET(_xlpm.x,VLOOKUP($B49,augment_header!$B$2:$G$72,5,FALSE),IF(_xlpm.x="","",_xlpm.x))</f>
        <v/>
      </c>
      <c r="G49">
        <v>43</v>
      </c>
    </row>
    <row r="50" spans="1:7" ht="15" x14ac:dyDescent="0.2">
      <c r="A50">
        <v>48</v>
      </c>
      <c r="B50" s="6" t="s">
        <v>3459</v>
      </c>
      <c r="C50" t="str">
        <f>_xlfn.LET(_xlpm.x,VLOOKUP($B50,augment_header!$B$2:$G$72,2,FALSE),IF(_xlpm.x="","",_xlpm.x))</f>
        <v>满级效果详细信息（英文）</v>
      </c>
      <c r="D50" s="4" t="str">
        <f>IF(VLOOKUP($B50,augment_header!$B$2:$G$72,3,FALSE)="√","√","")</f>
        <v/>
      </c>
      <c r="E50" s="4" t="str">
        <f>IF(VLOOKUP($B50,augment_header!$B$2:$G$72,4,FALSE)="√","√","")</f>
        <v/>
      </c>
      <c r="F50" s="4" t="str">
        <f>_xlfn.LET(_xlpm.x,VLOOKUP($B50,augment_header!$B$2:$G$72,5,FALSE),IF(_xlpm.x="","",_xlpm.x))</f>
        <v/>
      </c>
      <c r="G50">
        <v>44</v>
      </c>
    </row>
    <row r="51" spans="1:7" ht="15" x14ac:dyDescent="0.2">
      <c r="A51">
        <v>49</v>
      </c>
      <c r="B51" s="6" t="s">
        <v>3460</v>
      </c>
      <c r="C51" t="str">
        <f>_xlfn.LET(_xlpm.x,VLOOKUP($B51,augment_header!$B$2:$G$72,2,FALSE),IF(_xlpm.x="","",_xlpm.x))</f>
        <v>满级效果详细信息（英文/数值转换）</v>
      </c>
      <c r="D51" s="4" t="str">
        <f>IF(VLOOKUP($B51,augment_header!$B$2:$G$72,3,FALSE)="√","√","")</f>
        <v/>
      </c>
      <c r="E51" s="4" t="str">
        <f>IF(VLOOKUP($B51,augment_header!$B$2:$G$72,4,FALSE)="√","√","")</f>
        <v/>
      </c>
      <c r="F51" s="4" t="str">
        <f>_xlfn.LET(_xlpm.x,VLOOKUP($B51,augment_header!$B$2:$G$72,5,FALSE),IF(_xlpm.x="","",_xlpm.x))</f>
        <v/>
      </c>
      <c r="G51">
        <v>45</v>
      </c>
    </row>
    <row r="52" spans="1:7" ht="15" x14ac:dyDescent="0.2">
      <c r="A52">
        <v>50</v>
      </c>
      <c r="B52" s="6" t="s">
        <v>462</v>
      </c>
      <c r="C52" t="str">
        <f>_xlfn.LET(_xlpm.x,VLOOKUP($B52,augment_header!$B$2:$G$72,2,FALSE),IF(_xlpm.x="","",_xlpm.x))</f>
        <v>强化符文显示标签内容</v>
      </c>
      <c r="D52" s="4" t="str">
        <f>IF(VLOOKUP($B52,augment_header!$B$2:$G$72,3,FALSE)="√","√","")</f>
        <v/>
      </c>
      <c r="E52" s="4" t="str">
        <f>IF(VLOOKUP($B52,augment_header!$B$2:$G$72,4,FALSE)="√","√","")</f>
        <v/>
      </c>
      <c r="F52" s="4" t="str">
        <f>_xlfn.LET(_xlpm.x,VLOOKUP($B52,augment_header!$B$2:$G$72,5,FALSE),IF(_xlpm.x="","",_xlpm.x))</f>
        <v/>
      </c>
      <c r="G52">
        <v>12</v>
      </c>
    </row>
    <row r="53" spans="1:7" ht="15" x14ac:dyDescent="0.2">
      <c r="A53">
        <v>51</v>
      </c>
      <c r="B53" s="6" t="s">
        <v>460</v>
      </c>
      <c r="C53" t="str">
        <f>_xlfn.LET(_xlpm.x,VLOOKUP($B53,augment_header!$B$2:$G$72,2,FALSE),IF(_xlpm.x="","",_xlpm.x))</f>
        <v>位阶</v>
      </c>
      <c r="D53" s="4" t="str">
        <f>IF(VLOOKUP($B53,augment_header!$B$2:$G$72,3,FALSE)="√","√","")</f>
        <v/>
      </c>
      <c r="E53" s="4" t="str">
        <f>IF(VLOOKUP($B53,augment_header!$B$2:$G$72,4,FALSE)="√","√","")</f>
        <v>√</v>
      </c>
      <c r="F53" s="4" t="str">
        <f>_xlfn.LET(_xlpm.x,VLOOKUP($B53,augment_header!$B$2:$G$72,5,FALSE),IF(_xlpm.x="","",_xlpm.x))</f>
        <v/>
      </c>
      <c r="G53">
        <v>8</v>
      </c>
    </row>
    <row r="54" spans="1:7" ht="15" x14ac:dyDescent="0.2">
      <c r="A54">
        <v>52</v>
      </c>
      <c r="B54" s="6" t="s">
        <v>479</v>
      </c>
      <c r="C54" t="str">
        <f>_xlfn.LET(_xlpm.x,VLOOKUP($B54,augment_header!$B$2:$G$72,2,FALSE),IF(_xlpm.x="","",_xlpm.x))</f>
        <v>根指令对象</v>
      </c>
      <c r="D54" s="4" t="str">
        <f>IF(VLOOKUP($B54,augment_header!$B$2:$G$72,3,FALSE)="√","√","")</f>
        <v>√</v>
      </c>
      <c r="E54" s="4" t="str">
        <f>IF(VLOOKUP($B54,augment_header!$B$2:$G$72,4,FALSE)="√","√","")</f>
        <v/>
      </c>
      <c r="F54" s="4" t="str">
        <f>_xlfn.LET(_xlpm.x,VLOOKUP($B54,augment_header!$B$2:$G$72,5,FALSE),IF(_xlpm.x="","",_xlpm.x))</f>
        <v/>
      </c>
      <c r="G54">
        <v>47</v>
      </c>
    </row>
    <row r="55" spans="1:7" ht="15" x14ac:dyDescent="0.2">
      <c r="A55">
        <v>53</v>
      </c>
      <c r="B55" s="6" t="s">
        <v>3868</v>
      </c>
      <c r="C55" t="str">
        <f>_xlfn.LET(_xlpm.x,VLOOKUP($B55,augment_header!$B$2:$G$72,2,FALSE),IF(_xlpm.x="","",_xlpm.x))</f>
        <v>其它指令对象</v>
      </c>
      <c r="D55" s="4" t="str">
        <f>IF(VLOOKUP($B55,augment_header!$B$2:$G$72,3,FALSE)="√","√","")</f>
        <v>√</v>
      </c>
      <c r="E55" s="4" t="str">
        <f>IF(VLOOKUP($B55,augment_header!$B$2:$G$72,4,FALSE)="√","√","")</f>
        <v/>
      </c>
      <c r="F55" s="4" t="str">
        <f>_xlfn.LET(_xlpm.x,VLOOKUP($B55,augment_header!$B$2:$G$72,5,FALSE),IF(_xlpm.x="","",_xlpm.x))</f>
        <v/>
      </c>
    </row>
    <row r="56" spans="1:7" ht="15" x14ac:dyDescent="0.2">
      <c r="A56">
        <v>54</v>
      </c>
      <c r="B56" s="1" t="s">
        <v>3485</v>
      </c>
      <c r="C56" t="str">
        <f>_xlfn.LET(_xlpm.x,VLOOKUP($B56,augment_header!$B$2:$G$72,2,FALSE),IF(_xlpm.x="","",_xlpm.x))</f>
        <v>最大等级</v>
      </c>
      <c r="D56" s="4" t="str">
        <f>IF(VLOOKUP($B56,augment_header!$B$2:$G$72,3,FALSE)="√","√","")</f>
        <v>√</v>
      </c>
      <c r="E56" s="4" t="str">
        <f>IF(VLOOKUP($B56,augment_header!$B$2:$G$72,4,FALSE)="√","√","")</f>
        <v/>
      </c>
      <c r="F56" s="4" t="str">
        <f>_xlfn.LET(_xlpm.x,VLOOKUP($B56,augment_header!$B$2:$G$72,5,FALSE),IF(_xlpm.x="","",_xlpm.x))</f>
        <v/>
      </c>
      <c r="G56">
        <v>10</v>
      </c>
    </row>
    <row r="57" spans="1:7" ht="15" x14ac:dyDescent="0.2">
      <c r="A57">
        <v>55</v>
      </c>
      <c r="B57" s="1" t="s">
        <v>3480</v>
      </c>
      <c r="C57" t="str">
        <f>_xlfn.LET(_xlpm.x,VLOOKUP($B57,augment_header!$B$2:$G$72,2,FALSE),IF(_xlpm.x="","",_xlpm.x))</f>
        <v>资源解析器映射字典</v>
      </c>
      <c r="D57" s="4" t="str">
        <f>IF(VLOOKUP($B57,augment_header!$B$2:$G$72,3,FALSE)="√","√","")</f>
        <v>√</v>
      </c>
      <c r="E57" s="4" t="str">
        <f>IF(VLOOKUP($B57,augment_header!$B$2:$G$72,4,FALSE)="√","√","")</f>
        <v/>
      </c>
      <c r="F57" s="4" t="str">
        <f>_xlfn.LET(_xlpm.x,VLOOKUP($B57,augment_header!$B$2:$G$72,5,FALSE),IF(_xlpm.x="","",_xlpm.x))</f>
        <v/>
      </c>
    </row>
    <row r="58" spans="1:7" ht="15" x14ac:dyDescent="0.2">
      <c r="A58" s="2">
        <v>56</v>
      </c>
      <c r="B58" s="3" t="s">
        <v>3664</v>
      </c>
      <c r="C58" s="2" t="str">
        <f>_xlfn.LET(_xlpm.x,VLOOKUP($B58,augment_header!$B$2:$G$72,2,FALSE),IF(_xlpm.x="","",_xlpm.x))</f>
        <v/>
      </c>
      <c r="D58" s="4" t="str">
        <f>IF(VLOOKUP($B58,augment_header!$B$2:$G$72,3,FALSE)="√","√","")</f>
        <v>√</v>
      </c>
      <c r="E58" s="4" t="str">
        <f>IF(VLOOKUP($B58,augment_header!$B$2:$G$72,4,FALSE)="√","√","")</f>
        <v/>
      </c>
      <c r="F58" s="4" t="str">
        <f>_xlfn.LET(_xlpm.x,VLOOKUP($B58,augment_header!$B$2:$G$72,5,FALSE),IF(_xlpm.x="","",_xlpm.x))</f>
        <v/>
      </c>
    </row>
    <row r="59" spans="1:7" ht="15" x14ac:dyDescent="0.2">
      <c r="A59" s="2">
        <v>57</v>
      </c>
      <c r="B59" s="3" t="s">
        <v>3665</v>
      </c>
      <c r="C59" s="2" t="str">
        <f>_xlfn.LET(_xlpm.x,VLOOKUP($B59,augment_header!$B$2:$G$72,2,FALSE),IF(_xlpm.x="","",_xlpm.x))</f>
        <v>任务线代码</v>
      </c>
      <c r="D59" s="4" t="str">
        <f>IF(VLOOKUP($B59,augment_header!$B$2:$G$72,3,FALSE)="√","√","")</f>
        <v>√</v>
      </c>
      <c r="E59" s="4" t="str">
        <f>IF(VLOOKUP($B59,augment_header!$B$2:$G$72,4,FALSE)="√","√","")</f>
        <v/>
      </c>
      <c r="F59" s="4" t="str">
        <f>_xlfn.LET(_xlpm.x,VLOOKUP($B59,augment_header!$B$2:$G$72,5,FALSE),IF(_xlpm.x="","",_xlpm.x))</f>
        <v/>
      </c>
    </row>
    <row r="60" spans="1:7" ht="15" x14ac:dyDescent="0.2">
      <c r="A60" s="2">
        <v>58</v>
      </c>
      <c r="B60" s="3" t="s">
        <v>3666</v>
      </c>
      <c r="C60" s="2" t="str">
        <f>_xlfn.LET(_xlpm.x,VLOOKUP($B60,augment_header!$B$2:$G$72,2,FALSE),IF(_xlpm.x="","",_xlpm.x))</f>
        <v>任务线名称键</v>
      </c>
      <c r="D60" s="4" t="str">
        <f>IF(VLOOKUP($B60,augment_header!$B$2:$G$72,3,FALSE)="√","√","")</f>
        <v/>
      </c>
      <c r="E60" s="4" t="str">
        <f>IF(VLOOKUP($B60,augment_header!$B$2:$G$72,4,FALSE)="√","√","")</f>
        <v/>
      </c>
      <c r="F60" s="4" t="str">
        <f>_xlfn.LET(_xlpm.x,VLOOKUP($B60,augment_header!$B$2:$G$72,5,FALSE),IF(_xlpm.x="","",_xlpm.x))</f>
        <v/>
      </c>
    </row>
    <row r="61" spans="1:7" ht="15" x14ac:dyDescent="0.2">
      <c r="A61" s="2">
        <v>59</v>
      </c>
      <c r="B61" s="3" t="s">
        <v>3667</v>
      </c>
      <c r="C61" s="2" t="str">
        <f>_xlfn.LET(_xlpm.x,VLOOKUP($B61,augment_header!$B$2:$G$72,2,FALSE),IF(_xlpm.x="","",_xlpm.x))</f>
        <v>任务完成描述键</v>
      </c>
      <c r="D61" s="4" t="str">
        <f>IF(VLOOKUP($B61,augment_header!$B$2:$G$72,3,FALSE)="√","√","")</f>
        <v>√</v>
      </c>
      <c r="E61" s="4" t="str">
        <f>IF(VLOOKUP($B61,augment_header!$B$2:$G$72,4,FALSE)="√","√","")</f>
        <v/>
      </c>
      <c r="F61" s="4" t="str">
        <f>_xlfn.LET(_xlpm.x,VLOOKUP($B61,augment_header!$B$2:$G$72,5,FALSE),IF(_xlpm.x="","",_xlpm.x))</f>
        <v/>
      </c>
    </row>
    <row r="62" spans="1:7" ht="15" x14ac:dyDescent="0.2">
      <c r="A62" s="2">
        <v>60</v>
      </c>
      <c r="B62" s="3" t="s">
        <v>3668</v>
      </c>
      <c r="C62" s="2" t="str">
        <f>_xlfn.LET(_xlpm.x,VLOOKUP($B62,augment_header!$B$2:$G$72,2,FALSE),IF(_xlpm.x="","",_xlpm.x))</f>
        <v>任务栏位图标纹理路径</v>
      </c>
      <c r="D62" s="4" t="str">
        <f>IF(VLOOKUP($B62,augment_header!$B$2:$G$72,3,FALSE)="√","√","")</f>
        <v>√</v>
      </c>
      <c r="E62" s="4" t="str">
        <f>IF(VLOOKUP($B62,augment_header!$B$2:$G$72,4,FALSE)="√","√","")</f>
        <v/>
      </c>
      <c r="F62" s="4" t="str">
        <f>_xlfn.LET(_xlpm.x,VLOOKUP($B62,augment_header!$B$2:$G$72,5,FALSE),IF(_xlpm.x="","",_xlpm.x))</f>
        <v/>
      </c>
    </row>
    <row r="63" spans="1:7" ht="15" x14ac:dyDescent="0.2">
      <c r="A63" s="2">
        <v>61</v>
      </c>
      <c r="B63" s="3" t="s">
        <v>3669</v>
      </c>
      <c r="C63" s="2" t="str">
        <f>_xlfn.LET(_xlpm.x,VLOOKUP($B63,augment_header!$B$2:$G$72,2,FALSE),IF(_xlpm.x="","",_xlpm.x))</f>
        <v/>
      </c>
      <c r="D63" s="4" t="str">
        <f>IF(VLOOKUP($B63,augment_header!$B$2:$G$72,3,FALSE)="√","√","")</f>
        <v>√</v>
      </c>
      <c r="E63" s="4" t="str">
        <f>IF(VLOOKUP($B63,augment_header!$B$2:$G$72,4,FALSE)="√","√","")</f>
        <v>√</v>
      </c>
      <c r="F63" s="4" t="b">
        <f>_xlfn.LET(_xlpm.x,VLOOKUP($B63,augment_header!$B$2:$G$72,5,FALSE),IF(_xlpm.x="","",_xlpm.x))</f>
        <v>0</v>
      </c>
    </row>
    <row r="64" spans="1:7" ht="15" x14ac:dyDescent="0.2">
      <c r="A64" s="2">
        <v>62</v>
      </c>
      <c r="B64" s="3" t="s">
        <v>3670</v>
      </c>
      <c r="C64" s="2" t="str">
        <f>_xlfn.LET(_xlpm.x,VLOOKUP($B64,augment_header!$B$2:$G$72,2,FALSE),IF(_xlpm.x="","",_xlpm.x))</f>
        <v>任务线里程信息</v>
      </c>
      <c r="D64" s="4" t="str">
        <f>IF(VLOOKUP($B64,augment_header!$B$2:$G$72,3,FALSE)="√","√","")</f>
        <v/>
      </c>
      <c r="E64" s="4" t="str">
        <f>IF(VLOOKUP($B64,augment_header!$B$2:$G$72,4,FALSE)="√","√","")</f>
        <v/>
      </c>
      <c r="F64" s="4" t="str">
        <f>_xlfn.LET(_xlpm.x,VLOOKUP($B64,augment_header!$B$2:$G$72,5,FALSE),IF(_xlpm.x="","",_xlpm.x))</f>
        <v/>
      </c>
    </row>
    <row r="65" spans="1:6" ht="15" x14ac:dyDescent="0.2">
      <c r="A65" s="2">
        <v>63</v>
      </c>
      <c r="B65" s="3" t="s">
        <v>3671</v>
      </c>
      <c r="C65" s="2" t="str">
        <f>_xlfn.LET(_xlpm.x,VLOOKUP($B65,augment_header!$B$2:$G$72,2,FALSE),IF(_xlpm.x="","",_xlpm.x))</f>
        <v>任务线相关强化符文</v>
      </c>
      <c r="D65" s="4" t="str">
        <f>IF(VLOOKUP($B65,augment_header!$B$2:$G$72,3,FALSE)="√","√","")</f>
        <v>√</v>
      </c>
      <c r="E65" s="4" t="str">
        <f>IF(VLOOKUP($B65,augment_header!$B$2:$G$72,4,FALSE)="√","√","")</f>
        <v/>
      </c>
      <c r="F65" s="4" t="str">
        <f>_xlfn.LET(_xlpm.x,VLOOKUP($B65,augment_header!$B$2:$G$72,5,FALSE),IF(_xlpm.x="","",_xlpm.x))</f>
        <v/>
      </c>
    </row>
    <row r="66" spans="1:6" ht="15" x14ac:dyDescent="0.2">
      <c r="A66" s="2">
        <v>64</v>
      </c>
      <c r="B66" s="3" t="s">
        <v>3720</v>
      </c>
      <c r="C66" s="2" t="str">
        <f>_xlfn.LET(_xlpm.x,VLOOKUP($B66,augment_header!$B$2:$G$72,2,FALSE),IF(_xlpm.x="","",_xlpm.x))</f>
        <v/>
      </c>
      <c r="D66" s="4" t="str">
        <f>IF(VLOOKUP($B66,augment_header!$B$2:$G$72,3,FALSE)="√","√","")</f>
        <v>√</v>
      </c>
      <c r="E66" s="4" t="str">
        <f>IF(VLOOKUP($B66,augment_header!$B$2:$G$72,4,FALSE)="√","√","")</f>
        <v/>
      </c>
      <c r="F66" s="4" t="b">
        <f>_xlfn.LET(_xlpm.x,VLOOKUP($B66,augment_header!$B$2:$G$72,5,FALSE),IF(_xlpm.x="","",_xlpm.x))</f>
        <v>0</v>
      </c>
    </row>
    <row r="67" spans="1:6" ht="15" x14ac:dyDescent="0.2">
      <c r="A67" s="2">
        <v>65</v>
      </c>
      <c r="B67" s="56" t="s">
        <v>3678</v>
      </c>
      <c r="C67" s="2" t="str">
        <f>_xlfn.LET(_xlpm.x,VLOOKUP($B67,augment_header!$B$2:$G$72,2,FALSE),IF(_xlpm.x="","",_xlpm.x))</f>
        <v>任务线对应强化符文名称（中文）</v>
      </c>
      <c r="D67" s="4" t="str">
        <f>IF(VLOOKUP($B67,augment_header!$B$2:$G$72,3,FALSE)="√","√","")</f>
        <v/>
      </c>
      <c r="E67" s="4" t="str">
        <f>IF(VLOOKUP($B67,augment_header!$B$2:$G$72,4,FALSE)="√","√","")</f>
        <v/>
      </c>
      <c r="F67" s="4" t="str">
        <f>_xlfn.LET(_xlpm.x,VLOOKUP($B67,augment_header!$B$2:$G$72,5,FALSE),IF(_xlpm.x="","",_xlpm.x))</f>
        <v/>
      </c>
    </row>
    <row r="68" spans="1:6" ht="15" x14ac:dyDescent="0.2">
      <c r="A68" s="2">
        <v>66</v>
      </c>
      <c r="B68" s="56" t="s">
        <v>3679</v>
      </c>
      <c r="C68" s="2" t="str">
        <f>_xlfn.LET(_xlpm.x,VLOOKUP($B68,augment_header!$B$2:$G$72,2,FALSE),IF(_xlpm.x="","",_xlpm.x))</f>
        <v>任务线对应强化符文名称（英文）</v>
      </c>
      <c r="D68" s="4" t="str">
        <f>IF(VLOOKUP($B68,augment_header!$B$2:$G$72,3,FALSE)="√","√","")</f>
        <v/>
      </c>
      <c r="E68" s="4" t="str">
        <f>IF(VLOOKUP($B68,augment_header!$B$2:$G$72,4,FALSE)="√","√","")</f>
        <v/>
      </c>
      <c r="F68" s="4" t="str">
        <f>_xlfn.LET(_xlpm.x,VLOOKUP($B68,augment_header!$B$2:$G$72,5,FALSE),IF(_xlpm.x="","",_xlpm.x))</f>
        <v/>
      </c>
    </row>
    <row r="69" spans="1:6" ht="15" x14ac:dyDescent="0.2">
      <c r="A69" s="2">
        <v>67</v>
      </c>
      <c r="B69" s="56" t="s">
        <v>3682</v>
      </c>
      <c r="C69" s="2" t="str">
        <f>_xlfn.LET(_xlpm.x,VLOOKUP($B69,augment_header!$B$2:$G$72,2,FALSE),IF(_xlpm.x="","",_xlpm.x))</f>
        <v>任务完成描述（中文）</v>
      </c>
      <c r="D69" s="4" t="str">
        <f>IF(VLOOKUP($B69,augment_header!$B$2:$G$72,3,FALSE)="√","√","")</f>
        <v/>
      </c>
      <c r="E69" s="4" t="str">
        <f>IF(VLOOKUP($B69,augment_header!$B$2:$G$72,4,FALSE)="√","√","")</f>
        <v/>
      </c>
      <c r="F69" s="4" t="str">
        <f>_xlfn.LET(_xlpm.x,VLOOKUP($B69,augment_header!$B$2:$G$72,5,FALSE),IF(_xlpm.x="","",_xlpm.x))</f>
        <v/>
      </c>
    </row>
    <row r="70" spans="1:6" ht="15" x14ac:dyDescent="0.2">
      <c r="A70" s="2">
        <v>68</v>
      </c>
      <c r="B70" s="56" t="s">
        <v>3683</v>
      </c>
      <c r="C70" s="2" t="str">
        <f>_xlfn.LET(_xlpm.x,VLOOKUP($B70,augment_header!$B$2:$G$72,2,FALSE),IF(_xlpm.x="","",_xlpm.x))</f>
        <v>任务完成描述（中文/数值转换）</v>
      </c>
      <c r="D70" s="4" t="str">
        <f>IF(VLOOKUP($B70,augment_header!$B$2:$G$72,3,FALSE)="√","√","")</f>
        <v/>
      </c>
      <c r="E70" s="4" t="str">
        <f>IF(VLOOKUP($B70,augment_header!$B$2:$G$72,4,FALSE)="√","√","")</f>
        <v/>
      </c>
      <c r="F70" s="4" t="str">
        <f>_xlfn.LET(_xlpm.x,VLOOKUP($B70,augment_header!$B$2:$G$72,5,FALSE),IF(_xlpm.x="","",_xlpm.x))</f>
        <v/>
      </c>
    </row>
    <row r="71" spans="1:6" ht="15" x14ac:dyDescent="0.2">
      <c r="A71" s="2">
        <v>69</v>
      </c>
      <c r="B71" s="56" t="s">
        <v>3688</v>
      </c>
      <c r="C71" s="2" t="str">
        <f>_xlfn.LET(_xlpm.x,VLOOKUP($B71,augment_header!$B$2:$G$72,2,FALSE),IF(_xlpm.x="","",_xlpm.x))</f>
        <v>任务完成描述（英文）</v>
      </c>
      <c r="D71" s="4" t="str">
        <f>IF(VLOOKUP($B71,augment_header!$B$2:$G$72,3,FALSE)="√","√","")</f>
        <v/>
      </c>
      <c r="E71" s="4" t="str">
        <f>IF(VLOOKUP($B71,augment_header!$B$2:$G$72,4,FALSE)="√","√","")</f>
        <v/>
      </c>
      <c r="F71" s="4" t="str">
        <f>_xlfn.LET(_xlpm.x,VLOOKUP($B71,augment_header!$B$2:$G$72,5,FALSE),IF(_xlpm.x="","",_xlpm.x))</f>
        <v/>
      </c>
    </row>
    <row r="72" spans="1:6" ht="15" x14ac:dyDescent="0.2">
      <c r="A72" s="2">
        <v>70</v>
      </c>
      <c r="B72" s="56" t="s">
        <v>3689</v>
      </c>
      <c r="C72" s="2" t="str">
        <f>_xlfn.LET(_xlpm.x,VLOOKUP($B72,augment_header!$B$2:$G$72,2,FALSE),IF(_xlpm.x="","",_xlpm.x))</f>
        <v>任务完成描述（英文/数值转换）</v>
      </c>
      <c r="D72" s="4" t="str">
        <f>IF(VLOOKUP($B72,augment_header!$B$2:$G$72,3,FALSE)="√","√","")</f>
        <v/>
      </c>
      <c r="E72" s="4" t="str">
        <f>IF(VLOOKUP($B72,augment_header!$B$2:$G$72,4,FALSE)="√","√","")</f>
        <v/>
      </c>
      <c r="F72" s="4" t="str">
        <f>_xlfn.LET(_xlpm.x,VLOOKUP($B72,augment_header!$B$2:$G$72,5,FALSE),IF(_xlpm.x="","",_xlpm.x))</f>
        <v/>
      </c>
    </row>
  </sheetData>
  <sortState xmlns:xlrd2="http://schemas.microsoft.com/office/spreadsheetml/2017/richdata2" ref="A2:G72">
    <sortCondition ref="A1:A72"/>
  </sortState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F4AE2-E018-4A55-AB79-84ED0A5A4B27}">
  <sheetPr codeName="Sheet20"/>
  <dimension ref="A1:G72"/>
  <sheetViews>
    <sheetView workbookViewId="0">
      <selection activeCell="B23" sqref="B23"/>
    </sheetView>
  </sheetViews>
  <sheetFormatPr defaultRowHeight="14.25" x14ac:dyDescent="0.2"/>
  <cols>
    <col min="2" max="2" width="53.875" bestFit="1" customWidth="1"/>
    <col min="3" max="3" width="43" bestFit="1" customWidth="1"/>
    <col min="4" max="4" width="14.375" style="4" bestFit="1" customWidth="1"/>
    <col min="5" max="6" width="9" style="4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tr">
        <f>_xlfn.LET(_xlpm.x,VLOOKUP($B2,augment_header!$B$2:$G$72,2,FALSE),IF(_xlpm.x="","",_xlpm.x))</f>
        <v>主键</v>
      </c>
      <c r="D2" s="4" t="str">
        <f>IF(VLOOKUP($B2,augment_header!$B$2:$G$72,3,FALSE)="√","√","")</f>
        <v>√</v>
      </c>
      <c r="E2" s="4" t="str">
        <f>IF(VLOOKUP($B2,augment_header!$B$2:$G$72,4,FALSE)="√","√","")</f>
        <v/>
      </c>
      <c r="F2" s="4" t="str">
        <f>_xlfn.LET(_xlpm.x,VLOOKUP($B2,augment_header!$B$2:$G$72,5,FALSE),IF(_xlpm.x="","",_xlpm.x))</f>
        <v/>
      </c>
      <c r="G2">
        <v>0</v>
      </c>
    </row>
    <row r="3" spans="1:7" ht="15" x14ac:dyDescent="0.2">
      <c r="A3">
        <v>1</v>
      </c>
      <c r="B3" s="1" t="s">
        <v>437</v>
      </c>
      <c r="C3" t="str">
        <f>_xlfn.LET(_xlpm.x,VLOOKUP($B3,augment_header!$B$2:$G$72,2,FALSE),IF(_xlpm.x="","",_xlpm.x))</f>
        <v>强化符文代码</v>
      </c>
      <c r="D3" s="4" t="str">
        <f>IF(VLOOKUP($B3,augment_header!$B$2:$G$72,3,FALSE)="√","√","")</f>
        <v>√</v>
      </c>
      <c r="E3" s="4" t="str">
        <f>IF(VLOOKUP($B3,augment_header!$B$2:$G$72,4,FALSE)="√","√","")</f>
        <v/>
      </c>
      <c r="F3" s="4" t="str">
        <f>_xlfn.LET(_xlpm.x,VLOOKUP($B3,augment_header!$B$2:$G$72,5,FALSE),IF(_xlpm.x="","",_xlpm.x))</f>
        <v/>
      </c>
      <c r="G3">
        <v>1</v>
      </c>
    </row>
    <row r="4" spans="1:7" ht="15" x14ac:dyDescent="0.2">
      <c r="A4">
        <v>2</v>
      </c>
      <c r="B4" s="1" t="s">
        <v>447</v>
      </c>
      <c r="C4" t="str">
        <f>_xlfn.LET(_xlpm.x,VLOOKUP($B4,augment_header!$B$2:$G$72,2,FALSE),IF(_xlpm.x="","",_xlpm.x))</f>
        <v>可用性</v>
      </c>
      <c r="D4" s="4" t="str">
        <f>IF(VLOOKUP($B4,augment_header!$B$2:$G$72,3,FALSE)="√","√","")</f>
        <v>√</v>
      </c>
      <c r="E4" s="4" t="str">
        <f>IF(VLOOKUP($B4,augment_header!$B$2:$G$72,4,FALSE)="√","√","")</f>
        <v>√</v>
      </c>
      <c r="F4" s="4" t="b">
        <f>_xlfn.LET(_xlpm.x,VLOOKUP($B4,augment_header!$B$2:$G$72,5,FALSE),IF(_xlpm.x="","",_xlpm.x))</f>
        <v>1</v>
      </c>
    </row>
    <row r="5" spans="1:7" ht="15" x14ac:dyDescent="0.2">
      <c r="A5">
        <v>3</v>
      </c>
      <c r="B5" s="1" t="s">
        <v>439</v>
      </c>
      <c r="C5" t="str">
        <f>_xlfn.LET(_xlpm.x,VLOOKUP($B5,augment_header!$B$2:$G$72,2,FALSE),IF(_xlpm.x="","",_xlpm.x))</f>
        <v>名称键</v>
      </c>
      <c r="D5" s="4" t="str">
        <f>IF(VLOOKUP($B5,augment_header!$B$2:$G$72,3,FALSE)="√","√","")</f>
        <v>√</v>
      </c>
      <c r="E5" s="4" t="str">
        <f>IF(VLOOKUP($B5,augment_header!$B$2:$G$72,4,FALSE)="√","√","")</f>
        <v/>
      </c>
      <c r="F5" s="4" t="str">
        <f>_xlfn.LET(_xlpm.x,VLOOKUP($B5,augment_header!$B$2:$G$72,5,FALSE),IF(_xlpm.x="","",_xlpm.x))</f>
        <v/>
      </c>
      <c r="G5">
        <v>3</v>
      </c>
    </row>
    <row r="6" spans="1:7" ht="15" x14ac:dyDescent="0.2">
      <c r="A6">
        <v>4</v>
      </c>
      <c r="B6" s="1" t="s">
        <v>440</v>
      </c>
      <c r="C6" t="str">
        <f>_xlfn.LET(_xlpm.x,VLOOKUP($B6,augment_header!$B$2:$G$72,2,FALSE),IF(_xlpm.x="","",_xlpm.x))</f>
        <v>简介键</v>
      </c>
      <c r="D6" s="4" t="str">
        <f>IF(VLOOKUP($B6,augment_header!$B$2:$G$72,3,FALSE)="√","√","")</f>
        <v>√</v>
      </c>
      <c r="E6" s="4" t="str">
        <f>IF(VLOOKUP($B6,augment_header!$B$2:$G$72,4,FALSE)="√","√","")</f>
        <v/>
      </c>
      <c r="F6" s="4" t="str">
        <f>_xlfn.LET(_xlpm.x,VLOOKUP($B6,augment_header!$B$2:$G$72,5,FALSE),IF(_xlpm.x="","",_xlpm.x))</f>
        <v/>
      </c>
      <c r="G6">
        <v>9</v>
      </c>
    </row>
    <row r="7" spans="1:7" ht="15" x14ac:dyDescent="0.2">
      <c r="A7">
        <v>5</v>
      </c>
      <c r="B7" s="1" t="s">
        <v>441</v>
      </c>
      <c r="C7" t="str">
        <f>_xlfn.LET(_xlpm.x,VLOOKUP($B7,augment_header!$B$2:$G$72,2,FALSE),IF(_xlpm.x="","",_xlpm.x))</f>
        <v>强化符文详细信息键</v>
      </c>
      <c r="D7" s="4" t="str">
        <f>IF(VLOOKUP($B7,augment_header!$B$2:$G$72,3,FALSE)="√","√","")</f>
        <v>√</v>
      </c>
      <c r="E7" s="4" t="str">
        <f>IF(VLOOKUP($B7,augment_header!$B$2:$G$72,4,FALSE)="√","√","")</f>
        <v/>
      </c>
      <c r="F7" s="4" t="str">
        <f>_xlfn.LET(_xlpm.x,VLOOKUP($B7,augment_header!$B$2:$G$72,5,FALSE),IF(_xlpm.x="","",_xlpm.x))</f>
        <v/>
      </c>
      <c r="G7">
        <v>14</v>
      </c>
    </row>
    <row r="8" spans="1:7" ht="15" x14ac:dyDescent="0.2">
      <c r="A8">
        <v>6</v>
      </c>
      <c r="B8" s="1" t="s">
        <v>445</v>
      </c>
      <c r="C8" t="str">
        <f>_xlfn.LET(_xlpm.x,VLOOKUP($B8,augment_header!$B$2:$G$72,2,FALSE),IF(_xlpm.x="","",_xlpm.x))</f>
        <v>根指令主键</v>
      </c>
      <c r="D8" s="4" t="str">
        <f>IF(VLOOKUP($B8,augment_header!$B$2:$G$72,3,FALSE)="√","√","")</f>
        <v>√</v>
      </c>
      <c r="E8" s="4" t="str">
        <f>IF(VLOOKUP($B8,augment_header!$B$2:$G$72,4,FALSE)="√","√","")</f>
        <v/>
      </c>
      <c r="F8" s="4" t="str">
        <f>_xlfn.LET(_xlpm.x,VLOOKUP($B8,augment_header!$B$2:$G$72,5,FALSE),IF(_xlpm.x="","",_xlpm.x))</f>
        <v/>
      </c>
      <c r="G8">
        <v>19</v>
      </c>
    </row>
    <row r="9" spans="1:7" ht="15" x14ac:dyDescent="0.2">
      <c r="A9">
        <v>7</v>
      </c>
      <c r="B9" s="1" t="s">
        <v>3867</v>
      </c>
      <c r="C9" t="str">
        <f>_xlfn.LET(_xlpm.x,VLOOKUP($B9,augment_header!$B$2:$G$72,2,FALSE),IF(_xlpm.x="","",_xlpm.x))</f>
        <v>其它指令主键列表</v>
      </c>
      <c r="D9" s="4" t="str">
        <f>IF(VLOOKUP($B9,augment_header!$B$2:$G$72,3,FALSE)="√","√","")</f>
        <v>√</v>
      </c>
      <c r="E9" s="4" t="str">
        <f>IF(VLOOKUP($B9,augment_header!$B$2:$G$72,4,FALSE)="√","√","")</f>
        <v/>
      </c>
      <c r="F9" s="4" t="str">
        <f>_xlfn.LET(_xlpm.x,VLOOKUP($B9,augment_header!$B$2:$G$72,5,FALSE),IF(_xlpm.x="","",_xlpm.x))</f>
        <v/>
      </c>
    </row>
    <row r="10" spans="1:7" ht="15" x14ac:dyDescent="0.2">
      <c r="A10">
        <v>8</v>
      </c>
      <c r="B10" s="1" t="s">
        <v>449</v>
      </c>
      <c r="C10" t="str">
        <f>_xlfn.LET(_xlpm.x,VLOOKUP($B10,augment_header!$B$2:$G$72,2,FALSE),IF(_xlpm.x="","",_xlpm.x))</f>
        <v>强化符文标签</v>
      </c>
      <c r="D10" s="4" t="str">
        <f>IF(VLOOKUP($B10,augment_header!$B$2:$G$72,3,FALSE)="√","√","")</f>
        <v>√</v>
      </c>
      <c r="E10" s="4" t="str">
        <f>IF(VLOOKUP($B10,augment_header!$B$2:$G$72,4,FALSE)="√","√","")</f>
        <v>√</v>
      </c>
      <c r="F10" s="4" t="str">
        <f>_xlfn.LET(_xlpm.x,VLOOKUP($B10,augment_header!$B$2:$G$72,5,FALSE),IF(_xlpm.x="","",_xlpm.x))</f>
        <v/>
      </c>
    </row>
    <row r="11" spans="1:7" ht="15" x14ac:dyDescent="0.2">
      <c r="A11">
        <v>9</v>
      </c>
      <c r="B11" s="1" t="s">
        <v>451</v>
      </c>
      <c r="C11" t="str">
        <f>_xlfn.LET(_xlpm.x,VLOOKUP($B11,augment_header!$B$2:$G$72,2,FALSE),IF(_xlpm.x="","",_xlpm.x))</f>
        <v>构建标签</v>
      </c>
      <c r="D11" s="4" t="str">
        <f>IF(VLOOKUP($B11,augment_header!$B$2:$G$72,3,FALSE)="√","√","")</f>
        <v>√</v>
      </c>
      <c r="E11" s="4" t="str">
        <f>IF(VLOOKUP($B11,augment_header!$B$2:$G$72,4,FALSE)="√","√","")</f>
        <v>√</v>
      </c>
      <c r="F11" s="4" t="str">
        <f>_xlfn.LET(_xlpm.x,VLOOKUP($B11,augment_header!$B$2:$G$72,5,FALSE),IF(_xlpm.x="","",_xlpm.x))</f>
        <v/>
      </c>
      <c r="G11">
        <v>8</v>
      </c>
    </row>
    <row r="12" spans="1:7" ht="15" x14ac:dyDescent="0.2">
      <c r="A12">
        <v>10</v>
      </c>
      <c r="B12" s="1" t="s">
        <v>3437</v>
      </c>
      <c r="C12" t="str">
        <f>_xlfn.LET(_xlpm.x,VLOOKUP($B12,augment_header!$B$2:$G$72,2,FALSE),IF(_xlpm.x="","",_xlpm.x))</f>
        <v>强化符文详细信息描述部分键</v>
      </c>
      <c r="D12" s="4" t="str">
        <f>IF(VLOOKUP($B12,augment_header!$B$2:$G$72,3,FALSE)="√","√","")</f>
        <v>√</v>
      </c>
      <c r="E12" s="4" t="str">
        <f>IF(VLOOKUP($B12,augment_header!$B$2:$G$72,4,FALSE)="√","√","")</f>
        <v/>
      </c>
      <c r="F12" s="4" t="str">
        <f>_xlfn.LET(_xlpm.x,VLOOKUP($B12,augment_header!$B$2:$G$72,5,FALSE),IF(_xlpm.x="","",_xlpm.x))</f>
        <v/>
      </c>
    </row>
    <row r="13" spans="1:7" ht="15" x14ac:dyDescent="0.2">
      <c r="A13">
        <v>11</v>
      </c>
      <c r="B13" s="1" t="s">
        <v>3438</v>
      </c>
      <c r="C13" t="str">
        <f>_xlfn.LET(_xlpm.x,VLOOKUP($B13,augment_header!$B$2:$G$72,2,FALSE),IF(_xlpm.x="","",_xlpm.x))</f>
        <v>强化符文详细信息追踪部分键</v>
      </c>
      <c r="D13" s="4" t="str">
        <f>IF(VLOOKUP($B13,augment_header!$B$2:$G$72,3,FALSE)="√","√","")</f>
        <v>√</v>
      </c>
      <c r="E13" s="4" t="str">
        <f>IF(VLOOKUP($B13,augment_header!$B$2:$G$72,4,FALSE)="√","√","")</f>
        <v>√</v>
      </c>
      <c r="F13" s="4" t="str">
        <f>_xlfn.LET(_xlpm.x,VLOOKUP($B13,augment_header!$B$2:$G$72,5,FALSE),IF(_xlpm.x="","",_xlpm.x))</f>
        <v/>
      </c>
    </row>
    <row r="14" spans="1:7" ht="15" x14ac:dyDescent="0.2">
      <c r="A14">
        <v>12</v>
      </c>
      <c r="B14" s="1" t="s">
        <v>3439</v>
      </c>
      <c r="C14" t="str">
        <f>_xlfn.LET(_xlpm.x,VLOOKUP($B14,augment_header!$B$2:$G$72,2,FALSE),IF(_xlpm.x="","",_xlpm.x))</f>
        <v>满级效果简介键</v>
      </c>
      <c r="D14" s="4" t="str">
        <f>IF(VLOOKUP($B14,augment_header!$B$2:$G$72,3,FALSE)="√","√","")</f>
        <v>√</v>
      </c>
      <c r="E14" s="4" t="str">
        <f>IF(VLOOKUP($B14,augment_header!$B$2:$G$72,4,FALSE)="√","√","")</f>
        <v/>
      </c>
      <c r="F14" s="4" t="str">
        <f>_xlfn.LET(_xlpm.x,VLOOKUP($B14,augment_header!$B$2:$G$72,5,FALSE),IF(_xlpm.x="","",_xlpm.x))</f>
        <v/>
      </c>
    </row>
    <row r="15" spans="1:7" ht="15" x14ac:dyDescent="0.2">
      <c r="A15">
        <v>13</v>
      </c>
      <c r="B15" s="1" t="s">
        <v>3440</v>
      </c>
      <c r="C15" t="str">
        <f>_xlfn.LET(_xlpm.x,VLOOKUP($B15,augment_header!$B$2:$G$72,2,FALSE),IF(_xlpm.x="","",_xlpm.x))</f>
        <v>满级效果详细信息键</v>
      </c>
      <c r="D15" s="4" t="str">
        <f>IF(VLOOKUP($B15,augment_header!$B$2:$G$72,3,FALSE)="√","√","")</f>
        <v>√</v>
      </c>
      <c r="E15" s="4" t="str">
        <f>IF(VLOOKUP($B15,augment_header!$B$2:$G$72,4,FALSE)="√","√","")</f>
        <v/>
      </c>
      <c r="F15" s="4" t="str">
        <f>_xlfn.LET(_xlpm.x,VLOOKUP($B15,augment_header!$B$2:$G$72,5,FALSE),IF(_xlpm.x="","",_xlpm.x))</f>
        <v/>
      </c>
    </row>
    <row r="16" spans="1:7" ht="15" x14ac:dyDescent="0.2">
      <c r="A16">
        <v>14</v>
      </c>
      <c r="B16" s="1" t="s">
        <v>465</v>
      </c>
      <c r="C16" t="str">
        <f>_xlfn.LET(_xlpm.x,VLOOKUP($B16,augment_header!$B$2:$G$72,2,FALSE),IF(_xlpm.x="","",_xlpm.x))</f>
        <v>强化符文大图标路径</v>
      </c>
      <c r="D16" s="4" t="str">
        <f>IF(VLOOKUP($B16,augment_header!$B$2:$G$72,3,FALSE)="√","√","")</f>
        <v>√</v>
      </c>
      <c r="E16" s="4" t="str">
        <f>IF(VLOOKUP($B16,augment_header!$B$2:$G$72,4,FALSE)="√","√","")</f>
        <v/>
      </c>
      <c r="F16" s="4" t="str">
        <f>_xlfn.LET(_xlpm.x,VLOOKUP($B16,augment_header!$B$2:$G$72,5,FALSE),IF(_xlpm.x="","",_xlpm.x))</f>
        <v/>
      </c>
      <c r="G16">
        <v>21</v>
      </c>
    </row>
    <row r="17" spans="1:7" ht="15" x14ac:dyDescent="0.2">
      <c r="A17">
        <v>15</v>
      </c>
      <c r="B17" s="1" t="s">
        <v>453</v>
      </c>
      <c r="C17" t="str">
        <f>_xlfn.LET(_xlpm.x,VLOOKUP($B17,augment_header!$B$2:$G$72,2,FALSE),IF(_xlpm.x="","",_xlpm.x))</f>
        <v>强化符文小图标路径</v>
      </c>
      <c r="D17" s="4" t="str">
        <f>IF(VLOOKUP($B17,augment_header!$B$2:$G$72,3,FALSE)="√","√","")</f>
        <v>√</v>
      </c>
      <c r="E17" s="4" t="str">
        <f>IF(VLOOKUP($B17,augment_header!$B$2:$G$72,4,FALSE)="√","√","")</f>
        <v/>
      </c>
      <c r="F17" s="4" t="str">
        <f>_xlfn.LET(_xlpm.x,VLOOKUP($B17,augment_header!$B$2:$G$72,5,FALSE),IF(_xlpm.x="","",_xlpm.x))</f>
        <v/>
      </c>
      <c r="G17">
        <v>22</v>
      </c>
    </row>
    <row r="18" spans="1:7" ht="15" x14ac:dyDescent="0.2">
      <c r="A18">
        <v>16</v>
      </c>
      <c r="B18" s="1" t="s">
        <v>3483</v>
      </c>
      <c r="C18" t="str">
        <f>_xlfn.LET(_xlpm.x,VLOOKUP($B18,augment_header!$B$2:$G$72,2,FALSE),IF(_xlpm.x="","",_xlpm.x))</f>
        <v>次级稀有度</v>
      </c>
      <c r="D18" s="4" t="str">
        <f>IF(VLOOKUP($B18,augment_header!$B$2:$G$72,3,FALSE)="√","√","")</f>
        <v>√</v>
      </c>
      <c r="E18" s="4" t="str">
        <f>IF(VLOOKUP($B18,augment_header!$B$2:$G$72,4,FALSE)="√","√","")</f>
        <v>√</v>
      </c>
      <c r="F18" s="4" t="str">
        <f>_xlfn.LET(_xlpm.x,VLOOKUP($B18,augment_header!$B$2:$G$72,5,FALSE),IF(_xlpm.x="","",_xlpm.x))</f>
        <v/>
      </c>
    </row>
    <row r="19" spans="1:7" ht="15" x14ac:dyDescent="0.2">
      <c r="A19">
        <v>17</v>
      </c>
      <c r="B19" s="1" t="s">
        <v>455</v>
      </c>
      <c r="C19" t="str">
        <f>_xlfn.LET(_xlpm.x,VLOOKUP($B19,augment_header!$B$2:$G$72,2,FALSE),IF(_xlpm.x="","",_xlpm.x))</f>
        <v>强化符文显示标签</v>
      </c>
      <c r="D19" s="4" t="str">
        <f>IF(VLOOKUP($B19,augment_header!$B$2:$G$72,3,FALSE)="√","√","")</f>
        <v>√</v>
      </c>
      <c r="E19" s="4" t="str">
        <f>IF(VLOOKUP($B19,augment_header!$B$2:$G$72,4,FALSE)="√","√","")</f>
        <v/>
      </c>
      <c r="F19" s="4" t="str">
        <f>_xlfn.LET(_xlpm.x,VLOOKUP($B19,augment_header!$B$2:$G$72,5,FALSE),IF(_xlpm.x="","",_xlpm.x))</f>
        <v/>
      </c>
    </row>
    <row r="20" spans="1:7" ht="15" x14ac:dyDescent="0.2">
      <c r="A20">
        <v>18</v>
      </c>
      <c r="B20" s="1" t="s">
        <v>457</v>
      </c>
      <c r="C20" t="str">
        <f>_xlfn.LET(_xlpm.x,VLOOKUP($B20,augment_header!$B$2:$G$72,2,FALSE),IF(_xlpm.x="","",_xlpm.x))</f>
        <v>稀有度</v>
      </c>
      <c r="D20" s="4" t="str">
        <f>IF(VLOOKUP($B20,augment_header!$B$2:$G$72,3,FALSE)="√","√","")</f>
        <v>√</v>
      </c>
      <c r="E20" s="4" t="str">
        <f>IF(VLOOKUP($B20,augment_header!$B$2:$G$72,4,FALSE)="√","√","")</f>
        <v>√</v>
      </c>
      <c r="F20" s="4" t="str">
        <f>_xlfn.LET(_xlpm.x,VLOOKUP($B20,augment_header!$B$2:$G$72,5,FALSE),IF(_xlpm.x="","",_xlpm.x))</f>
        <v/>
      </c>
      <c r="G20">
        <v>6</v>
      </c>
    </row>
    <row r="21" spans="1:7" ht="15" x14ac:dyDescent="0.2">
      <c r="A21">
        <v>19</v>
      </c>
      <c r="B21" s="1" t="s">
        <v>3205</v>
      </c>
      <c r="C21" t="str">
        <f>_xlfn.LET(_xlpm.x,VLOOKUP($B21,augment_header!$B$2:$G$72,2,FALSE),IF(_xlpm.x="","",_xlpm.x))</f>
        <v>不占用栏位</v>
      </c>
      <c r="D21" s="4" t="str">
        <f>IF(VLOOKUP($B21,augment_header!$B$2:$G$72,3,FALSE)="√","√","")</f>
        <v>√</v>
      </c>
      <c r="E21" s="4" t="str">
        <f>IF(VLOOKUP($B21,augment_header!$B$2:$G$72,4,FALSE)="√","√","")</f>
        <v>√</v>
      </c>
      <c r="F21" s="4" t="b">
        <f>_xlfn.LET(_xlpm.x,VLOOKUP($B21,augment_header!$B$2:$G$72,5,FALSE),IF(_xlpm.x="","",_xlpm.x))</f>
        <v>0</v>
      </c>
    </row>
    <row r="22" spans="1:7" ht="15" x14ac:dyDescent="0.2">
      <c r="A22">
        <v>20</v>
      </c>
      <c r="B22" s="1" t="s">
        <v>459</v>
      </c>
      <c r="C22" t="str">
        <f>_xlfn.LET(_xlpm.x,VLOOKUP($B22,augment_header!$B$2:$G$72,2,FALSE),IF(_xlpm.x="","",_xlpm.x))</f>
        <v>强化符文序号</v>
      </c>
      <c r="D22" s="4" t="str">
        <f>IF(VLOOKUP($B22,augment_header!$B$2:$G$72,3,FALSE)="√","√","")</f>
        <v>√</v>
      </c>
      <c r="E22" s="4" t="str">
        <f>IF(VLOOKUP($B22,augment_header!$B$2:$G$72,4,FALSE)="√","√","")</f>
        <v/>
      </c>
      <c r="F22" s="4">
        <f>_xlfn.LET(_xlpm.x,VLOOKUP($B22,augment_header!$B$2:$G$72,5,FALSE),IF(_xlpm.x="","",_xlpm.x))</f>
        <v>-1</v>
      </c>
      <c r="G22">
        <v>2</v>
      </c>
    </row>
    <row r="23" spans="1:7" ht="15" x14ac:dyDescent="0.2">
      <c r="A23">
        <v>21</v>
      </c>
      <c r="B23" s="1" t="s">
        <v>3866</v>
      </c>
      <c r="C23" t="str">
        <f>_xlfn.LET(_xlpm.x,VLOOKUP($B23,augment_header!$B$2:$G$72,2,FALSE),IF(_xlpm.x="","",_xlpm.x))</f>
        <v>任务线主键</v>
      </c>
      <c r="D23" s="4" t="str">
        <f>IF(VLOOKUP($B23,augment_header!$B$2:$G$72,3,FALSE)="√","√","")</f>
        <v>√</v>
      </c>
      <c r="E23" s="4" t="str">
        <f>IF(VLOOKUP($B23,augment_header!$B$2:$G$72,4,FALSE)="√","√","")</f>
        <v>√</v>
      </c>
      <c r="F23" s="4" t="str">
        <f>_xlfn.LET(_xlpm.x,VLOOKUP($B23,augment_header!$B$2:$G$72,5,FALSE),IF(_xlpm.x="","",_xlpm.x))</f>
        <v/>
      </c>
    </row>
    <row r="24" spans="1:7" ht="15" x14ac:dyDescent="0.2">
      <c r="A24">
        <v>22</v>
      </c>
      <c r="B24" s="1" t="s">
        <v>3654</v>
      </c>
      <c r="C24" t="str">
        <f>_xlfn.LET(_xlpm.x,VLOOKUP($B24,augment_header!$B$2:$G$72,2,FALSE),IF(_xlpm.x="","",_xlpm.x))</f>
        <v>技能重载</v>
      </c>
      <c r="D24" s="4" t="str">
        <f>IF(VLOOKUP($B24,augment_header!$B$2:$G$72,3,FALSE)="√","√","")</f>
        <v>√</v>
      </c>
      <c r="E24" s="4" t="str">
        <f>IF(VLOOKUP($B24,augment_header!$B$2:$G$72,4,FALSE)="√","√","")</f>
        <v>√</v>
      </c>
      <c r="F24" s="4" t="b">
        <f>_xlfn.LET(_xlpm.x,VLOOKUP($B24,augment_header!$B$2:$G$72,5,FALSE),IF(_xlpm.x="","",_xlpm.x))</f>
        <v>0</v>
      </c>
    </row>
    <row r="25" spans="1:7" ht="15" x14ac:dyDescent="0.2">
      <c r="A25">
        <v>23</v>
      </c>
      <c r="B25" s="1" t="s">
        <v>3479</v>
      </c>
      <c r="C25" t="str">
        <f>_xlfn.LET(_xlpm.x,VLOOKUP($B25,augment_header!$B$2:$G$72,2,FALSE),IF(_xlpm.x="","",_xlpm.x))</f>
        <v>资源解析器主键</v>
      </c>
      <c r="D25" s="4" t="str">
        <f>IF(VLOOKUP($B25,augment_header!$B$2:$G$72,3,FALSE)="√","√","")</f>
        <v>√</v>
      </c>
      <c r="E25" s="4" t="str">
        <f>IF(VLOOKUP($B25,augment_header!$B$2:$G$72,4,FALSE)="√","√","")</f>
        <v>√</v>
      </c>
      <c r="F25" s="4" t="str">
        <f>_xlfn.LET(_xlpm.x,VLOOKUP($B25,augment_header!$B$2:$G$72,5,FALSE),IF(_xlpm.x="","",_xlpm.x))</f>
        <v/>
      </c>
    </row>
    <row r="26" spans="1:7" ht="15" x14ac:dyDescent="0.2">
      <c r="A26">
        <v>24</v>
      </c>
      <c r="B26" s="6" t="s">
        <v>467</v>
      </c>
      <c r="C26" t="str">
        <f>_xlfn.LET(_xlpm.x,VLOOKUP($B26,augment_header!$B$2:$G$72,2,FALSE),IF(_xlpm.x="","",_xlpm.x))</f>
        <v>名称（中文）</v>
      </c>
      <c r="D26" s="4" t="str">
        <f>IF(VLOOKUP($B26,augment_header!$B$2:$G$72,3,FALSE)="√","√","")</f>
        <v/>
      </c>
      <c r="E26" s="4" t="str">
        <f>IF(VLOOKUP($B26,augment_header!$B$2:$G$72,4,FALSE)="√","√","")</f>
        <v/>
      </c>
      <c r="F26" s="4" t="str">
        <f>_xlfn.LET(_xlpm.x,VLOOKUP($B26,augment_header!$B$2:$G$72,5,FALSE),IF(_xlpm.x="","",_xlpm.x))</f>
        <v/>
      </c>
      <c r="G26">
        <v>4</v>
      </c>
    </row>
    <row r="27" spans="1:7" ht="15" x14ac:dyDescent="0.2">
      <c r="A27">
        <v>25</v>
      </c>
      <c r="B27" s="6" t="s">
        <v>470</v>
      </c>
      <c r="C27" t="str">
        <f>_xlfn.LET(_xlpm.x,VLOOKUP($B27,augment_header!$B$2:$G$72,2,FALSE),IF(_xlpm.x="","",_xlpm.x))</f>
        <v>名称（英文）</v>
      </c>
      <c r="D27" s="4" t="str">
        <f>IF(VLOOKUP($B27,augment_header!$B$2:$G$72,3,FALSE)="√","√","")</f>
        <v/>
      </c>
      <c r="E27" s="4" t="str">
        <f>IF(VLOOKUP($B27,augment_header!$B$2:$G$72,4,FALSE)="√","√","")</f>
        <v/>
      </c>
      <c r="F27" s="4" t="str">
        <f>_xlfn.LET(_xlpm.x,VLOOKUP($B27,augment_header!$B$2:$G$72,5,FALSE),IF(_xlpm.x="","",_xlpm.x))</f>
        <v/>
      </c>
      <c r="G27">
        <v>5</v>
      </c>
    </row>
    <row r="28" spans="1:7" ht="15" x14ac:dyDescent="0.2">
      <c r="A28">
        <v>26</v>
      </c>
      <c r="B28" s="6" t="s">
        <v>468</v>
      </c>
      <c r="C28" t="str">
        <f>_xlfn.LET(_xlpm.x,VLOOKUP($B28,augment_header!$B$2:$G$72,2,FALSE),IF(_xlpm.x="","",_xlpm.x))</f>
        <v>简介（中文）</v>
      </c>
      <c r="D28" s="4" t="str">
        <f>IF(VLOOKUP($B28,augment_header!$B$2:$G$72,3,FALSE)="√","√","")</f>
        <v/>
      </c>
      <c r="E28" s="4" t="str">
        <f>IF(VLOOKUP($B28,augment_header!$B$2:$G$72,4,FALSE)="√","√","")</f>
        <v/>
      </c>
      <c r="F28" s="4" t="str">
        <f>_xlfn.LET(_xlpm.x,VLOOKUP($B28,augment_header!$B$2:$G$72,5,FALSE),IF(_xlpm.x="","",_xlpm.x))</f>
        <v/>
      </c>
      <c r="G28">
        <v>10</v>
      </c>
    </row>
    <row r="29" spans="1:7" ht="15" x14ac:dyDescent="0.2">
      <c r="A29">
        <v>27</v>
      </c>
      <c r="B29" s="6" t="s">
        <v>481</v>
      </c>
      <c r="C29" t="str">
        <f>_xlfn.LET(_xlpm.x,VLOOKUP($B29,augment_header!$B$2:$G$72,2,FALSE),IF(_xlpm.x="","",_xlpm.x))</f>
        <v>简介（中文/数值转换）</v>
      </c>
      <c r="D29" s="4" t="str">
        <f>IF(VLOOKUP($B29,augment_header!$B$2:$G$72,3,FALSE)="√","√","")</f>
        <v/>
      </c>
      <c r="E29" s="4" t="str">
        <f>IF(VLOOKUP($B29,augment_header!$B$2:$G$72,4,FALSE)="√","√","")</f>
        <v/>
      </c>
      <c r="F29" s="4" t="str">
        <f>_xlfn.LET(_xlpm.x,VLOOKUP($B29,augment_header!$B$2:$G$72,5,FALSE),IF(_xlpm.x="","",_xlpm.x))</f>
        <v/>
      </c>
      <c r="G29">
        <v>11</v>
      </c>
    </row>
    <row r="30" spans="1:7" ht="15" x14ac:dyDescent="0.2">
      <c r="A30">
        <v>28</v>
      </c>
      <c r="B30" s="6" t="s">
        <v>471</v>
      </c>
      <c r="C30" t="str">
        <f>_xlfn.LET(_xlpm.x,VLOOKUP($B30,augment_header!$B$2:$G$72,2,FALSE),IF(_xlpm.x="","",_xlpm.x))</f>
        <v>简介（英文）</v>
      </c>
      <c r="D30" s="4" t="str">
        <f>IF(VLOOKUP($B30,augment_header!$B$2:$G$72,3,FALSE)="√","√","")</f>
        <v/>
      </c>
      <c r="E30" s="4" t="str">
        <f>IF(VLOOKUP($B30,augment_header!$B$2:$G$72,4,FALSE)="√","√","")</f>
        <v/>
      </c>
      <c r="F30" s="4" t="str">
        <f>_xlfn.LET(_xlpm.x,VLOOKUP($B30,augment_header!$B$2:$G$72,5,FALSE),IF(_xlpm.x="","",_xlpm.x))</f>
        <v/>
      </c>
      <c r="G30">
        <v>12</v>
      </c>
    </row>
    <row r="31" spans="1:7" ht="15" x14ac:dyDescent="0.2">
      <c r="A31">
        <v>29</v>
      </c>
      <c r="B31" s="6" t="s">
        <v>483</v>
      </c>
      <c r="C31" t="str">
        <f>_xlfn.LET(_xlpm.x,VLOOKUP($B31,augment_header!$B$2:$G$72,2,FALSE),IF(_xlpm.x="","",_xlpm.x))</f>
        <v>简介（英文/数值转换）</v>
      </c>
      <c r="D31" s="4" t="str">
        <f>IF(VLOOKUP($B31,augment_header!$B$2:$G$72,3,FALSE)="√","√","")</f>
        <v/>
      </c>
      <c r="E31" s="4" t="str">
        <f>IF(VLOOKUP($B31,augment_header!$B$2:$G$72,4,FALSE)="√","√","")</f>
        <v/>
      </c>
      <c r="F31" s="4" t="str">
        <f>_xlfn.LET(_xlpm.x,VLOOKUP($B31,augment_header!$B$2:$G$72,5,FALSE),IF(_xlpm.x="","",_xlpm.x))</f>
        <v/>
      </c>
      <c r="G31">
        <v>13</v>
      </c>
    </row>
    <row r="32" spans="1:7" ht="15" x14ac:dyDescent="0.2">
      <c r="A32">
        <v>30</v>
      </c>
      <c r="B32" s="6" t="s">
        <v>469</v>
      </c>
      <c r="C32" t="str">
        <f>_xlfn.LET(_xlpm.x,VLOOKUP($B32,augment_header!$B$2:$G$72,2,FALSE),IF(_xlpm.x="","",_xlpm.x))</f>
        <v>强化符文详细信息（中文）</v>
      </c>
      <c r="D32" s="4" t="str">
        <f>IF(VLOOKUP($B32,augment_header!$B$2:$G$72,3,FALSE)="√","√","")</f>
        <v/>
      </c>
      <c r="E32" s="4" t="str">
        <f>IF(VLOOKUP($B32,augment_header!$B$2:$G$72,4,FALSE)="√","√","")</f>
        <v/>
      </c>
      <c r="F32" s="4" t="str">
        <f>_xlfn.LET(_xlpm.x,VLOOKUP($B32,augment_header!$B$2:$G$72,5,FALSE),IF(_xlpm.x="","",_xlpm.x))</f>
        <v/>
      </c>
      <c r="G32">
        <v>15</v>
      </c>
    </row>
    <row r="33" spans="1:7" ht="15" x14ac:dyDescent="0.2">
      <c r="A33">
        <v>31</v>
      </c>
      <c r="B33" s="6" t="s">
        <v>485</v>
      </c>
      <c r="C33" t="str">
        <f>_xlfn.LET(_xlpm.x,VLOOKUP($B33,augment_header!$B$2:$G$72,2,FALSE),IF(_xlpm.x="","",_xlpm.x))</f>
        <v>强化符文详细信息（中文/数值转换）</v>
      </c>
      <c r="D33" s="4" t="str">
        <f>IF(VLOOKUP($B33,augment_header!$B$2:$G$72,3,FALSE)="√","√","")</f>
        <v/>
      </c>
      <c r="E33" s="4" t="str">
        <f>IF(VLOOKUP($B33,augment_header!$B$2:$G$72,4,FALSE)="√","√","")</f>
        <v/>
      </c>
      <c r="F33" s="4" t="str">
        <f>_xlfn.LET(_xlpm.x,VLOOKUP($B33,augment_header!$B$2:$G$72,5,FALSE),IF(_xlpm.x="","",_xlpm.x))</f>
        <v/>
      </c>
      <c r="G33">
        <v>16</v>
      </c>
    </row>
    <row r="34" spans="1:7" ht="15" x14ac:dyDescent="0.2">
      <c r="A34">
        <v>32</v>
      </c>
      <c r="B34" s="6" t="s">
        <v>472</v>
      </c>
      <c r="C34" t="str">
        <f>_xlfn.LET(_xlpm.x,VLOOKUP($B34,augment_header!$B$2:$G$72,2,FALSE),IF(_xlpm.x="","",_xlpm.x))</f>
        <v>强化符文详细信息（英文）</v>
      </c>
      <c r="D34" s="4" t="str">
        <f>IF(VLOOKUP($B34,augment_header!$B$2:$G$72,3,FALSE)="√","√","")</f>
        <v/>
      </c>
      <c r="E34" s="4" t="str">
        <f>IF(VLOOKUP($B34,augment_header!$B$2:$G$72,4,FALSE)="√","√","")</f>
        <v/>
      </c>
      <c r="F34" s="4" t="str">
        <f>_xlfn.LET(_xlpm.x,VLOOKUP($B34,augment_header!$B$2:$G$72,5,FALSE),IF(_xlpm.x="","",_xlpm.x))</f>
        <v/>
      </c>
      <c r="G34">
        <v>17</v>
      </c>
    </row>
    <row r="35" spans="1:7" ht="15" x14ac:dyDescent="0.2">
      <c r="A35">
        <v>33</v>
      </c>
      <c r="B35" s="6" t="s">
        <v>486</v>
      </c>
      <c r="C35" t="str">
        <f>_xlfn.LET(_xlpm.x,VLOOKUP($B35,augment_header!$B$2:$G$72,2,FALSE),IF(_xlpm.x="","",_xlpm.x))</f>
        <v>强化符文详细信息（英文/数值转换）</v>
      </c>
      <c r="D35" s="4" t="str">
        <f>IF(VLOOKUP($B35,augment_header!$B$2:$G$72,3,FALSE)="√","√","")</f>
        <v/>
      </c>
      <c r="E35" s="4" t="str">
        <f>IF(VLOOKUP($B35,augment_header!$B$2:$G$72,4,FALSE)="√","√","")</f>
        <v/>
      </c>
      <c r="F35" s="4" t="str">
        <f>_xlfn.LET(_xlpm.x,VLOOKUP($B35,augment_header!$B$2:$G$72,5,FALSE),IF(_xlpm.x="","",_xlpm.x))</f>
        <v/>
      </c>
      <c r="G35">
        <v>18</v>
      </c>
    </row>
    <row r="36" spans="1:7" ht="15" x14ac:dyDescent="0.2">
      <c r="A36">
        <v>34</v>
      </c>
      <c r="B36" s="6" t="s">
        <v>3445</v>
      </c>
      <c r="C36" t="str">
        <f>_xlfn.LET(_xlpm.x,VLOOKUP($B36,augment_header!$B$2:$G$72,2,FALSE),IF(_xlpm.x="","",_xlpm.x))</f>
        <v>强化符文详细信息描述部分（中文）</v>
      </c>
      <c r="D36" s="4" t="str">
        <f>IF(VLOOKUP($B36,augment_header!$B$2:$G$72,3,FALSE)="√","√","")</f>
        <v/>
      </c>
      <c r="E36" s="4" t="str">
        <f>IF(VLOOKUP($B36,augment_header!$B$2:$G$72,4,FALSE)="√","√","")</f>
        <v/>
      </c>
      <c r="F36" s="4" t="str">
        <f>_xlfn.LET(_xlpm.x,VLOOKUP($B36,augment_header!$B$2:$G$72,5,FALSE),IF(_xlpm.x="","",_xlpm.x))</f>
        <v/>
      </c>
    </row>
    <row r="37" spans="1:7" ht="15" x14ac:dyDescent="0.2">
      <c r="A37">
        <v>35</v>
      </c>
      <c r="B37" s="6" t="s">
        <v>3446</v>
      </c>
      <c r="C37" t="str">
        <f>_xlfn.LET(_xlpm.x,VLOOKUP($B37,augment_header!$B$2:$G$72,2,FALSE),IF(_xlpm.x="","",_xlpm.x))</f>
        <v>强化符文详细信息描述部分（中文/数值转换）</v>
      </c>
      <c r="D37" s="4" t="str">
        <f>IF(VLOOKUP($B37,augment_header!$B$2:$G$72,3,FALSE)="√","√","")</f>
        <v/>
      </c>
      <c r="E37" s="4" t="str">
        <f>IF(VLOOKUP($B37,augment_header!$B$2:$G$72,4,FALSE)="√","√","")</f>
        <v/>
      </c>
      <c r="F37" s="4" t="str">
        <f>_xlfn.LET(_xlpm.x,VLOOKUP($B37,augment_header!$B$2:$G$72,5,FALSE),IF(_xlpm.x="","",_xlpm.x))</f>
        <v/>
      </c>
    </row>
    <row r="38" spans="1:7" ht="15" x14ac:dyDescent="0.2">
      <c r="A38">
        <v>36</v>
      </c>
      <c r="B38" s="6" t="s">
        <v>3447</v>
      </c>
      <c r="C38" t="str">
        <f>_xlfn.LET(_xlpm.x,VLOOKUP($B38,augment_header!$B$2:$G$72,2,FALSE),IF(_xlpm.x="","",_xlpm.x))</f>
        <v>强化符文详细信息描述部分（英文）</v>
      </c>
      <c r="D38" s="4" t="str">
        <f>IF(VLOOKUP($B38,augment_header!$B$2:$G$72,3,FALSE)="√","√","")</f>
        <v/>
      </c>
      <c r="E38" s="4" t="str">
        <f>IF(VLOOKUP($B38,augment_header!$B$2:$G$72,4,FALSE)="√","√","")</f>
        <v/>
      </c>
      <c r="F38" s="4" t="str">
        <f>_xlfn.LET(_xlpm.x,VLOOKUP($B38,augment_header!$B$2:$G$72,5,FALSE),IF(_xlpm.x="","",_xlpm.x))</f>
        <v/>
      </c>
    </row>
    <row r="39" spans="1:7" ht="15" x14ac:dyDescent="0.2">
      <c r="A39">
        <v>37</v>
      </c>
      <c r="B39" s="6" t="s">
        <v>3448</v>
      </c>
      <c r="C39" t="str">
        <f>_xlfn.LET(_xlpm.x,VLOOKUP($B39,augment_header!$B$2:$G$72,2,FALSE),IF(_xlpm.x="","",_xlpm.x))</f>
        <v>强化符文详细信息描述部分（英文/数值转换）</v>
      </c>
      <c r="D39" s="4" t="str">
        <f>IF(VLOOKUP($B39,augment_header!$B$2:$G$72,3,FALSE)="√","√","")</f>
        <v/>
      </c>
      <c r="E39" s="4" t="str">
        <f>IF(VLOOKUP($B39,augment_header!$B$2:$G$72,4,FALSE)="√","√","")</f>
        <v/>
      </c>
      <c r="F39" s="4" t="str">
        <f>_xlfn.LET(_xlpm.x,VLOOKUP($B39,augment_header!$B$2:$G$72,5,FALSE),IF(_xlpm.x="","",_xlpm.x))</f>
        <v/>
      </c>
    </row>
    <row r="40" spans="1:7" ht="15" x14ac:dyDescent="0.2">
      <c r="A40">
        <v>38</v>
      </c>
      <c r="B40" s="6" t="s">
        <v>3449</v>
      </c>
      <c r="C40" t="str">
        <f>_xlfn.LET(_xlpm.x,VLOOKUP($B40,augment_header!$B$2:$G$72,2,FALSE),IF(_xlpm.x="","",_xlpm.x))</f>
        <v>强化符文详细信息追踪部分（中文）</v>
      </c>
      <c r="D40" s="4" t="str">
        <f>IF(VLOOKUP($B40,augment_header!$B$2:$G$72,3,FALSE)="√","√","")</f>
        <v/>
      </c>
      <c r="E40" s="4" t="str">
        <f>IF(VLOOKUP($B40,augment_header!$B$2:$G$72,4,FALSE)="√","√","")</f>
        <v/>
      </c>
      <c r="F40" s="4" t="str">
        <f>_xlfn.LET(_xlpm.x,VLOOKUP($B40,augment_header!$B$2:$G$72,5,FALSE),IF(_xlpm.x="","",_xlpm.x))</f>
        <v/>
      </c>
    </row>
    <row r="41" spans="1:7" ht="15" x14ac:dyDescent="0.2">
      <c r="A41">
        <v>39</v>
      </c>
      <c r="B41" s="6" t="s">
        <v>3450</v>
      </c>
      <c r="C41" t="str">
        <f>_xlfn.LET(_xlpm.x,VLOOKUP($B41,augment_header!$B$2:$G$72,2,FALSE),IF(_xlpm.x="","",_xlpm.x))</f>
        <v>强化符文详细信息追踪部分（中文/数值转换）</v>
      </c>
      <c r="D41" s="4" t="str">
        <f>IF(VLOOKUP($B41,augment_header!$B$2:$G$72,3,FALSE)="√","√","")</f>
        <v/>
      </c>
      <c r="E41" s="4" t="str">
        <f>IF(VLOOKUP($B41,augment_header!$B$2:$G$72,4,FALSE)="√","√","")</f>
        <v/>
      </c>
      <c r="F41" s="4" t="str">
        <f>_xlfn.LET(_xlpm.x,VLOOKUP($B41,augment_header!$B$2:$G$72,5,FALSE),IF(_xlpm.x="","",_xlpm.x))</f>
        <v/>
      </c>
    </row>
    <row r="42" spans="1:7" ht="15" x14ac:dyDescent="0.2">
      <c r="A42">
        <v>40</v>
      </c>
      <c r="B42" s="6" t="s">
        <v>3451</v>
      </c>
      <c r="C42" t="str">
        <f>_xlfn.LET(_xlpm.x,VLOOKUP($B42,augment_header!$B$2:$G$72,2,FALSE),IF(_xlpm.x="","",_xlpm.x))</f>
        <v>强化符文详细信息追踪部分（英文）</v>
      </c>
      <c r="D42" s="4" t="str">
        <f>IF(VLOOKUP($B42,augment_header!$B$2:$G$72,3,FALSE)="√","√","")</f>
        <v/>
      </c>
      <c r="E42" s="4" t="str">
        <f>IF(VLOOKUP($B42,augment_header!$B$2:$G$72,4,FALSE)="√","√","")</f>
        <v/>
      </c>
      <c r="F42" s="4" t="str">
        <f>_xlfn.LET(_xlpm.x,VLOOKUP($B42,augment_header!$B$2:$G$72,5,FALSE),IF(_xlpm.x="","",_xlpm.x))</f>
        <v/>
      </c>
    </row>
    <row r="43" spans="1:7" ht="15" x14ac:dyDescent="0.2">
      <c r="A43">
        <v>41</v>
      </c>
      <c r="B43" s="6" t="s">
        <v>3452</v>
      </c>
      <c r="C43" t="str">
        <f>_xlfn.LET(_xlpm.x,VLOOKUP($B43,augment_header!$B$2:$G$72,2,FALSE),IF(_xlpm.x="","",_xlpm.x))</f>
        <v>强化符文详细信息追踪部分（英文/数值转换）</v>
      </c>
      <c r="D43" s="4" t="str">
        <f>IF(VLOOKUP($B43,augment_header!$B$2:$G$72,3,FALSE)="√","√","")</f>
        <v/>
      </c>
      <c r="E43" s="4" t="str">
        <f>IF(VLOOKUP($B43,augment_header!$B$2:$G$72,4,FALSE)="√","√","")</f>
        <v/>
      </c>
      <c r="F43" s="4" t="str">
        <f>_xlfn.LET(_xlpm.x,VLOOKUP($B43,augment_header!$B$2:$G$72,5,FALSE),IF(_xlpm.x="","",_xlpm.x))</f>
        <v/>
      </c>
    </row>
    <row r="44" spans="1:7" ht="15" x14ac:dyDescent="0.2">
      <c r="A44">
        <v>42</v>
      </c>
      <c r="B44" s="6" t="s">
        <v>3453</v>
      </c>
      <c r="C44" t="str">
        <f>_xlfn.LET(_xlpm.x,VLOOKUP($B44,augment_header!$B$2:$G$72,2,FALSE),IF(_xlpm.x="","",_xlpm.x))</f>
        <v>满级效果简介（中文）</v>
      </c>
      <c r="D44" s="4" t="str">
        <f>IF(VLOOKUP($B44,augment_header!$B$2:$G$72,3,FALSE)="√","√","")</f>
        <v/>
      </c>
      <c r="E44" s="4" t="str">
        <f>IF(VLOOKUP($B44,augment_header!$B$2:$G$72,4,FALSE)="√","√","")</f>
        <v/>
      </c>
      <c r="F44" s="4" t="str">
        <f>_xlfn.LET(_xlpm.x,VLOOKUP($B44,augment_header!$B$2:$G$72,5,FALSE),IF(_xlpm.x="","",_xlpm.x))</f>
        <v/>
      </c>
    </row>
    <row r="45" spans="1:7" ht="15" x14ac:dyDescent="0.2">
      <c r="A45">
        <v>43</v>
      </c>
      <c r="B45" s="6" t="s">
        <v>3454</v>
      </c>
      <c r="C45" t="str">
        <f>_xlfn.LET(_xlpm.x,VLOOKUP($B45,augment_header!$B$2:$G$72,2,FALSE),IF(_xlpm.x="","",_xlpm.x))</f>
        <v>满级效果简介（中文/数值转换）</v>
      </c>
      <c r="D45" s="4" t="str">
        <f>IF(VLOOKUP($B45,augment_header!$B$2:$G$72,3,FALSE)="√","√","")</f>
        <v/>
      </c>
      <c r="E45" s="4" t="str">
        <f>IF(VLOOKUP($B45,augment_header!$B$2:$G$72,4,FALSE)="√","√","")</f>
        <v/>
      </c>
      <c r="F45" s="4" t="str">
        <f>_xlfn.LET(_xlpm.x,VLOOKUP($B45,augment_header!$B$2:$G$72,5,FALSE),IF(_xlpm.x="","",_xlpm.x))</f>
        <v/>
      </c>
    </row>
    <row r="46" spans="1:7" ht="15" x14ac:dyDescent="0.2">
      <c r="A46">
        <v>44</v>
      </c>
      <c r="B46" s="6" t="s">
        <v>3455</v>
      </c>
      <c r="C46" t="str">
        <f>_xlfn.LET(_xlpm.x,VLOOKUP($B46,augment_header!$B$2:$G$72,2,FALSE),IF(_xlpm.x="","",_xlpm.x))</f>
        <v>满级效果简介（英文）</v>
      </c>
      <c r="D46" s="4" t="str">
        <f>IF(VLOOKUP($B46,augment_header!$B$2:$G$72,3,FALSE)="√","√","")</f>
        <v/>
      </c>
      <c r="E46" s="4" t="str">
        <f>IF(VLOOKUP($B46,augment_header!$B$2:$G$72,4,FALSE)="√","√","")</f>
        <v/>
      </c>
      <c r="F46" s="4" t="str">
        <f>_xlfn.LET(_xlpm.x,VLOOKUP($B46,augment_header!$B$2:$G$72,5,FALSE),IF(_xlpm.x="","",_xlpm.x))</f>
        <v/>
      </c>
    </row>
    <row r="47" spans="1:7" ht="15" x14ac:dyDescent="0.2">
      <c r="A47">
        <v>45</v>
      </c>
      <c r="B47" s="6" t="s">
        <v>3456</v>
      </c>
      <c r="C47" t="str">
        <f>_xlfn.LET(_xlpm.x,VLOOKUP($B47,augment_header!$B$2:$G$72,2,FALSE),IF(_xlpm.x="","",_xlpm.x))</f>
        <v>满级效果简介（英文/数值转换）</v>
      </c>
      <c r="D47" s="4" t="str">
        <f>IF(VLOOKUP($B47,augment_header!$B$2:$G$72,3,FALSE)="√","√","")</f>
        <v/>
      </c>
      <c r="E47" s="4" t="str">
        <f>IF(VLOOKUP($B47,augment_header!$B$2:$G$72,4,FALSE)="√","√","")</f>
        <v/>
      </c>
      <c r="F47" s="4" t="str">
        <f>_xlfn.LET(_xlpm.x,VLOOKUP($B47,augment_header!$B$2:$G$72,5,FALSE),IF(_xlpm.x="","",_xlpm.x))</f>
        <v/>
      </c>
    </row>
    <row r="48" spans="1:7" ht="15" x14ac:dyDescent="0.2">
      <c r="A48">
        <v>46</v>
      </c>
      <c r="B48" s="6" t="s">
        <v>3457</v>
      </c>
      <c r="C48" t="str">
        <f>_xlfn.LET(_xlpm.x,VLOOKUP($B48,augment_header!$B$2:$G$72,2,FALSE),IF(_xlpm.x="","",_xlpm.x))</f>
        <v>满级效果详细信息（中文）</v>
      </c>
      <c r="D48" s="4" t="str">
        <f>IF(VLOOKUP($B48,augment_header!$B$2:$G$72,3,FALSE)="√","√","")</f>
        <v/>
      </c>
      <c r="E48" s="4" t="str">
        <f>IF(VLOOKUP($B48,augment_header!$B$2:$G$72,4,FALSE)="√","√","")</f>
        <v/>
      </c>
      <c r="F48" s="4" t="str">
        <f>_xlfn.LET(_xlpm.x,VLOOKUP($B48,augment_header!$B$2:$G$72,5,FALSE),IF(_xlpm.x="","",_xlpm.x))</f>
        <v/>
      </c>
    </row>
    <row r="49" spans="1:7" ht="15" x14ac:dyDescent="0.2">
      <c r="A49">
        <v>47</v>
      </c>
      <c r="B49" s="6" t="s">
        <v>3458</v>
      </c>
      <c r="C49" t="str">
        <f>_xlfn.LET(_xlpm.x,VLOOKUP($B49,augment_header!$B$2:$G$72,2,FALSE),IF(_xlpm.x="","",_xlpm.x))</f>
        <v>满级效果详细信息（中文/数值转换）</v>
      </c>
      <c r="D49" s="4" t="str">
        <f>IF(VLOOKUP($B49,augment_header!$B$2:$G$72,3,FALSE)="√","√","")</f>
        <v/>
      </c>
      <c r="E49" s="4" t="str">
        <f>IF(VLOOKUP($B49,augment_header!$B$2:$G$72,4,FALSE)="√","√","")</f>
        <v/>
      </c>
      <c r="F49" s="4" t="str">
        <f>_xlfn.LET(_xlpm.x,VLOOKUP($B49,augment_header!$B$2:$G$72,5,FALSE),IF(_xlpm.x="","",_xlpm.x))</f>
        <v/>
      </c>
    </row>
    <row r="50" spans="1:7" ht="15" x14ac:dyDescent="0.2">
      <c r="A50">
        <v>48</v>
      </c>
      <c r="B50" s="6" t="s">
        <v>3459</v>
      </c>
      <c r="C50" t="str">
        <f>_xlfn.LET(_xlpm.x,VLOOKUP($B50,augment_header!$B$2:$G$72,2,FALSE),IF(_xlpm.x="","",_xlpm.x))</f>
        <v>满级效果详细信息（英文）</v>
      </c>
      <c r="D50" s="4" t="str">
        <f>IF(VLOOKUP($B50,augment_header!$B$2:$G$72,3,FALSE)="√","√","")</f>
        <v/>
      </c>
      <c r="E50" s="4" t="str">
        <f>IF(VLOOKUP($B50,augment_header!$B$2:$G$72,4,FALSE)="√","√","")</f>
        <v/>
      </c>
      <c r="F50" s="4" t="str">
        <f>_xlfn.LET(_xlpm.x,VLOOKUP($B50,augment_header!$B$2:$G$72,5,FALSE),IF(_xlpm.x="","",_xlpm.x))</f>
        <v/>
      </c>
    </row>
    <row r="51" spans="1:7" ht="15" x14ac:dyDescent="0.2">
      <c r="A51">
        <v>49</v>
      </c>
      <c r="B51" s="6" t="s">
        <v>3460</v>
      </c>
      <c r="C51" t="str">
        <f>_xlfn.LET(_xlpm.x,VLOOKUP($B51,augment_header!$B$2:$G$72,2,FALSE),IF(_xlpm.x="","",_xlpm.x))</f>
        <v>满级效果详细信息（英文/数值转换）</v>
      </c>
      <c r="D51" s="4" t="str">
        <f>IF(VLOOKUP($B51,augment_header!$B$2:$G$72,3,FALSE)="√","√","")</f>
        <v/>
      </c>
      <c r="E51" s="4" t="str">
        <f>IF(VLOOKUP($B51,augment_header!$B$2:$G$72,4,FALSE)="√","√","")</f>
        <v/>
      </c>
      <c r="F51" s="4" t="str">
        <f>_xlfn.LET(_xlpm.x,VLOOKUP($B51,augment_header!$B$2:$G$72,5,FALSE),IF(_xlpm.x="","",_xlpm.x))</f>
        <v/>
      </c>
    </row>
    <row r="52" spans="1:7" ht="15" x14ac:dyDescent="0.2">
      <c r="A52">
        <v>50</v>
      </c>
      <c r="B52" s="6" t="s">
        <v>462</v>
      </c>
      <c r="C52" t="str">
        <f>_xlfn.LET(_xlpm.x,VLOOKUP($B52,augment_header!$B$2:$G$72,2,FALSE),IF(_xlpm.x="","",_xlpm.x))</f>
        <v>强化符文显示标签内容</v>
      </c>
      <c r="D52" s="4" t="str">
        <f>IF(VLOOKUP($B52,augment_header!$B$2:$G$72,3,FALSE)="√","√","")</f>
        <v/>
      </c>
      <c r="E52" s="4" t="str">
        <f>IF(VLOOKUP($B52,augment_header!$B$2:$G$72,4,FALSE)="√","√","")</f>
        <v/>
      </c>
      <c r="F52" s="4" t="str">
        <f>_xlfn.LET(_xlpm.x,VLOOKUP($B52,augment_header!$B$2:$G$72,5,FALSE),IF(_xlpm.x="","",_xlpm.x))</f>
        <v/>
      </c>
    </row>
    <row r="53" spans="1:7" ht="15" x14ac:dyDescent="0.2">
      <c r="A53">
        <v>51</v>
      </c>
      <c r="B53" s="6" t="s">
        <v>460</v>
      </c>
      <c r="C53" t="str">
        <f>_xlfn.LET(_xlpm.x,VLOOKUP($B53,augment_header!$B$2:$G$72,2,FALSE),IF(_xlpm.x="","",_xlpm.x))</f>
        <v>位阶</v>
      </c>
      <c r="D53" s="4" t="str">
        <f>IF(VLOOKUP($B53,augment_header!$B$2:$G$72,3,FALSE)="√","√","")</f>
        <v/>
      </c>
      <c r="E53" s="4" t="str">
        <f>IF(VLOOKUP($B53,augment_header!$B$2:$G$72,4,FALSE)="√","√","")</f>
        <v>√</v>
      </c>
      <c r="F53" s="4" t="str">
        <f>_xlfn.LET(_xlpm.x,VLOOKUP($B53,augment_header!$B$2:$G$72,5,FALSE),IF(_xlpm.x="","",_xlpm.x))</f>
        <v/>
      </c>
      <c r="G53">
        <v>7</v>
      </c>
    </row>
    <row r="54" spans="1:7" ht="15" x14ac:dyDescent="0.2">
      <c r="A54">
        <v>52</v>
      </c>
      <c r="B54" s="6" t="s">
        <v>479</v>
      </c>
      <c r="C54" t="str">
        <f>_xlfn.LET(_xlpm.x,VLOOKUP($B54,augment_header!$B$2:$G$72,2,FALSE),IF(_xlpm.x="","",_xlpm.x))</f>
        <v>根指令对象</v>
      </c>
      <c r="D54" s="4" t="str">
        <f>IF(VLOOKUP($B54,augment_header!$B$2:$G$72,3,FALSE)="√","√","")</f>
        <v>√</v>
      </c>
      <c r="E54" s="4" t="str">
        <f>IF(VLOOKUP($B54,augment_header!$B$2:$G$72,4,FALSE)="√","√","")</f>
        <v/>
      </c>
      <c r="F54" s="4" t="str">
        <f>_xlfn.LET(_xlpm.x,VLOOKUP($B54,augment_header!$B$2:$G$72,5,FALSE),IF(_xlpm.x="","",_xlpm.x))</f>
        <v/>
      </c>
      <c r="G54">
        <v>20</v>
      </c>
    </row>
    <row r="55" spans="1:7" ht="15" x14ac:dyDescent="0.2">
      <c r="A55">
        <v>53</v>
      </c>
      <c r="B55" s="6" t="s">
        <v>3868</v>
      </c>
      <c r="C55" t="str">
        <f>_xlfn.LET(_xlpm.x,VLOOKUP($B55,augment_header!$B$2:$G$72,2,FALSE),IF(_xlpm.x="","",_xlpm.x))</f>
        <v>其它指令对象</v>
      </c>
      <c r="D55" s="4" t="str">
        <f>IF(VLOOKUP($B55,augment_header!$B$2:$G$72,3,FALSE)="√","√","")</f>
        <v>√</v>
      </c>
      <c r="E55" s="4" t="str">
        <f>IF(VLOOKUP($B55,augment_header!$B$2:$G$72,4,FALSE)="√","√","")</f>
        <v/>
      </c>
      <c r="F55" s="4" t="str">
        <f>_xlfn.LET(_xlpm.x,VLOOKUP($B55,augment_header!$B$2:$G$72,5,FALSE),IF(_xlpm.x="","",_xlpm.x))</f>
        <v/>
      </c>
    </row>
    <row r="56" spans="1:7" ht="15" x14ac:dyDescent="0.2">
      <c r="A56">
        <v>54</v>
      </c>
      <c r="B56" s="1" t="s">
        <v>3485</v>
      </c>
      <c r="C56" t="str">
        <f>_xlfn.LET(_xlpm.x,VLOOKUP($B56,augment_header!$B$2:$G$72,2,FALSE),IF(_xlpm.x="","",_xlpm.x))</f>
        <v>最大等级</v>
      </c>
      <c r="D56" s="4" t="str">
        <f>IF(VLOOKUP($B56,augment_header!$B$2:$G$72,3,FALSE)="√","√","")</f>
        <v>√</v>
      </c>
      <c r="E56" s="4" t="str">
        <f>IF(VLOOKUP($B56,augment_header!$B$2:$G$72,4,FALSE)="√","√","")</f>
        <v/>
      </c>
      <c r="F56" s="4" t="str">
        <f>_xlfn.LET(_xlpm.x,VLOOKUP($B56,augment_header!$B$2:$G$72,5,FALSE),IF(_xlpm.x="","",_xlpm.x))</f>
        <v/>
      </c>
    </row>
    <row r="57" spans="1:7" ht="15" x14ac:dyDescent="0.2">
      <c r="A57">
        <v>55</v>
      </c>
      <c r="B57" s="1" t="s">
        <v>3480</v>
      </c>
      <c r="C57" t="str">
        <f>_xlfn.LET(_xlpm.x,VLOOKUP($B57,augment_header!$B$2:$G$72,2,FALSE),IF(_xlpm.x="","",_xlpm.x))</f>
        <v>资源解析器映射字典</v>
      </c>
      <c r="D57" s="4" t="str">
        <f>IF(VLOOKUP($B57,augment_header!$B$2:$G$72,3,FALSE)="√","√","")</f>
        <v>√</v>
      </c>
      <c r="E57" s="4" t="str">
        <f>IF(VLOOKUP($B57,augment_header!$B$2:$G$72,4,FALSE)="√","√","")</f>
        <v/>
      </c>
      <c r="F57" s="4" t="str">
        <f>_xlfn.LET(_xlpm.x,VLOOKUP($B57,augment_header!$B$2:$G$72,5,FALSE),IF(_xlpm.x="","",_xlpm.x))</f>
        <v/>
      </c>
    </row>
    <row r="58" spans="1:7" ht="15" x14ac:dyDescent="0.2">
      <c r="A58" s="2">
        <v>56</v>
      </c>
      <c r="B58" s="3" t="s">
        <v>3664</v>
      </c>
      <c r="C58" s="2" t="str">
        <f>_xlfn.LET(_xlpm.x,VLOOKUP($B58,augment_header!$B$2:$G$72,2,FALSE),IF(_xlpm.x="","",_xlpm.x))</f>
        <v/>
      </c>
      <c r="D58" s="4" t="str">
        <f>IF(VLOOKUP($B58,augment_header!$B$2:$G$72,3,FALSE)="√","√","")</f>
        <v>√</v>
      </c>
      <c r="E58" s="4" t="str">
        <f>IF(VLOOKUP($B58,augment_header!$B$2:$G$72,4,FALSE)="√","√","")</f>
        <v/>
      </c>
      <c r="F58" s="4" t="str">
        <f>_xlfn.LET(_xlpm.x,VLOOKUP($B58,augment_header!$B$2:$G$72,5,FALSE),IF(_xlpm.x="","",_xlpm.x))</f>
        <v/>
      </c>
    </row>
    <row r="59" spans="1:7" ht="15" x14ac:dyDescent="0.2">
      <c r="A59" s="2">
        <v>57</v>
      </c>
      <c r="B59" s="3" t="s">
        <v>3665</v>
      </c>
      <c r="C59" s="2" t="str">
        <f>_xlfn.LET(_xlpm.x,VLOOKUP($B59,augment_header!$B$2:$G$72,2,FALSE),IF(_xlpm.x="","",_xlpm.x))</f>
        <v>任务线代码</v>
      </c>
      <c r="D59" s="4" t="str">
        <f>IF(VLOOKUP($B59,augment_header!$B$2:$G$72,3,FALSE)="√","√","")</f>
        <v>√</v>
      </c>
      <c r="E59" s="4" t="str">
        <f>IF(VLOOKUP($B59,augment_header!$B$2:$G$72,4,FALSE)="√","√","")</f>
        <v/>
      </c>
      <c r="F59" s="4" t="str">
        <f>_xlfn.LET(_xlpm.x,VLOOKUP($B59,augment_header!$B$2:$G$72,5,FALSE),IF(_xlpm.x="","",_xlpm.x))</f>
        <v/>
      </c>
    </row>
    <row r="60" spans="1:7" ht="15" x14ac:dyDescent="0.2">
      <c r="A60" s="2">
        <v>58</v>
      </c>
      <c r="B60" s="3" t="s">
        <v>3666</v>
      </c>
      <c r="C60" s="2" t="str">
        <f>_xlfn.LET(_xlpm.x,VLOOKUP($B60,augment_header!$B$2:$G$72,2,FALSE),IF(_xlpm.x="","",_xlpm.x))</f>
        <v>任务线名称键</v>
      </c>
      <c r="D60" s="4" t="str">
        <f>IF(VLOOKUP($B60,augment_header!$B$2:$G$72,3,FALSE)="√","√","")</f>
        <v/>
      </c>
      <c r="E60" s="4" t="str">
        <f>IF(VLOOKUP($B60,augment_header!$B$2:$G$72,4,FALSE)="√","√","")</f>
        <v/>
      </c>
      <c r="F60" s="4" t="str">
        <f>_xlfn.LET(_xlpm.x,VLOOKUP($B60,augment_header!$B$2:$G$72,5,FALSE),IF(_xlpm.x="","",_xlpm.x))</f>
        <v/>
      </c>
    </row>
    <row r="61" spans="1:7" ht="15" x14ac:dyDescent="0.2">
      <c r="A61" s="2">
        <v>59</v>
      </c>
      <c r="B61" s="3" t="s">
        <v>3667</v>
      </c>
      <c r="C61" s="2" t="str">
        <f>_xlfn.LET(_xlpm.x,VLOOKUP($B61,augment_header!$B$2:$G$72,2,FALSE),IF(_xlpm.x="","",_xlpm.x))</f>
        <v>任务完成描述键</v>
      </c>
      <c r="D61" s="4" t="str">
        <f>IF(VLOOKUP($B61,augment_header!$B$2:$G$72,3,FALSE)="√","√","")</f>
        <v>√</v>
      </c>
      <c r="E61" s="4" t="str">
        <f>IF(VLOOKUP($B61,augment_header!$B$2:$G$72,4,FALSE)="√","√","")</f>
        <v/>
      </c>
      <c r="F61" s="4" t="str">
        <f>_xlfn.LET(_xlpm.x,VLOOKUP($B61,augment_header!$B$2:$G$72,5,FALSE),IF(_xlpm.x="","",_xlpm.x))</f>
        <v/>
      </c>
    </row>
    <row r="62" spans="1:7" ht="15" x14ac:dyDescent="0.2">
      <c r="A62" s="2">
        <v>60</v>
      </c>
      <c r="B62" s="3" t="s">
        <v>3668</v>
      </c>
      <c r="C62" s="2" t="str">
        <f>_xlfn.LET(_xlpm.x,VLOOKUP($B62,augment_header!$B$2:$G$72,2,FALSE),IF(_xlpm.x="","",_xlpm.x))</f>
        <v>任务栏位图标纹理路径</v>
      </c>
      <c r="D62" s="4" t="str">
        <f>IF(VLOOKUP($B62,augment_header!$B$2:$G$72,3,FALSE)="√","√","")</f>
        <v>√</v>
      </c>
      <c r="E62" s="4" t="str">
        <f>IF(VLOOKUP($B62,augment_header!$B$2:$G$72,4,FALSE)="√","√","")</f>
        <v/>
      </c>
      <c r="F62" s="4" t="str">
        <f>_xlfn.LET(_xlpm.x,VLOOKUP($B62,augment_header!$B$2:$G$72,5,FALSE),IF(_xlpm.x="","",_xlpm.x))</f>
        <v/>
      </c>
    </row>
    <row r="63" spans="1:7" ht="15" x14ac:dyDescent="0.2">
      <c r="A63" s="2">
        <v>61</v>
      </c>
      <c r="B63" s="3" t="s">
        <v>3669</v>
      </c>
      <c r="C63" s="2" t="str">
        <f>_xlfn.LET(_xlpm.x,VLOOKUP($B63,augment_header!$B$2:$G$72,2,FALSE),IF(_xlpm.x="","",_xlpm.x))</f>
        <v/>
      </c>
      <c r="D63" s="4" t="str">
        <f>IF(VLOOKUP($B63,augment_header!$B$2:$G$72,3,FALSE)="√","√","")</f>
        <v>√</v>
      </c>
      <c r="E63" s="4" t="str">
        <f>IF(VLOOKUP($B63,augment_header!$B$2:$G$72,4,FALSE)="√","√","")</f>
        <v>√</v>
      </c>
      <c r="F63" s="4" t="b">
        <f>_xlfn.LET(_xlpm.x,VLOOKUP($B63,augment_header!$B$2:$G$72,5,FALSE),IF(_xlpm.x="","",_xlpm.x))</f>
        <v>0</v>
      </c>
    </row>
    <row r="64" spans="1:7" ht="15" x14ac:dyDescent="0.2">
      <c r="A64" s="2">
        <v>62</v>
      </c>
      <c r="B64" s="3" t="s">
        <v>3670</v>
      </c>
      <c r="C64" s="2" t="str">
        <f>_xlfn.LET(_xlpm.x,VLOOKUP($B64,augment_header!$B$2:$G$72,2,FALSE),IF(_xlpm.x="","",_xlpm.x))</f>
        <v>任务线里程信息</v>
      </c>
      <c r="D64" s="4" t="str">
        <f>IF(VLOOKUP($B64,augment_header!$B$2:$G$72,3,FALSE)="√","√","")</f>
        <v/>
      </c>
      <c r="E64" s="4" t="str">
        <f>IF(VLOOKUP($B64,augment_header!$B$2:$G$72,4,FALSE)="√","√","")</f>
        <v/>
      </c>
      <c r="F64" s="4" t="str">
        <f>_xlfn.LET(_xlpm.x,VLOOKUP($B64,augment_header!$B$2:$G$72,5,FALSE),IF(_xlpm.x="","",_xlpm.x))</f>
        <v/>
      </c>
    </row>
    <row r="65" spans="1:6" ht="15" x14ac:dyDescent="0.2">
      <c r="A65" s="2">
        <v>63</v>
      </c>
      <c r="B65" s="3" t="s">
        <v>3671</v>
      </c>
      <c r="C65" s="2" t="str">
        <f>_xlfn.LET(_xlpm.x,VLOOKUP($B65,augment_header!$B$2:$G$72,2,FALSE),IF(_xlpm.x="","",_xlpm.x))</f>
        <v>任务线相关强化符文</v>
      </c>
      <c r="D65" s="4" t="str">
        <f>IF(VLOOKUP($B65,augment_header!$B$2:$G$72,3,FALSE)="√","√","")</f>
        <v>√</v>
      </c>
      <c r="E65" s="4" t="str">
        <f>IF(VLOOKUP($B65,augment_header!$B$2:$G$72,4,FALSE)="√","√","")</f>
        <v/>
      </c>
      <c r="F65" s="4" t="str">
        <f>_xlfn.LET(_xlpm.x,VLOOKUP($B65,augment_header!$B$2:$G$72,5,FALSE),IF(_xlpm.x="","",_xlpm.x))</f>
        <v/>
      </c>
    </row>
    <row r="66" spans="1:6" ht="15" x14ac:dyDescent="0.2">
      <c r="A66" s="2">
        <v>64</v>
      </c>
      <c r="B66" s="3" t="s">
        <v>3720</v>
      </c>
      <c r="C66" s="2" t="str">
        <f>_xlfn.LET(_xlpm.x,VLOOKUP($B66,augment_header!$B$2:$G$72,2,FALSE),IF(_xlpm.x="","",_xlpm.x))</f>
        <v/>
      </c>
      <c r="D66" s="4" t="str">
        <f>IF(VLOOKUP($B66,augment_header!$B$2:$G$72,3,FALSE)="√","√","")</f>
        <v>√</v>
      </c>
      <c r="E66" s="4" t="str">
        <f>IF(VLOOKUP($B66,augment_header!$B$2:$G$72,4,FALSE)="√","√","")</f>
        <v/>
      </c>
      <c r="F66" s="4" t="b">
        <f>_xlfn.LET(_xlpm.x,VLOOKUP($B66,augment_header!$B$2:$G$72,5,FALSE),IF(_xlpm.x="","",_xlpm.x))</f>
        <v>0</v>
      </c>
    </row>
    <row r="67" spans="1:6" ht="15" x14ac:dyDescent="0.2">
      <c r="A67" s="2">
        <v>65</v>
      </c>
      <c r="B67" s="56" t="s">
        <v>3678</v>
      </c>
      <c r="C67" s="2" t="str">
        <f>_xlfn.LET(_xlpm.x,VLOOKUP($B67,augment_header!$B$2:$G$72,2,FALSE),IF(_xlpm.x="","",_xlpm.x))</f>
        <v>任务线对应强化符文名称（中文）</v>
      </c>
      <c r="D67" s="4" t="str">
        <f>IF(VLOOKUP($B67,augment_header!$B$2:$G$72,3,FALSE)="√","√","")</f>
        <v/>
      </c>
      <c r="E67" s="4" t="str">
        <f>IF(VLOOKUP($B67,augment_header!$B$2:$G$72,4,FALSE)="√","√","")</f>
        <v/>
      </c>
      <c r="F67" s="4" t="str">
        <f>_xlfn.LET(_xlpm.x,VLOOKUP($B67,augment_header!$B$2:$G$72,5,FALSE),IF(_xlpm.x="","",_xlpm.x))</f>
        <v/>
      </c>
    </row>
    <row r="68" spans="1:6" ht="15" x14ac:dyDescent="0.2">
      <c r="A68" s="2">
        <v>66</v>
      </c>
      <c r="B68" s="56" t="s">
        <v>3679</v>
      </c>
      <c r="C68" s="2" t="str">
        <f>_xlfn.LET(_xlpm.x,VLOOKUP($B68,augment_header!$B$2:$G$72,2,FALSE),IF(_xlpm.x="","",_xlpm.x))</f>
        <v>任务线对应强化符文名称（英文）</v>
      </c>
      <c r="D68" s="4" t="str">
        <f>IF(VLOOKUP($B68,augment_header!$B$2:$G$72,3,FALSE)="√","√","")</f>
        <v/>
      </c>
      <c r="E68" s="4" t="str">
        <f>IF(VLOOKUP($B68,augment_header!$B$2:$G$72,4,FALSE)="√","√","")</f>
        <v/>
      </c>
      <c r="F68" s="4" t="str">
        <f>_xlfn.LET(_xlpm.x,VLOOKUP($B68,augment_header!$B$2:$G$72,5,FALSE),IF(_xlpm.x="","",_xlpm.x))</f>
        <v/>
      </c>
    </row>
    <row r="69" spans="1:6" ht="15" x14ac:dyDescent="0.2">
      <c r="A69" s="2">
        <v>67</v>
      </c>
      <c r="B69" s="56" t="s">
        <v>3682</v>
      </c>
      <c r="C69" s="2" t="str">
        <f>_xlfn.LET(_xlpm.x,VLOOKUP($B69,augment_header!$B$2:$G$72,2,FALSE),IF(_xlpm.x="","",_xlpm.x))</f>
        <v>任务完成描述（中文）</v>
      </c>
      <c r="D69" s="4" t="str">
        <f>IF(VLOOKUP($B69,augment_header!$B$2:$G$72,3,FALSE)="√","√","")</f>
        <v/>
      </c>
      <c r="E69" s="4" t="str">
        <f>IF(VLOOKUP($B69,augment_header!$B$2:$G$72,4,FALSE)="√","√","")</f>
        <v/>
      </c>
      <c r="F69" s="4" t="str">
        <f>_xlfn.LET(_xlpm.x,VLOOKUP($B69,augment_header!$B$2:$G$72,5,FALSE),IF(_xlpm.x="","",_xlpm.x))</f>
        <v/>
      </c>
    </row>
    <row r="70" spans="1:6" ht="15" x14ac:dyDescent="0.2">
      <c r="A70" s="2">
        <v>68</v>
      </c>
      <c r="B70" s="56" t="s">
        <v>3683</v>
      </c>
      <c r="C70" s="2" t="str">
        <f>_xlfn.LET(_xlpm.x,VLOOKUP($B70,augment_header!$B$2:$G$72,2,FALSE),IF(_xlpm.x="","",_xlpm.x))</f>
        <v>任务完成描述（中文/数值转换）</v>
      </c>
      <c r="D70" s="4" t="str">
        <f>IF(VLOOKUP($B70,augment_header!$B$2:$G$72,3,FALSE)="√","√","")</f>
        <v/>
      </c>
      <c r="E70" s="4" t="str">
        <f>IF(VLOOKUP($B70,augment_header!$B$2:$G$72,4,FALSE)="√","√","")</f>
        <v/>
      </c>
      <c r="F70" s="4" t="str">
        <f>_xlfn.LET(_xlpm.x,VLOOKUP($B70,augment_header!$B$2:$G$72,5,FALSE),IF(_xlpm.x="","",_xlpm.x))</f>
        <v/>
      </c>
    </row>
    <row r="71" spans="1:6" ht="15" x14ac:dyDescent="0.2">
      <c r="A71" s="2">
        <v>69</v>
      </c>
      <c r="B71" s="56" t="s">
        <v>3688</v>
      </c>
      <c r="C71" s="2" t="str">
        <f>_xlfn.LET(_xlpm.x,VLOOKUP($B71,augment_header!$B$2:$G$72,2,FALSE),IF(_xlpm.x="","",_xlpm.x))</f>
        <v>任务完成描述（英文）</v>
      </c>
      <c r="D71" s="4" t="str">
        <f>IF(VLOOKUP($B71,augment_header!$B$2:$G$72,3,FALSE)="√","√","")</f>
        <v/>
      </c>
      <c r="E71" s="4" t="str">
        <f>IF(VLOOKUP($B71,augment_header!$B$2:$G$72,4,FALSE)="√","√","")</f>
        <v/>
      </c>
      <c r="F71" s="4" t="str">
        <f>_xlfn.LET(_xlpm.x,VLOOKUP($B71,augment_header!$B$2:$G$72,5,FALSE),IF(_xlpm.x="","",_xlpm.x))</f>
        <v/>
      </c>
    </row>
    <row r="72" spans="1:6" ht="15" x14ac:dyDescent="0.2">
      <c r="A72" s="2">
        <v>70</v>
      </c>
      <c r="B72" s="56" t="s">
        <v>3689</v>
      </c>
      <c r="C72" s="2" t="str">
        <f>_xlfn.LET(_xlpm.x,VLOOKUP($B72,augment_header!$B$2:$G$72,2,FALSE),IF(_xlpm.x="","",_xlpm.x))</f>
        <v>任务完成描述（英文/数值转换）</v>
      </c>
      <c r="D72" s="4" t="str">
        <f>IF(VLOOKUP($B72,augment_header!$B$2:$G$72,3,FALSE)="√","√","")</f>
        <v/>
      </c>
      <c r="E72" s="4" t="str">
        <f>IF(VLOOKUP($B72,augment_header!$B$2:$G$72,4,FALSE)="√","√","")</f>
        <v/>
      </c>
      <c r="F72" s="4" t="str">
        <f>_xlfn.LET(_xlpm.x,VLOOKUP($B72,augment_header!$B$2:$G$72,5,FALSE),IF(_xlpm.x="","",_xlpm.x))</f>
        <v/>
      </c>
    </row>
  </sheetData>
  <sortState xmlns:xlrd2="http://schemas.microsoft.com/office/spreadsheetml/2017/richdata2" ref="A2:G72">
    <sortCondition ref="A1:A72"/>
  </sortState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42AC-5584-44B0-BFBD-399F3EB60349}">
  <sheetPr codeName="Sheet4"/>
  <dimension ref="A1:G76"/>
  <sheetViews>
    <sheetView workbookViewId="0">
      <selection activeCell="F6" sqref="F6"/>
    </sheetView>
  </sheetViews>
  <sheetFormatPr defaultRowHeight="14.25" x14ac:dyDescent="0.2"/>
  <cols>
    <col min="2" max="2" width="53.875" bestFit="1" customWidth="1"/>
    <col min="3" max="3" width="43" bestFit="1" customWidth="1"/>
    <col min="4" max="4" width="14.375" style="4" bestFit="1" customWidth="1"/>
    <col min="5" max="6" width="9" style="4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3478</v>
      </c>
      <c r="G1" t="s">
        <v>21</v>
      </c>
    </row>
    <row r="2" spans="1:7" ht="15" x14ac:dyDescent="0.2">
      <c r="A2">
        <v>0</v>
      </c>
      <c r="B2" s="6" t="s">
        <v>3798</v>
      </c>
      <c r="C2" t="s">
        <v>3839</v>
      </c>
      <c r="G2">
        <v>7</v>
      </c>
    </row>
    <row r="3" spans="1:7" ht="15" x14ac:dyDescent="0.2">
      <c r="A3">
        <v>1</v>
      </c>
      <c r="B3" s="6" t="s">
        <v>3199</v>
      </c>
      <c r="C3" t="s">
        <v>3198</v>
      </c>
      <c r="G3">
        <v>12</v>
      </c>
    </row>
    <row r="4" spans="1:7" ht="15" x14ac:dyDescent="0.2">
      <c r="A4">
        <v>2</v>
      </c>
      <c r="B4" s="6" t="s">
        <v>3200</v>
      </c>
      <c r="C4" t="s">
        <v>3202</v>
      </c>
      <c r="G4">
        <v>13</v>
      </c>
    </row>
    <row r="5" spans="1:7" ht="15" x14ac:dyDescent="0.2">
      <c r="A5">
        <v>3</v>
      </c>
      <c r="B5" s="6" t="s">
        <v>3201</v>
      </c>
      <c r="C5" t="s">
        <v>3203</v>
      </c>
      <c r="G5">
        <v>14</v>
      </c>
    </row>
    <row r="6" spans="1:7" ht="15" x14ac:dyDescent="0.2">
      <c r="A6">
        <v>4</v>
      </c>
      <c r="B6" s="1" t="s">
        <v>0</v>
      </c>
      <c r="C6" t="str">
        <f>_xlfn.LET(_xlpm.x,VLOOKUP($B6,augment_header!$B$2:$G$72,2,FALSE),IF(_xlpm.x="","",_xlpm.x))</f>
        <v>主键</v>
      </c>
      <c r="D6" s="4" t="str">
        <f>IF(VLOOKUP($B6,augment_header!$B$2:$G$72,3,FALSE)="√","√","")</f>
        <v>√</v>
      </c>
      <c r="E6" s="4" t="str">
        <f>IF(VLOOKUP($B6,augment_header!$B$2:$G$72,4,FALSE)="√","√","")</f>
        <v/>
      </c>
      <c r="F6" s="4" t="str">
        <f>_xlfn.LET(_xlpm.x,VLOOKUP($B6,augment_header!$B$2:$G$72,5,FALSE),IF(_xlpm.x="","",_xlpm.x))</f>
        <v/>
      </c>
      <c r="G6">
        <v>0</v>
      </c>
    </row>
    <row r="7" spans="1:7" ht="15" x14ac:dyDescent="0.2">
      <c r="A7">
        <v>5</v>
      </c>
      <c r="B7" s="1" t="s">
        <v>437</v>
      </c>
      <c r="C7" t="str">
        <f>_xlfn.LET(_xlpm.x,VLOOKUP($B7,augment_header!$B$2:$G$72,2,FALSE),IF(_xlpm.x="","",_xlpm.x))</f>
        <v>强化符文代码</v>
      </c>
      <c r="D7" s="4" t="str">
        <f>IF(VLOOKUP($B7,augment_header!$B$2:$G$72,3,FALSE)="√","√","")</f>
        <v>√</v>
      </c>
      <c r="E7" s="4" t="str">
        <f>IF(VLOOKUP($B7,augment_header!$B$2:$G$72,4,FALSE)="√","√","")</f>
        <v/>
      </c>
      <c r="F7" s="4" t="str">
        <f>_xlfn.LET(_xlpm.x,VLOOKUP($B7,augment_header!$B$2:$G$72,5,FALSE),IF(_xlpm.x="","",_xlpm.x))</f>
        <v/>
      </c>
      <c r="G7">
        <v>1</v>
      </c>
    </row>
    <row r="8" spans="1:7" ht="15" x14ac:dyDescent="0.2">
      <c r="A8">
        <v>6</v>
      </c>
      <c r="B8" s="1" t="s">
        <v>447</v>
      </c>
      <c r="C8" t="str">
        <f>_xlfn.LET(_xlpm.x,VLOOKUP($B8,augment_header!$B$2:$G$72,2,FALSE),IF(_xlpm.x="","",_xlpm.x))</f>
        <v>可用性</v>
      </c>
      <c r="D8" s="4" t="str">
        <f>IF(VLOOKUP($B8,augment_header!$B$2:$G$72,3,FALSE)="√","√","")</f>
        <v>√</v>
      </c>
      <c r="E8" s="4" t="str">
        <f>IF(VLOOKUP($B8,augment_header!$B$2:$G$72,4,FALSE)="√","√","")</f>
        <v>√</v>
      </c>
      <c r="F8" s="4" t="b">
        <f>_xlfn.LET(_xlpm.x,VLOOKUP($B8,augment_header!$B$2:$G$72,5,FALSE),IF(_xlpm.x="","",_xlpm.x))</f>
        <v>1</v>
      </c>
      <c r="G8">
        <v>3</v>
      </c>
    </row>
    <row r="9" spans="1:7" ht="15" x14ac:dyDescent="0.2">
      <c r="A9">
        <v>7</v>
      </c>
      <c r="B9" s="1" t="s">
        <v>439</v>
      </c>
      <c r="C9" t="str">
        <f>_xlfn.LET(_xlpm.x,VLOOKUP($B9,augment_header!$B$2:$G$72,2,FALSE),IF(_xlpm.x="","",_xlpm.x))</f>
        <v>名称键</v>
      </c>
      <c r="D9" s="4" t="str">
        <f>IF(VLOOKUP($B9,augment_header!$B$2:$G$72,3,FALSE)="√","√","")</f>
        <v>√</v>
      </c>
      <c r="E9" s="4" t="str">
        <f>IF(VLOOKUP($B9,augment_header!$B$2:$G$72,4,FALSE)="√","√","")</f>
        <v/>
      </c>
      <c r="F9" s="4" t="str">
        <f>_xlfn.LET(_xlpm.x,VLOOKUP($B9,augment_header!$B$2:$G$72,5,FALSE),IF(_xlpm.x="","",_xlpm.x))</f>
        <v/>
      </c>
      <c r="G9">
        <v>4</v>
      </c>
    </row>
    <row r="10" spans="1:7" ht="15" x14ac:dyDescent="0.2">
      <c r="A10">
        <v>8</v>
      </c>
      <c r="B10" s="1" t="s">
        <v>440</v>
      </c>
      <c r="C10" t="str">
        <f>_xlfn.LET(_xlpm.x,VLOOKUP($B10,augment_header!$B$2:$G$72,2,FALSE),IF(_xlpm.x="","",_xlpm.x))</f>
        <v>简介键</v>
      </c>
      <c r="D10" s="4" t="str">
        <f>IF(VLOOKUP($B10,augment_header!$B$2:$G$72,3,FALSE)="√","√","")</f>
        <v>√</v>
      </c>
      <c r="E10" s="4" t="str">
        <f>IF(VLOOKUP($B10,augment_header!$B$2:$G$72,4,FALSE)="√","√","")</f>
        <v/>
      </c>
      <c r="F10" s="4" t="str">
        <f>_xlfn.LET(_xlpm.x,VLOOKUP($B10,augment_header!$B$2:$G$72,5,FALSE),IF(_xlpm.x="","",_xlpm.x))</f>
        <v/>
      </c>
      <c r="G10">
        <v>23</v>
      </c>
    </row>
    <row r="11" spans="1:7" ht="15" x14ac:dyDescent="0.2">
      <c r="A11">
        <v>9</v>
      </c>
      <c r="B11" s="1" t="s">
        <v>441</v>
      </c>
      <c r="C11" t="str">
        <f>_xlfn.LET(_xlpm.x,VLOOKUP($B11,augment_header!$B$2:$G$72,2,FALSE),IF(_xlpm.x="","",_xlpm.x))</f>
        <v>强化符文详细信息键</v>
      </c>
      <c r="D11" s="4" t="str">
        <f>IF(VLOOKUP($B11,augment_header!$B$2:$G$72,3,FALSE)="√","√","")</f>
        <v>√</v>
      </c>
      <c r="E11" s="4" t="str">
        <f>IF(VLOOKUP($B11,augment_header!$B$2:$G$72,4,FALSE)="√","√","")</f>
        <v/>
      </c>
      <c r="F11" s="4" t="str">
        <f>_xlfn.LET(_xlpm.x,VLOOKUP($B11,augment_header!$B$2:$G$72,5,FALSE),IF(_xlpm.x="","",_xlpm.x))</f>
        <v/>
      </c>
      <c r="G11">
        <v>28</v>
      </c>
    </row>
    <row r="12" spans="1:7" ht="15" x14ac:dyDescent="0.2">
      <c r="A12">
        <v>10</v>
      </c>
      <c r="B12" s="1" t="s">
        <v>445</v>
      </c>
      <c r="C12" t="str">
        <f>_xlfn.LET(_xlpm.x,VLOOKUP($B12,augment_header!$B$2:$G$72,2,FALSE),IF(_xlpm.x="","",_xlpm.x))</f>
        <v>根指令主键</v>
      </c>
      <c r="D12" s="4" t="str">
        <f>IF(VLOOKUP($B12,augment_header!$B$2:$G$72,3,FALSE)="√","√","")</f>
        <v>√</v>
      </c>
      <c r="E12" s="4" t="str">
        <f>IF(VLOOKUP($B12,augment_header!$B$2:$G$72,4,FALSE)="√","√","")</f>
        <v/>
      </c>
      <c r="F12" s="4" t="str">
        <f>_xlfn.LET(_xlpm.x,VLOOKUP($B12,augment_header!$B$2:$G$72,5,FALSE),IF(_xlpm.x="","",_xlpm.x))</f>
        <v/>
      </c>
      <c r="G12">
        <v>48</v>
      </c>
    </row>
    <row r="13" spans="1:7" ht="15" x14ac:dyDescent="0.2">
      <c r="A13">
        <v>11</v>
      </c>
      <c r="B13" s="1" t="s">
        <v>3867</v>
      </c>
      <c r="C13" t="str">
        <f>_xlfn.LET(_xlpm.x,VLOOKUP($B13,augment_header!$B$2:$G$72,2,FALSE),IF(_xlpm.x="","",_xlpm.x))</f>
        <v>其它指令主键列表</v>
      </c>
      <c r="D13" s="4" t="str">
        <f>IF(VLOOKUP($B13,augment_header!$B$2:$G$72,3,FALSE)="√","√","")</f>
        <v>√</v>
      </c>
      <c r="E13" s="4" t="str">
        <f>IF(VLOOKUP($B13,augment_header!$B$2:$G$72,4,FALSE)="√","√","")</f>
        <v/>
      </c>
      <c r="F13" s="4" t="str">
        <f>_xlfn.LET(_xlpm.x,VLOOKUP($B13,augment_header!$B$2:$G$72,5,FALSE),IF(_xlpm.x="","",_xlpm.x))</f>
        <v/>
      </c>
      <c r="G13">
        <v>50</v>
      </c>
    </row>
    <row r="14" spans="1:7" ht="15" x14ac:dyDescent="0.2">
      <c r="A14">
        <v>12</v>
      </c>
      <c r="B14" s="1" t="s">
        <v>449</v>
      </c>
      <c r="C14" t="str">
        <f>_xlfn.LET(_xlpm.x,VLOOKUP($B14,augment_header!$B$2:$G$72,2,FALSE),IF(_xlpm.x="","",_xlpm.x))</f>
        <v>强化符文标签</v>
      </c>
      <c r="D14" s="4" t="str">
        <f>IF(VLOOKUP($B14,augment_header!$B$2:$G$72,3,FALSE)="√","√","")</f>
        <v>√</v>
      </c>
      <c r="E14" s="4" t="str">
        <f>IF(VLOOKUP($B14,augment_header!$B$2:$G$72,4,FALSE)="√","√","")</f>
        <v>√</v>
      </c>
      <c r="F14" s="4" t="str">
        <f>_xlfn.LET(_xlpm.x,VLOOKUP($B14,augment_header!$B$2:$G$72,5,FALSE),IF(_xlpm.x="","",_xlpm.x))</f>
        <v/>
      </c>
      <c r="G14">
        <v>17</v>
      </c>
    </row>
    <row r="15" spans="1:7" ht="15" x14ac:dyDescent="0.2">
      <c r="A15">
        <v>13</v>
      </c>
      <c r="B15" s="1" t="s">
        <v>451</v>
      </c>
      <c r="C15" t="str">
        <f>_xlfn.LET(_xlpm.x,VLOOKUP($B15,augment_header!$B$2:$G$72,2,FALSE),IF(_xlpm.x="","",_xlpm.x))</f>
        <v>构建标签</v>
      </c>
      <c r="D15" s="4" t="str">
        <f>IF(VLOOKUP($B15,augment_header!$B$2:$G$72,3,FALSE)="√","√","")</f>
        <v>√</v>
      </c>
      <c r="E15" s="4" t="str">
        <f>IF(VLOOKUP($B15,augment_header!$B$2:$G$72,4,FALSE)="√","√","")</f>
        <v>√</v>
      </c>
      <c r="F15" s="4" t="str">
        <f>_xlfn.LET(_xlpm.x,VLOOKUP($B15,augment_header!$B$2:$G$72,5,FALSE),IF(_xlpm.x="","",_xlpm.x))</f>
        <v/>
      </c>
      <c r="G15">
        <v>18</v>
      </c>
    </row>
    <row r="16" spans="1:7" ht="15" x14ac:dyDescent="0.2">
      <c r="A16">
        <v>14</v>
      </c>
      <c r="B16" s="1" t="s">
        <v>3437</v>
      </c>
      <c r="C16" t="str">
        <f>_xlfn.LET(_xlpm.x,VLOOKUP($B16,augment_header!$B$2:$G$72,2,FALSE),IF(_xlpm.x="","",_xlpm.x))</f>
        <v>强化符文详细信息描述部分键</v>
      </c>
      <c r="D16" s="4" t="str">
        <f>IF(VLOOKUP($B16,augment_header!$B$2:$G$72,3,FALSE)="√","√","")</f>
        <v>√</v>
      </c>
      <c r="E16" s="4" t="str">
        <f>IF(VLOOKUP($B16,augment_header!$B$2:$G$72,4,FALSE)="√","√","")</f>
        <v/>
      </c>
      <c r="F16" s="4" t="str">
        <f>_xlfn.LET(_xlpm.x,VLOOKUP($B16,augment_header!$B$2:$G$72,5,FALSE),IF(_xlpm.x="","",_xlpm.x))</f>
        <v/>
      </c>
      <c r="G16">
        <v>33</v>
      </c>
    </row>
    <row r="17" spans="1:7" ht="15" x14ac:dyDescent="0.2">
      <c r="A17">
        <v>15</v>
      </c>
      <c r="B17" s="1" t="s">
        <v>3438</v>
      </c>
      <c r="C17" t="str">
        <f>_xlfn.LET(_xlpm.x,VLOOKUP($B17,augment_header!$B$2:$G$72,2,FALSE),IF(_xlpm.x="","",_xlpm.x))</f>
        <v>强化符文详细信息追踪部分键</v>
      </c>
      <c r="D17" s="4" t="str">
        <f>IF(VLOOKUP($B17,augment_header!$B$2:$G$72,3,FALSE)="√","√","")</f>
        <v>√</v>
      </c>
      <c r="E17" s="4" t="str">
        <f>IF(VLOOKUP($B17,augment_header!$B$2:$G$72,4,FALSE)="√","√","")</f>
        <v>√</v>
      </c>
      <c r="F17" s="4" t="str">
        <f>_xlfn.LET(_xlpm.x,VLOOKUP($B17,augment_header!$B$2:$G$72,5,FALSE),IF(_xlpm.x="","",_xlpm.x))</f>
        <v/>
      </c>
      <c r="G17">
        <v>38</v>
      </c>
    </row>
    <row r="18" spans="1:7" ht="15" x14ac:dyDescent="0.2">
      <c r="A18">
        <v>16</v>
      </c>
      <c r="B18" s="1" t="s">
        <v>3439</v>
      </c>
      <c r="C18" t="str">
        <f>_xlfn.LET(_xlpm.x,VLOOKUP($B18,augment_header!$B$2:$G$72,2,FALSE),IF(_xlpm.x="","",_xlpm.x))</f>
        <v>满级效果简介键</v>
      </c>
      <c r="D18" s="4" t="str">
        <f>IF(VLOOKUP($B18,augment_header!$B$2:$G$72,3,FALSE)="√","√","")</f>
        <v>√</v>
      </c>
      <c r="E18" s="4" t="str">
        <f>IF(VLOOKUP($B18,augment_header!$B$2:$G$72,4,FALSE)="√","√","")</f>
        <v/>
      </c>
      <c r="F18" s="4" t="str">
        <f>_xlfn.LET(_xlpm.x,VLOOKUP($B18,augment_header!$B$2:$G$72,5,FALSE),IF(_xlpm.x="","",_xlpm.x))</f>
        <v/>
      </c>
    </row>
    <row r="19" spans="1:7" ht="15" x14ac:dyDescent="0.2">
      <c r="A19">
        <v>17</v>
      </c>
      <c r="B19" s="1" t="s">
        <v>3440</v>
      </c>
      <c r="C19" t="str">
        <f>_xlfn.LET(_xlpm.x,VLOOKUP($B19,augment_header!$B$2:$G$72,2,FALSE),IF(_xlpm.x="","",_xlpm.x))</f>
        <v>满级效果详细信息键</v>
      </c>
      <c r="D19" s="4" t="str">
        <f>IF(VLOOKUP($B19,augment_header!$B$2:$G$72,3,FALSE)="√","√","")</f>
        <v>√</v>
      </c>
      <c r="E19" s="4" t="str">
        <f>IF(VLOOKUP($B19,augment_header!$B$2:$G$72,4,FALSE)="√","√","")</f>
        <v/>
      </c>
      <c r="F19" s="4" t="str">
        <f>_xlfn.LET(_xlpm.x,VLOOKUP($B19,augment_header!$B$2:$G$72,5,FALSE),IF(_xlpm.x="","",_xlpm.x))</f>
        <v/>
      </c>
    </row>
    <row r="20" spans="1:7" ht="15" x14ac:dyDescent="0.2">
      <c r="A20">
        <v>18</v>
      </c>
      <c r="B20" s="1" t="s">
        <v>465</v>
      </c>
      <c r="C20" t="str">
        <f>_xlfn.LET(_xlpm.x,VLOOKUP($B20,augment_header!$B$2:$G$72,2,FALSE),IF(_xlpm.x="","",_xlpm.x))</f>
        <v>强化符文大图标路径</v>
      </c>
      <c r="D20" s="4" t="str">
        <f>IF(VLOOKUP($B20,augment_header!$B$2:$G$72,3,FALSE)="√","√","")</f>
        <v>√</v>
      </c>
      <c r="E20" s="4" t="str">
        <f>IF(VLOOKUP($B20,augment_header!$B$2:$G$72,4,FALSE)="√","√","")</f>
        <v/>
      </c>
      <c r="F20" s="4" t="str">
        <f>_xlfn.LET(_xlpm.x,VLOOKUP($B20,augment_header!$B$2:$G$72,5,FALSE),IF(_xlpm.x="","",_xlpm.x))</f>
        <v/>
      </c>
      <c r="G20">
        <v>56</v>
      </c>
    </row>
    <row r="21" spans="1:7" ht="15" x14ac:dyDescent="0.2">
      <c r="A21">
        <v>19</v>
      </c>
      <c r="B21" s="1" t="s">
        <v>453</v>
      </c>
      <c r="C21" t="str">
        <f>_xlfn.LET(_xlpm.x,VLOOKUP($B21,augment_header!$B$2:$G$72,2,FALSE),IF(_xlpm.x="","",_xlpm.x))</f>
        <v>强化符文小图标路径</v>
      </c>
      <c r="D21" s="4" t="str">
        <f>IF(VLOOKUP($B21,augment_header!$B$2:$G$72,3,FALSE)="√","√","")</f>
        <v>√</v>
      </c>
      <c r="E21" s="4" t="str">
        <f>IF(VLOOKUP($B21,augment_header!$B$2:$G$72,4,FALSE)="√","√","")</f>
        <v/>
      </c>
      <c r="F21" s="4" t="str">
        <f>_xlfn.LET(_xlpm.x,VLOOKUP($B21,augment_header!$B$2:$G$72,5,FALSE),IF(_xlpm.x="","",_xlpm.x))</f>
        <v/>
      </c>
      <c r="G21">
        <v>57</v>
      </c>
    </row>
    <row r="22" spans="1:7" ht="15" x14ac:dyDescent="0.2">
      <c r="A22">
        <v>20</v>
      </c>
      <c r="B22" s="1" t="s">
        <v>3483</v>
      </c>
      <c r="C22" t="str">
        <f>_xlfn.LET(_xlpm.x,VLOOKUP($B22,augment_header!$B$2:$G$72,2,FALSE),IF(_xlpm.x="","",_xlpm.x))</f>
        <v>次级稀有度</v>
      </c>
      <c r="D22" s="4" t="str">
        <f>IF(VLOOKUP($B22,augment_header!$B$2:$G$72,3,FALSE)="√","√","")</f>
        <v>√</v>
      </c>
      <c r="E22" s="4" t="str">
        <f>IF(VLOOKUP($B22,augment_header!$B$2:$G$72,4,FALSE)="√","√","")</f>
        <v>√</v>
      </c>
      <c r="F22" s="4" t="str">
        <f>_xlfn.LET(_xlpm.x,VLOOKUP($B22,augment_header!$B$2:$G$72,5,FALSE),IF(_xlpm.x="","",_xlpm.x))</f>
        <v/>
      </c>
    </row>
    <row r="23" spans="1:7" ht="15" x14ac:dyDescent="0.2">
      <c r="A23">
        <v>21</v>
      </c>
      <c r="B23" s="1" t="s">
        <v>455</v>
      </c>
      <c r="C23" t="str">
        <f>_xlfn.LET(_xlpm.x,VLOOKUP($B23,augment_header!$B$2:$G$72,2,FALSE),IF(_xlpm.x="","",_xlpm.x))</f>
        <v>强化符文显示标签</v>
      </c>
      <c r="D23" s="4" t="str">
        <f>IF(VLOOKUP($B23,augment_header!$B$2:$G$72,3,FALSE)="√","√","")</f>
        <v>√</v>
      </c>
      <c r="E23" s="4" t="str">
        <f>IF(VLOOKUP($B23,augment_header!$B$2:$G$72,4,FALSE)="√","√","")</f>
        <v/>
      </c>
      <c r="F23" s="4" t="str">
        <f>_xlfn.LET(_xlpm.x,VLOOKUP($B23,augment_header!$B$2:$G$72,5,FALSE),IF(_xlpm.x="","",_xlpm.x))</f>
        <v/>
      </c>
      <c r="G23">
        <v>10</v>
      </c>
    </row>
    <row r="24" spans="1:7" ht="15" x14ac:dyDescent="0.2">
      <c r="A24">
        <v>22</v>
      </c>
      <c r="B24" s="1" t="s">
        <v>457</v>
      </c>
      <c r="C24" t="str">
        <f>_xlfn.LET(_xlpm.x,VLOOKUP($B24,augment_header!$B$2:$G$72,2,FALSE),IF(_xlpm.x="","",_xlpm.x))</f>
        <v>稀有度</v>
      </c>
      <c r="D24" s="4" t="str">
        <f>IF(VLOOKUP($B24,augment_header!$B$2:$G$72,3,FALSE)="√","√","")</f>
        <v>√</v>
      </c>
      <c r="E24" s="4" t="str">
        <f>IF(VLOOKUP($B24,augment_header!$B$2:$G$72,4,FALSE)="√","√","")</f>
        <v>√</v>
      </c>
      <c r="F24" s="4" t="str">
        <f>_xlfn.LET(_xlpm.x,VLOOKUP($B24,augment_header!$B$2:$G$72,5,FALSE),IF(_xlpm.x="","",_xlpm.x))</f>
        <v/>
      </c>
      <c r="G24">
        <v>8</v>
      </c>
    </row>
    <row r="25" spans="1:7" ht="15" x14ac:dyDescent="0.2">
      <c r="A25">
        <v>23</v>
      </c>
      <c r="B25" s="1" t="s">
        <v>3205</v>
      </c>
      <c r="C25" t="str">
        <f>_xlfn.LET(_xlpm.x,VLOOKUP($B25,augment_header!$B$2:$G$72,2,FALSE),IF(_xlpm.x="","",_xlpm.x))</f>
        <v>不占用栏位</v>
      </c>
      <c r="D25" s="4" t="str">
        <f>IF(VLOOKUP($B25,augment_header!$B$2:$G$72,3,FALSE)="√","√","")</f>
        <v>√</v>
      </c>
      <c r="E25" s="4" t="str">
        <f>IF(VLOOKUP($B25,augment_header!$B$2:$G$72,4,FALSE)="√","√","")</f>
        <v>√</v>
      </c>
      <c r="F25" s="4" t="b">
        <f>_xlfn.LET(_xlpm.x,VLOOKUP($B25,augment_header!$B$2:$G$72,5,FALSE),IF(_xlpm.x="","",_xlpm.x))</f>
        <v>0</v>
      </c>
      <c r="G25">
        <v>19</v>
      </c>
    </row>
    <row r="26" spans="1:7" ht="15" x14ac:dyDescent="0.2">
      <c r="A26">
        <v>24</v>
      </c>
      <c r="B26" s="1" t="s">
        <v>459</v>
      </c>
      <c r="C26" t="str">
        <f>_xlfn.LET(_xlpm.x,VLOOKUP($B26,augment_header!$B$2:$G$72,2,FALSE),IF(_xlpm.x="","",_xlpm.x))</f>
        <v>强化符文序号</v>
      </c>
      <c r="D26" s="4" t="str">
        <f>IF(VLOOKUP($B26,augment_header!$B$2:$G$72,3,FALSE)="√","√","")</f>
        <v>√</v>
      </c>
      <c r="E26" s="4" t="str">
        <f>IF(VLOOKUP($B26,augment_header!$B$2:$G$72,4,FALSE)="√","√","")</f>
        <v/>
      </c>
      <c r="F26" s="4">
        <f>_xlfn.LET(_xlpm.x,VLOOKUP($B26,augment_header!$B$2:$G$72,5,FALSE),IF(_xlpm.x="","",_xlpm.x))</f>
        <v>-1</v>
      </c>
      <c r="G26">
        <v>2</v>
      </c>
    </row>
    <row r="27" spans="1:7" ht="15" x14ac:dyDescent="0.2">
      <c r="A27">
        <v>25</v>
      </c>
      <c r="B27" s="1" t="s">
        <v>3866</v>
      </c>
      <c r="C27" t="str">
        <f>_xlfn.LET(_xlpm.x,VLOOKUP($B27,augment_header!$B$2:$G$72,2,FALSE),IF(_xlpm.x="","",_xlpm.x))</f>
        <v>任务线主键</v>
      </c>
      <c r="D27" s="4" t="str">
        <f>IF(VLOOKUP($B27,augment_header!$B$2:$G$72,3,FALSE)="√","√","")</f>
        <v>√</v>
      </c>
      <c r="E27" s="4" t="str">
        <f>IF(VLOOKUP($B27,augment_header!$B$2:$G$72,4,FALSE)="√","√","")</f>
        <v>√</v>
      </c>
      <c r="F27" s="4" t="str">
        <f>_xlfn.LET(_xlpm.x,VLOOKUP($B27,augment_header!$B$2:$G$72,5,FALSE),IF(_xlpm.x="","",_xlpm.x))</f>
        <v/>
      </c>
      <c r="G27">
        <v>52</v>
      </c>
    </row>
    <row r="28" spans="1:7" ht="15" x14ac:dyDescent="0.2">
      <c r="A28">
        <v>26</v>
      </c>
      <c r="B28" s="1" t="s">
        <v>3654</v>
      </c>
      <c r="C28" t="str">
        <f>_xlfn.LET(_xlpm.x,VLOOKUP($B28,augment_header!$B$2:$G$72,2,FALSE),IF(_xlpm.x="","",_xlpm.x))</f>
        <v>技能重载</v>
      </c>
      <c r="D28" s="4" t="str">
        <f>IF(VLOOKUP($B28,augment_header!$B$2:$G$72,3,FALSE)="√","√","")</f>
        <v>√</v>
      </c>
      <c r="E28" s="4" t="str">
        <f>IF(VLOOKUP($B28,augment_header!$B$2:$G$72,4,FALSE)="√","√","")</f>
        <v>√</v>
      </c>
      <c r="F28" s="4" t="b">
        <f>_xlfn.LET(_xlpm.x,VLOOKUP($B28,augment_header!$B$2:$G$72,5,FALSE),IF(_xlpm.x="","",_xlpm.x))</f>
        <v>0</v>
      </c>
      <c r="G28">
        <v>20</v>
      </c>
    </row>
    <row r="29" spans="1:7" ht="15" x14ac:dyDescent="0.2">
      <c r="A29">
        <v>27</v>
      </c>
      <c r="B29" s="1" t="s">
        <v>3479</v>
      </c>
      <c r="C29" t="str">
        <f>_xlfn.LET(_xlpm.x,VLOOKUP($B29,augment_header!$B$2:$G$72,2,FALSE),IF(_xlpm.x="","",_xlpm.x))</f>
        <v>资源解析器主键</v>
      </c>
      <c r="D29" s="4" t="str">
        <f>IF(VLOOKUP($B29,augment_header!$B$2:$G$72,3,FALSE)="√","√","")</f>
        <v>√</v>
      </c>
      <c r="E29" s="4" t="str">
        <f>IF(VLOOKUP($B29,augment_header!$B$2:$G$72,4,FALSE)="√","√","")</f>
        <v>√</v>
      </c>
      <c r="F29" s="4" t="str">
        <f>_xlfn.LET(_xlpm.x,VLOOKUP($B29,augment_header!$B$2:$G$72,5,FALSE),IF(_xlpm.x="","",_xlpm.x))</f>
        <v/>
      </c>
      <c r="G29">
        <v>54</v>
      </c>
    </row>
    <row r="30" spans="1:7" ht="15" x14ac:dyDescent="0.2">
      <c r="A30">
        <v>28</v>
      </c>
      <c r="B30" s="6" t="s">
        <v>467</v>
      </c>
      <c r="C30" t="str">
        <f>_xlfn.LET(_xlpm.x,VLOOKUP($B30,augment_header!$B$2:$G$72,2,FALSE),IF(_xlpm.x="","",_xlpm.x))</f>
        <v>名称（中文）</v>
      </c>
      <c r="D30" s="4" t="str">
        <f>IF(VLOOKUP($B30,augment_header!$B$2:$G$72,3,FALSE)="√","√","")</f>
        <v/>
      </c>
      <c r="E30" s="4" t="str">
        <f>IF(VLOOKUP($B30,augment_header!$B$2:$G$72,4,FALSE)="√","√","")</f>
        <v/>
      </c>
      <c r="F30" s="4" t="str">
        <f>_xlfn.LET(_xlpm.x,VLOOKUP($B30,augment_header!$B$2:$G$72,5,FALSE),IF(_xlpm.x="","",_xlpm.x))</f>
        <v/>
      </c>
      <c r="G30">
        <v>5</v>
      </c>
    </row>
    <row r="31" spans="1:7" ht="15" x14ac:dyDescent="0.2">
      <c r="A31">
        <v>29</v>
      </c>
      <c r="B31" s="6" t="s">
        <v>470</v>
      </c>
      <c r="C31" t="str">
        <f>_xlfn.LET(_xlpm.x,VLOOKUP($B31,augment_header!$B$2:$G$72,2,FALSE),IF(_xlpm.x="","",_xlpm.x))</f>
        <v>名称（英文）</v>
      </c>
      <c r="D31" s="4" t="str">
        <f>IF(VLOOKUP($B31,augment_header!$B$2:$G$72,3,FALSE)="√","√","")</f>
        <v/>
      </c>
      <c r="E31" s="4" t="str">
        <f>IF(VLOOKUP($B31,augment_header!$B$2:$G$72,4,FALSE)="√","√","")</f>
        <v/>
      </c>
      <c r="F31" s="4" t="str">
        <f>_xlfn.LET(_xlpm.x,VLOOKUP($B31,augment_header!$B$2:$G$72,5,FALSE),IF(_xlpm.x="","",_xlpm.x))</f>
        <v/>
      </c>
      <c r="G31">
        <v>6</v>
      </c>
    </row>
    <row r="32" spans="1:7" ht="15" x14ac:dyDescent="0.2">
      <c r="A32">
        <v>30</v>
      </c>
      <c r="B32" s="6" t="s">
        <v>468</v>
      </c>
      <c r="C32" t="str">
        <f>_xlfn.LET(_xlpm.x,VLOOKUP($B32,augment_header!$B$2:$G$72,2,FALSE),IF(_xlpm.x="","",_xlpm.x))</f>
        <v>简介（中文）</v>
      </c>
      <c r="D32" s="4" t="str">
        <f>IF(VLOOKUP($B32,augment_header!$B$2:$G$72,3,FALSE)="√","√","")</f>
        <v/>
      </c>
      <c r="E32" s="4" t="str">
        <f>IF(VLOOKUP($B32,augment_header!$B$2:$G$72,4,FALSE)="√","√","")</f>
        <v/>
      </c>
      <c r="F32" s="4" t="str">
        <f>_xlfn.LET(_xlpm.x,VLOOKUP($B32,augment_header!$B$2:$G$72,5,FALSE),IF(_xlpm.x="","",_xlpm.x))</f>
        <v/>
      </c>
      <c r="G32">
        <v>24</v>
      </c>
    </row>
    <row r="33" spans="1:7" ht="15" x14ac:dyDescent="0.2">
      <c r="A33">
        <v>31</v>
      </c>
      <c r="B33" s="6" t="s">
        <v>481</v>
      </c>
      <c r="C33" t="str">
        <f>_xlfn.LET(_xlpm.x,VLOOKUP($B33,augment_header!$B$2:$G$72,2,FALSE),IF(_xlpm.x="","",_xlpm.x))</f>
        <v>简介（中文/数值转换）</v>
      </c>
      <c r="D33" s="4" t="str">
        <f>IF(VLOOKUP($B33,augment_header!$B$2:$G$72,3,FALSE)="√","√","")</f>
        <v/>
      </c>
      <c r="E33" s="4" t="str">
        <f>IF(VLOOKUP($B33,augment_header!$B$2:$G$72,4,FALSE)="√","√","")</f>
        <v/>
      </c>
      <c r="F33" s="4" t="str">
        <f>_xlfn.LET(_xlpm.x,VLOOKUP($B33,augment_header!$B$2:$G$72,5,FALSE),IF(_xlpm.x="","",_xlpm.x))</f>
        <v/>
      </c>
      <c r="G33">
        <v>25</v>
      </c>
    </row>
    <row r="34" spans="1:7" ht="15" x14ac:dyDescent="0.2">
      <c r="A34">
        <v>32</v>
      </c>
      <c r="B34" s="6" t="s">
        <v>471</v>
      </c>
      <c r="C34" t="str">
        <f>_xlfn.LET(_xlpm.x,VLOOKUP($B34,augment_header!$B$2:$G$72,2,FALSE),IF(_xlpm.x="","",_xlpm.x))</f>
        <v>简介（英文）</v>
      </c>
      <c r="D34" s="4" t="str">
        <f>IF(VLOOKUP($B34,augment_header!$B$2:$G$72,3,FALSE)="√","√","")</f>
        <v/>
      </c>
      <c r="E34" s="4" t="str">
        <f>IF(VLOOKUP($B34,augment_header!$B$2:$G$72,4,FALSE)="√","√","")</f>
        <v/>
      </c>
      <c r="F34" s="4" t="str">
        <f>_xlfn.LET(_xlpm.x,VLOOKUP($B34,augment_header!$B$2:$G$72,5,FALSE),IF(_xlpm.x="","",_xlpm.x))</f>
        <v/>
      </c>
      <c r="G34">
        <v>26</v>
      </c>
    </row>
    <row r="35" spans="1:7" ht="15" x14ac:dyDescent="0.2">
      <c r="A35">
        <v>33</v>
      </c>
      <c r="B35" s="6" t="s">
        <v>483</v>
      </c>
      <c r="C35" t="str">
        <f>_xlfn.LET(_xlpm.x,VLOOKUP($B35,augment_header!$B$2:$G$72,2,FALSE),IF(_xlpm.x="","",_xlpm.x))</f>
        <v>简介（英文/数值转换）</v>
      </c>
      <c r="D35" s="4" t="str">
        <f>IF(VLOOKUP($B35,augment_header!$B$2:$G$72,3,FALSE)="√","√","")</f>
        <v/>
      </c>
      <c r="E35" s="4" t="str">
        <f>IF(VLOOKUP($B35,augment_header!$B$2:$G$72,4,FALSE)="√","√","")</f>
        <v/>
      </c>
      <c r="F35" s="4" t="str">
        <f>_xlfn.LET(_xlpm.x,VLOOKUP($B35,augment_header!$B$2:$G$72,5,FALSE),IF(_xlpm.x="","",_xlpm.x))</f>
        <v/>
      </c>
      <c r="G35">
        <v>27</v>
      </c>
    </row>
    <row r="36" spans="1:7" ht="15" x14ac:dyDescent="0.2">
      <c r="A36">
        <v>34</v>
      </c>
      <c r="B36" s="6" t="s">
        <v>469</v>
      </c>
      <c r="C36" t="str">
        <f>_xlfn.LET(_xlpm.x,VLOOKUP($B36,augment_header!$B$2:$G$72,2,FALSE),IF(_xlpm.x="","",_xlpm.x))</f>
        <v>强化符文详细信息（中文）</v>
      </c>
      <c r="D36" s="4" t="str">
        <f>IF(VLOOKUP($B36,augment_header!$B$2:$G$72,3,FALSE)="√","√","")</f>
        <v/>
      </c>
      <c r="E36" s="4" t="str">
        <f>IF(VLOOKUP($B36,augment_header!$B$2:$G$72,4,FALSE)="√","√","")</f>
        <v/>
      </c>
      <c r="F36" s="4" t="str">
        <f>_xlfn.LET(_xlpm.x,VLOOKUP($B36,augment_header!$B$2:$G$72,5,FALSE),IF(_xlpm.x="","",_xlpm.x))</f>
        <v/>
      </c>
      <c r="G36">
        <v>29</v>
      </c>
    </row>
    <row r="37" spans="1:7" ht="15" x14ac:dyDescent="0.2">
      <c r="A37">
        <v>35</v>
      </c>
      <c r="B37" s="6" t="s">
        <v>485</v>
      </c>
      <c r="C37" t="str">
        <f>_xlfn.LET(_xlpm.x,VLOOKUP($B37,augment_header!$B$2:$G$72,2,FALSE),IF(_xlpm.x="","",_xlpm.x))</f>
        <v>强化符文详细信息（中文/数值转换）</v>
      </c>
      <c r="D37" s="4" t="str">
        <f>IF(VLOOKUP($B37,augment_header!$B$2:$G$72,3,FALSE)="√","√","")</f>
        <v/>
      </c>
      <c r="E37" s="4" t="str">
        <f>IF(VLOOKUP($B37,augment_header!$B$2:$G$72,4,FALSE)="√","√","")</f>
        <v/>
      </c>
      <c r="F37" s="4" t="str">
        <f>_xlfn.LET(_xlpm.x,VLOOKUP($B37,augment_header!$B$2:$G$72,5,FALSE),IF(_xlpm.x="","",_xlpm.x))</f>
        <v/>
      </c>
      <c r="G37">
        <v>30</v>
      </c>
    </row>
    <row r="38" spans="1:7" ht="15" x14ac:dyDescent="0.2">
      <c r="A38">
        <v>36</v>
      </c>
      <c r="B38" s="6" t="s">
        <v>472</v>
      </c>
      <c r="C38" t="str">
        <f>_xlfn.LET(_xlpm.x,VLOOKUP($B38,augment_header!$B$2:$G$72,2,FALSE),IF(_xlpm.x="","",_xlpm.x))</f>
        <v>强化符文详细信息（英文）</v>
      </c>
      <c r="D38" s="4" t="str">
        <f>IF(VLOOKUP($B38,augment_header!$B$2:$G$72,3,FALSE)="√","√","")</f>
        <v/>
      </c>
      <c r="E38" s="4" t="str">
        <f>IF(VLOOKUP($B38,augment_header!$B$2:$G$72,4,FALSE)="√","√","")</f>
        <v/>
      </c>
      <c r="F38" s="4" t="str">
        <f>_xlfn.LET(_xlpm.x,VLOOKUP($B38,augment_header!$B$2:$G$72,5,FALSE),IF(_xlpm.x="","",_xlpm.x))</f>
        <v/>
      </c>
      <c r="G38">
        <v>31</v>
      </c>
    </row>
    <row r="39" spans="1:7" ht="15" x14ac:dyDescent="0.2">
      <c r="A39">
        <v>37</v>
      </c>
      <c r="B39" s="6" t="s">
        <v>486</v>
      </c>
      <c r="C39" t="str">
        <f>_xlfn.LET(_xlpm.x,VLOOKUP($B39,augment_header!$B$2:$G$72,2,FALSE),IF(_xlpm.x="","",_xlpm.x))</f>
        <v>强化符文详细信息（英文/数值转换）</v>
      </c>
      <c r="D39" s="4" t="str">
        <f>IF(VLOOKUP($B39,augment_header!$B$2:$G$72,3,FALSE)="√","√","")</f>
        <v/>
      </c>
      <c r="E39" s="4" t="str">
        <f>IF(VLOOKUP($B39,augment_header!$B$2:$G$72,4,FALSE)="√","√","")</f>
        <v/>
      </c>
      <c r="F39" s="4" t="str">
        <f>_xlfn.LET(_xlpm.x,VLOOKUP($B39,augment_header!$B$2:$G$72,5,FALSE),IF(_xlpm.x="","",_xlpm.x))</f>
        <v/>
      </c>
      <c r="G39">
        <v>32</v>
      </c>
    </row>
    <row r="40" spans="1:7" ht="15" x14ac:dyDescent="0.2">
      <c r="A40">
        <v>38</v>
      </c>
      <c r="B40" s="6" t="s">
        <v>3445</v>
      </c>
      <c r="C40" t="str">
        <f>_xlfn.LET(_xlpm.x,VLOOKUP($B40,augment_header!$B$2:$G$72,2,FALSE),IF(_xlpm.x="","",_xlpm.x))</f>
        <v>强化符文详细信息描述部分（中文）</v>
      </c>
      <c r="D40" s="4" t="str">
        <f>IF(VLOOKUP($B40,augment_header!$B$2:$G$72,3,FALSE)="√","√","")</f>
        <v/>
      </c>
      <c r="E40" s="4" t="str">
        <f>IF(VLOOKUP($B40,augment_header!$B$2:$G$72,4,FALSE)="√","√","")</f>
        <v/>
      </c>
      <c r="F40" s="4" t="str">
        <f>_xlfn.LET(_xlpm.x,VLOOKUP($B40,augment_header!$B$2:$G$72,5,FALSE),IF(_xlpm.x="","",_xlpm.x))</f>
        <v/>
      </c>
      <c r="G40">
        <v>34</v>
      </c>
    </row>
    <row r="41" spans="1:7" ht="15" x14ac:dyDescent="0.2">
      <c r="A41">
        <v>39</v>
      </c>
      <c r="B41" s="6" t="s">
        <v>3446</v>
      </c>
      <c r="C41" t="str">
        <f>_xlfn.LET(_xlpm.x,VLOOKUP($B41,augment_header!$B$2:$G$72,2,FALSE),IF(_xlpm.x="","",_xlpm.x))</f>
        <v>强化符文详细信息描述部分（中文/数值转换）</v>
      </c>
      <c r="D41" s="4" t="str">
        <f>IF(VLOOKUP($B41,augment_header!$B$2:$G$72,3,FALSE)="√","√","")</f>
        <v/>
      </c>
      <c r="E41" s="4" t="str">
        <f>IF(VLOOKUP($B41,augment_header!$B$2:$G$72,4,FALSE)="√","√","")</f>
        <v/>
      </c>
      <c r="F41" s="4" t="str">
        <f>_xlfn.LET(_xlpm.x,VLOOKUP($B41,augment_header!$B$2:$G$72,5,FALSE),IF(_xlpm.x="","",_xlpm.x))</f>
        <v/>
      </c>
      <c r="G41">
        <v>35</v>
      </c>
    </row>
    <row r="42" spans="1:7" ht="15" x14ac:dyDescent="0.2">
      <c r="A42">
        <v>40</v>
      </c>
      <c r="B42" s="6" t="s">
        <v>3447</v>
      </c>
      <c r="C42" t="str">
        <f>_xlfn.LET(_xlpm.x,VLOOKUP($B42,augment_header!$B$2:$G$72,2,FALSE),IF(_xlpm.x="","",_xlpm.x))</f>
        <v>强化符文详细信息描述部分（英文）</v>
      </c>
      <c r="D42" s="4" t="str">
        <f>IF(VLOOKUP($B42,augment_header!$B$2:$G$72,3,FALSE)="√","√","")</f>
        <v/>
      </c>
      <c r="E42" s="4" t="str">
        <f>IF(VLOOKUP($B42,augment_header!$B$2:$G$72,4,FALSE)="√","√","")</f>
        <v/>
      </c>
      <c r="F42" s="4" t="str">
        <f>_xlfn.LET(_xlpm.x,VLOOKUP($B42,augment_header!$B$2:$G$72,5,FALSE),IF(_xlpm.x="","",_xlpm.x))</f>
        <v/>
      </c>
      <c r="G42">
        <v>36</v>
      </c>
    </row>
    <row r="43" spans="1:7" ht="15" x14ac:dyDescent="0.2">
      <c r="A43">
        <v>41</v>
      </c>
      <c r="B43" s="6" t="s">
        <v>3448</v>
      </c>
      <c r="C43" t="str">
        <f>_xlfn.LET(_xlpm.x,VLOOKUP($B43,augment_header!$B$2:$G$72,2,FALSE),IF(_xlpm.x="","",_xlpm.x))</f>
        <v>强化符文详细信息描述部分（英文/数值转换）</v>
      </c>
      <c r="D43" s="4" t="str">
        <f>IF(VLOOKUP($B43,augment_header!$B$2:$G$72,3,FALSE)="√","√","")</f>
        <v/>
      </c>
      <c r="E43" s="4" t="str">
        <f>IF(VLOOKUP($B43,augment_header!$B$2:$G$72,4,FALSE)="√","√","")</f>
        <v/>
      </c>
      <c r="F43" s="4" t="str">
        <f>_xlfn.LET(_xlpm.x,VLOOKUP($B43,augment_header!$B$2:$G$72,5,FALSE),IF(_xlpm.x="","",_xlpm.x))</f>
        <v/>
      </c>
      <c r="G43">
        <v>37</v>
      </c>
    </row>
    <row r="44" spans="1:7" ht="15" x14ac:dyDescent="0.2">
      <c r="A44">
        <v>42</v>
      </c>
      <c r="B44" s="6" t="s">
        <v>3449</v>
      </c>
      <c r="C44" t="str">
        <f>_xlfn.LET(_xlpm.x,VLOOKUP($B44,augment_header!$B$2:$G$72,2,FALSE),IF(_xlpm.x="","",_xlpm.x))</f>
        <v>强化符文详细信息追踪部分（中文）</v>
      </c>
      <c r="D44" s="4" t="str">
        <f>IF(VLOOKUP($B44,augment_header!$B$2:$G$72,3,FALSE)="√","√","")</f>
        <v/>
      </c>
      <c r="E44" s="4" t="str">
        <f>IF(VLOOKUP($B44,augment_header!$B$2:$G$72,4,FALSE)="√","√","")</f>
        <v/>
      </c>
      <c r="F44" s="4" t="str">
        <f>_xlfn.LET(_xlpm.x,VLOOKUP($B44,augment_header!$B$2:$G$72,5,FALSE),IF(_xlpm.x="","",_xlpm.x))</f>
        <v/>
      </c>
      <c r="G44">
        <v>39</v>
      </c>
    </row>
    <row r="45" spans="1:7" ht="15" x14ac:dyDescent="0.2">
      <c r="A45">
        <v>43</v>
      </c>
      <c r="B45" s="6" t="s">
        <v>3450</v>
      </c>
      <c r="C45" t="str">
        <f>_xlfn.LET(_xlpm.x,VLOOKUP($B45,augment_header!$B$2:$G$72,2,FALSE),IF(_xlpm.x="","",_xlpm.x))</f>
        <v>强化符文详细信息追踪部分（中文/数值转换）</v>
      </c>
      <c r="D45" s="4" t="str">
        <f>IF(VLOOKUP($B45,augment_header!$B$2:$G$72,3,FALSE)="√","√","")</f>
        <v/>
      </c>
      <c r="E45" s="4" t="str">
        <f>IF(VLOOKUP($B45,augment_header!$B$2:$G$72,4,FALSE)="√","√","")</f>
        <v/>
      </c>
      <c r="F45" s="4" t="str">
        <f>_xlfn.LET(_xlpm.x,VLOOKUP($B45,augment_header!$B$2:$G$72,5,FALSE),IF(_xlpm.x="","",_xlpm.x))</f>
        <v/>
      </c>
      <c r="G45">
        <v>40</v>
      </c>
    </row>
    <row r="46" spans="1:7" ht="15" x14ac:dyDescent="0.2">
      <c r="A46">
        <v>44</v>
      </c>
      <c r="B46" s="6" t="s">
        <v>3451</v>
      </c>
      <c r="C46" t="str">
        <f>_xlfn.LET(_xlpm.x,VLOOKUP($B46,augment_header!$B$2:$G$72,2,FALSE),IF(_xlpm.x="","",_xlpm.x))</f>
        <v>强化符文详细信息追踪部分（英文）</v>
      </c>
      <c r="D46" s="4" t="str">
        <f>IF(VLOOKUP($B46,augment_header!$B$2:$G$72,3,FALSE)="√","√","")</f>
        <v/>
      </c>
      <c r="E46" s="4" t="str">
        <f>IF(VLOOKUP($B46,augment_header!$B$2:$G$72,4,FALSE)="√","√","")</f>
        <v/>
      </c>
      <c r="F46" s="4" t="str">
        <f>_xlfn.LET(_xlpm.x,VLOOKUP($B46,augment_header!$B$2:$G$72,5,FALSE),IF(_xlpm.x="","",_xlpm.x))</f>
        <v/>
      </c>
      <c r="G46">
        <v>41</v>
      </c>
    </row>
    <row r="47" spans="1:7" ht="15" x14ac:dyDescent="0.2">
      <c r="A47">
        <v>45</v>
      </c>
      <c r="B47" s="6" t="s">
        <v>3452</v>
      </c>
      <c r="C47" t="str">
        <f>_xlfn.LET(_xlpm.x,VLOOKUP($B47,augment_header!$B$2:$G$72,2,FALSE),IF(_xlpm.x="","",_xlpm.x))</f>
        <v>强化符文详细信息追踪部分（英文/数值转换）</v>
      </c>
      <c r="D47" s="4" t="str">
        <f>IF(VLOOKUP($B47,augment_header!$B$2:$G$72,3,FALSE)="√","√","")</f>
        <v/>
      </c>
      <c r="E47" s="4" t="str">
        <f>IF(VLOOKUP($B47,augment_header!$B$2:$G$72,4,FALSE)="√","√","")</f>
        <v/>
      </c>
      <c r="F47" s="4" t="str">
        <f>_xlfn.LET(_xlpm.x,VLOOKUP($B47,augment_header!$B$2:$G$72,5,FALSE),IF(_xlpm.x="","",_xlpm.x))</f>
        <v/>
      </c>
      <c r="G47">
        <v>42</v>
      </c>
    </row>
    <row r="48" spans="1:7" ht="15" x14ac:dyDescent="0.2">
      <c r="A48">
        <v>46</v>
      </c>
      <c r="B48" s="6" t="s">
        <v>3453</v>
      </c>
      <c r="C48" t="str">
        <f>_xlfn.LET(_xlpm.x,VLOOKUP($B48,augment_header!$B$2:$G$72,2,FALSE),IF(_xlpm.x="","",_xlpm.x))</f>
        <v>满级效果简介（中文）</v>
      </c>
      <c r="D48" s="4" t="str">
        <f>IF(VLOOKUP($B48,augment_header!$B$2:$G$72,3,FALSE)="√","√","")</f>
        <v/>
      </c>
      <c r="E48" s="4" t="str">
        <f>IF(VLOOKUP($B48,augment_header!$B$2:$G$72,4,FALSE)="√","√","")</f>
        <v/>
      </c>
      <c r="F48" s="4" t="str">
        <f>_xlfn.LET(_xlpm.x,VLOOKUP($B48,augment_header!$B$2:$G$72,5,FALSE),IF(_xlpm.x="","",_xlpm.x))</f>
        <v/>
      </c>
    </row>
    <row r="49" spans="1:7" ht="15" x14ac:dyDescent="0.2">
      <c r="A49">
        <v>47</v>
      </c>
      <c r="B49" s="6" t="s">
        <v>3454</v>
      </c>
      <c r="C49" t="str">
        <f>_xlfn.LET(_xlpm.x,VLOOKUP($B49,augment_header!$B$2:$G$72,2,FALSE),IF(_xlpm.x="","",_xlpm.x))</f>
        <v>满级效果简介（中文/数值转换）</v>
      </c>
      <c r="D49" s="4" t="str">
        <f>IF(VLOOKUP($B49,augment_header!$B$2:$G$72,3,FALSE)="√","√","")</f>
        <v/>
      </c>
      <c r="E49" s="4" t="str">
        <f>IF(VLOOKUP($B49,augment_header!$B$2:$G$72,4,FALSE)="√","√","")</f>
        <v/>
      </c>
      <c r="F49" s="4" t="str">
        <f>_xlfn.LET(_xlpm.x,VLOOKUP($B49,augment_header!$B$2:$G$72,5,FALSE),IF(_xlpm.x="","",_xlpm.x))</f>
        <v/>
      </c>
    </row>
    <row r="50" spans="1:7" ht="15" x14ac:dyDescent="0.2">
      <c r="A50">
        <v>48</v>
      </c>
      <c r="B50" s="6" t="s">
        <v>3455</v>
      </c>
      <c r="C50" t="str">
        <f>_xlfn.LET(_xlpm.x,VLOOKUP($B50,augment_header!$B$2:$G$72,2,FALSE),IF(_xlpm.x="","",_xlpm.x))</f>
        <v>满级效果简介（英文）</v>
      </c>
      <c r="D50" s="4" t="str">
        <f>IF(VLOOKUP($B50,augment_header!$B$2:$G$72,3,FALSE)="√","√","")</f>
        <v/>
      </c>
      <c r="E50" s="4" t="str">
        <f>IF(VLOOKUP($B50,augment_header!$B$2:$G$72,4,FALSE)="√","√","")</f>
        <v/>
      </c>
      <c r="F50" s="4" t="str">
        <f>_xlfn.LET(_xlpm.x,VLOOKUP($B50,augment_header!$B$2:$G$72,5,FALSE),IF(_xlpm.x="","",_xlpm.x))</f>
        <v/>
      </c>
    </row>
    <row r="51" spans="1:7" ht="15" x14ac:dyDescent="0.2">
      <c r="A51">
        <v>49</v>
      </c>
      <c r="B51" s="6" t="s">
        <v>3456</v>
      </c>
      <c r="C51" t="str">
        <f>_xlfn.LET(_xlpm.x,VLOOKUP($B51,augment_header!$B$2:$G$72,2,FALSE),IF(_xlpm.x="","",_xlpm.x))</f>
        <v>满级效果简介（英文/数值转换）</v>
      </c>
      <c r="D51" s="4" t="str">
        <f>IF(VLOOKUP($B51,augment_header!$B$2:$G$72,3,FALSE)="√","√","")</f>
        <v/>
      </c>
      <c r="E51" s="4" t="str">
        <f>IF(VLOOKUP($B51,augment_header!$B$2:$G$72,4,FALSE)="√","√","")</f>
        <v/>
      </c>
      <c r="F51" s="4" t="str">
        <f>_xlfn.LET(_xlpm.x,VLOOKUP($B51,augment_header!$B$2:$G$72,5,FALSE),IF(_xlpm.x="","",_xlpm.x))</f>
        <v/>
      </c>
    </row>
    <row r="52" spans="1:7" ht="15" x14ac:dyDescent="0.2">
      <c r="A52">
        <v>50</v>
      </c>
      <c r="B52" s="6" t="s">
        <v>3457</v>
      </c>
      <c r="C52" t="str">
        <f>_xlfn.LET(_xlpm.x,VLOOKUP($B52,augment_header!$B$2:$G$72,2,FALSE),IF(_xlpm.x="","",_xlpm.x))</f>
        <v>满级效果详细信息（中文）</v>
      </c>
      <c r="D52" s="4" t="str">
        <f>IF(VLOOKUP($B52,augment_header!$B$2:$G$72,3,FALSE)="√","√","")</f>
        <v/>
      </c>
      <c r="E52" s="4" t="str">
        <f>IF(VLOOKUP($B52,augment_header!$B$2:$G$72,4,FALSE)="√","√","")</f>
        <v/>
      </c>
      <c r="F52" s="4" t="str">
        <f>_xlfn.LET(_xlpm.x,VLOOKUP($B52,augment_header!$B$2:$G$72,5,FALSE),IF(_xlpm.x="","",_xlpm.x))</f>
        <v/>
      </c>
    </row>
    <row r="53" spans="1:7" ht="15" x14ac:dyDescent="0.2">
      <c r="A53">
        <v>51</v>
      </c>
      <c r="B53" s="6" t="s">
        <v>3458</v>
      </c>
      <c r="C53" t="str">
        <f>_xlfn.LET(_xlpm.x,VLOOKUP($B53,augment_header!$B$2:$G$72,2,FALSE),IF(_xlpm.x="","",_xlpm.x))</f>
        <v>满级效果详细信息（中文/数值转换）</v>
      </c>
      <c r="D53" s="4" t="str">
        <f>IF(VLOOKUP($B53,augment_header!$B$2:$G$72,3,FALSE)="√","√","")</f>
        <v/>
      </c>
      <c r="E53" s="4" t="str">
        <f>IF(VLOOKUP($B53,augment_header!$B$2:$G$72,4,FALSE)="√","√","")</f>
        <v/>
      </c>
      <c r="F53" s="4" t="str">
        <f>_xlfn.LET(_xlpm.x,VLOOKUP($B53,augment_header!$B$2:$G$72,5,FALSE),IF(_xlpm.x="","",_xlpm.x))</f>
        <v/>
      </c>
    </row>
    <row r="54" spans="1:7" ht="15" x14ac:dyDescent="0.2">
      <c r="A54">
        <v>52</v>
      </c>
      <c r="B54" s="6" t="s">
        <v>3459</v>
      </c>
      <c r="C54" t="str">
        <f>_xlfn.LET(_xlpm.x,VLOOKUP($B54,augment_header!$B$2:$G$72,2,FALSE),IF(_xlpm.x="","",_xlpm.x))</f>
        <v>满级效果详细信息（英文）</v>
      </c>
      <c r="D54" s="4" t="str">
        <f>IF(VLOOKUP($B54,augment_header!$B$2:$G$72,3,FALSE)="√","√","")</f>
        <v/>
      </c>
      <c r="E54" s="4" t="str">
        <f>IF(VLOOKUP($B54,augment_header!$B$2:$G$72,4,FALSE)="√","√","")</f>
        <v/>
      </c>
      <c r="F54" s="4" t="str">
        <f>_xlfn.LET(_xlpm.x,VLOOKUP($B54,augment_header!$B$2:$G$72,5,FALSE),IF(_xlpm.x="","",_xlpm.x))</f>
        <v/>
      </c>
    </row>
    <row r="55" spans="1:7" ht="15" x14ac:dyDescent="0.2">
      <c r="A55">
        <v>53</v>
      </c>
      <c r="B55" s="6" t="s">
        <v>3460</v>
      </c>
      <c r="C55" t="str">
        <f>_xlfn.LET(_xlpm.x,VLOOKUP($B55,augment_header!$B$2:$G$72,2,FALSE),IF(_xlpm.x="","",_xlpm.x))</f>
        <v>满级效果详细信息（英文/数值转换）</v>
      </c>
      <c r="D55" s="4" t="str">
        <f>IF(VLOOKUP($B55,augment_header!$B$2:$G$72,3,FALSE)="√","√","")</f>
        <v/>
      </c>
      <c r="E55" s="4" t="str">
        <f>IF(VLOOKUP($B55,augment_header!$B$2:$G$72,4,FALSE)="√","√","")</f>
        <v/>
      </c>
      <c r="F55" s="4" t="str">
        <f>_xlfn.LET(_xlpm.x,VLOOKUP($B55,augment_header!$B$2:$G$72,5,FALSE),IF(_xlpm.x="","",_xlpm.x))</f>
        <v/>
      </c>
    </row>
    <row r="56" spans="1:7" ht="15" x14ac:dyDescent="0.2">
      <c r="A56">
        <v>54</v>
      </c>
      <c r="B56" s="6" t="s">
        <v>462</v>
      </c>
      <c r="C56" t="str">
        <f>_xlfn.LET(_xlpm.x,VLOOKUP($B56,augment_header!$B$2:$G$72,2,FALSE),IF(_xlpm.x="","",_xlpm.x))</f>
        <v>强化符文显示标签内容</v>
      </c>
      <c r="D56" s="4" t="str">
        <f>IF(VLOOKUP($B56,augment_header!$B$2:$G$72,3,FALSE)="√","√","")</f>
        <v/>
      </c>
      <c r="E56" s="4" t="str">
        <f>IF(VLOOKUP($B56,augment_header!$B$2:$G$72,4,FALSE)="√","√","")</f>
        <v/>
      </c>
      <c r="F56" s="4" t="str">
        <f>_xlfn.LET(_xlpm.x,VLOOKUP($B56,augment_header!$B$2:$G$72,5,FALSE),IF(_xlpm.x="","",_xlpm.x))</f>
        <v/>
      </c>
      <c r="G56">
        <v>11</v>
      </c>
    </row>
    <row r="57" spans="1:7" ht="15" x14ac:dyDescent="0.2">
      <c r="A57">
        <v>55</v>
      </c>
      <c r="B57" s="6" t="s">
        <v>460</v>
      </c>
      <c r="C57" t="str">
        <f>_xlfn.LET(_xlpm.x,VLOOKUP($B57,augment_header!$B$2:$G$72,2,FALSE),IF(_xlpm.x="","",_xlpm.x))</f>
        <v>位阶</v>
      </c>
      <c r="D57" s="4" t="str">
        <f>IF(VLOOKUP($B57,augment_header!$B$2:$G$72,3,FALSE)="√","√","")</f>
        <v/>
      </c>
      <c r="E57" s="4" t="str">
        <f>IF(VLOOKUP($B57,augment_header!$B$2:$G$72,4,FALSE)="√","√","")</f>
        <v>√</v>
      </c>
      <c r="F57" s="4" t="str">
        <f>_xlfn.LET(_xlpm.x,VLOOKUP($B57,augment_header!$B$2:$G$72,5,FALSE),IF(_xlpm.x="","",_xlpm.x))</f>
        <v/>
      </c>
      <c r="G57">
        <v>9</v>
      </c>
    </row>
    <row r="58" spans="1:7" ht="15" x14ac:dyDescent="0.2">
      <c r="A58">
        <v>56</v>
      </c>
      <c r="B58" s="6" t="s">
        <v>479</v>
      </c>
      <c r="C58" t="str">
        <f>_xlfn.LET(_xlpm.x,VLOOKUP($B58,augment_header!$B$2:$G$72,2,FALSE),IF(_xlpm.x="","",_xlpm.x))</f>
        <v>根指令对象</v>
      </c>
      <c r="D58" s="4" t="str">
        <f>IF(VLOOKUP($B58,augment_header!$B$2:$G$72,3,FALSE)="√","√","")</f>
        <v>√</v>
      </c>
      <c r="E58" s="4" t="str">
        <f>IF(VLOOKUP($B58,augment_header!$B$2:$G$72,4,FALSE)="√","√","")</f>
        <v/>
      </c>
      <c r="F58" s="4" t="str">
        <f>_xlfn.LET(_xlpm.x,VLOOKUP($B58,augment_header!$B$2:$G$72,5,FALSE),IF(_xlpm.x="","",_xlpm.x))</f>
        <v/>
      </c>
      <c r="G58">
        <v>49</v>
      </c>
    </row>
    <row r="59" spans="1:7" ht="15" x14ac:dyDescent="0.2">
      <c r="A59">
        <v>57</v>
      </c>
      <c r="B59" s="6" t="s">
        <v>3868</v>
      </c>
      <c r="C59" t="str">
        <f>_xlfn.LET(_xlpm.x,VLOOKUP($B59,augment_header!$B$2:$G$72,2,FALSE),IF(_xlpm.x="","",_xlpm.x))</f>
        <v>其它指令对象</v>
      </c>
      <c r="D59" s="4" t="str">
        <f>IF(VLOOKUP($B59,augment_header!$B$2:$G$72,3,FALSE)="√","√","")</f>
        <v>√</v>
      </c>
      <c r="E59" s="4" t="str">
        <f>IF(VLOOKUP($B59,augment_header!$B$2:$G$72,4,FALSE)="√","√","")</f>
        <v/>
      </c>
      <c r="F59" s="4" t="str">
        <f>_xlfn.LET(_xlpm.x,VLOOKUP($B59,augment_header!$B$2:$G$72,5,FALSE),IF(_xlpm.x="","",_xlpm.x))</f>
        <v/>
      </c>
      <c r="G59">
        <v>51</v>
      </c>
    </row>
    <row r="60" spans="1:7" ht="15" x14ac:dyDescent="0.2">
      <c r="A60">
        <v>58</v>
      </c>
      <c r="B60" s="1" t="s">
        <v>3485</v>
      </c>
      <c r="C60" t="str">
        <f>_xlfn.LET(_xlpm.x,VLOOKUP($B60,augment_header!$B$2:$G$72,2,FALSE),IF(_xlpm.x="","",_xlpm.x))</f>
        <v>最大等级</v>
      </c>
      <c r="D60" s="4" t="str">
        <f>IF(VLOOKUP($B60,augment_header!$B$2:$G$72,3,FALSE)="√","√","")</f>
        <v>√</v>
      </c>
      <c r="E60" s="4" t="str">
        <f>IF(VLOOKUP($B60,augment_header!$B$2:$G$72,4,FALSE)="√","√","")</f>
        <v/>
      </c>
      <c r="F60" s="4" t="str">
        <f>_xlfn.LET(_xlpm.x,VLOOKUP($B60,augment_header!$B$2:$G$72,5,FALSE),IF(_xlpm.x="","",_xlpm.x))</f>
        <v/>
      </c>
    </row>
    <row r="61" spans="1:7" ht="15" x14ac:dyDescent="0.2">
      <c r="A61">
        <v>59</v>
      </c>
      <c r="B61" s="1" t="s">
        <v>3480</v>
      </c>
      <c r="C61" t="str">
        <f>_xlfn.LET(_xlpm.x,VLOOKUP($B61,augment_header!$B$2:$G$72,2,FALSE),IF(_xlpm.x="","",_xlpm.x))</f>
        <v>资源解析器映射字典</v>
      </c>
      <c r="D61" s="4" t="str">
        <f>IF(VLOOKUP($B61,augment_header!$B$2:$G$72,3,FALSE)="√","√","")</f>
        <v>√</v>
      </c>
      <c r="E61" s="4" t="str">
        <f>IF(VLOOKUP($B61,augment_header!$B$2:$G$72,4,FALSE)="√","√","")</f>
        <v/>
      </c>
      <c r="F61" s="4" t="str">
        <f>_xlfn.LET(_xlpm.x,VLOOKUP($B61,augment_header!$B$2:$G$72,5,FALSE),IF(_xlpm.x="","",_xlpm.x))</f>
        <v/>
      </c>
      <c r="G61">
        <v>55</v>
      </c>
    </row>
    <row r="62" spans="1:7" ht="15" x14ac:dyDescent="0.2">
      <c r="A62" s="2">
        <v>60</v>
      </c>
      <c r="B62" s="3" t="s">
        <v>3664</v>
      </c>
      <c r="C62" s="2" t="str">
        <f>_xlfn.LET(_xlpm.x,VLOOKUP($B62,augment_header!$B$2:$G$72,2,FALSE),IF(_xlpm.x="","",_xlpm.x))</f>
        <v/>
      </c>
      <c r="D62" s="4" t="str">
        <f>IF(VLOOKUP($B62,augment_header!$B$2:$G$72,3,FALSE)="√","√","")</f>
        <v>√</v>
      </c>
      <c r="E62" s="4" t="str">
        <f>IF(VLOOKUP($B62,augment_header!$B$2:$G$72,4,FALSE)="√","√","")</f>
        <v/>
      </c>
      <c r="F62" s="4" t="str">
        <f>_xlfn.LET(_xlpm.x,VLOOKUP($B62,augment_header!$B$2:$G$72,5,FALSE),IF(_xlpm.x="","",_xlpm.x))</f>
        <v/>
      </c>
      <c r="G62">
        <v>15</v>
      </c>
    </row>
    <row r="63" spans="1:7" ht="15" x14ac:dyDescent="0.2">
      <c r="A63" s="2">
        <v>61</v>
      </c>
      <c r="B63" s="3" t="s">
        <v>3665</v>
      </c>
      <c r="C63" s="2" t="str">
        <f>_xlfn.LET(_xlpm.x,VLOOKUP($B63,augment_header!$B$2:$G$72,2,FALSE),IF(_xlpm.x="","",_xlpm.x))</f>
        <v>任务线代码</v>
      </c>
      <c r="D63" s="4" t="str">
        <f>IF(VLOOKUP($B63,augment_header!$B$2:$G$72,3,FALSE)="√","√","")</f>
        <v>√</v>
      </c>
      <c r="E63" s="4" t="str">
        <f>IF(VLOOKUP($B63,augment_header!$B$2:$G$72,4,FALSE)="√","√","")</f>
        <v/>
      </c>
      <c r="F63" s="4" t="str">
        <f>_xlfn.LET(_xlpm.x,VLOOKUP($B63,augment_header!$B$2:$G$72,5,FALSE),IF(_xlpm.x="","",_xlpm.x))</f>
        <v/>
      </c>
      <c r="G63">
        <v>16</v>
      </c>
    </row>
    <row r="64" spans="1:7" ht="15" x14ac:dyDescent="0.2">
      <c r="A64" s="2">
        <v>62</v>
      </c>
      <c r="B64" s="3" t="s">
        <v>3666</v>
      </c>
      <c r="C64" s="2" t="str">
        <f>_xlfn.LET(_xlpm.x,VLOOKUP($B64,augment_header!$B$2:$G$72,2,FALSE),IF(_xlpm.x="","",_xlpm.x))</f>
        <v>任务线名称键</v>
      </c>
      <c r="D64" s="4" t="str">
        <f>IF(VLOOKUP($B64,augment_header!$B$2:$G$72,3,FALSE)="√","√","")</f>
        <v/>
      </c>
      <c r="E64" s="4" t="str">
        <f>IF(VLOOKUP($B64,augment_header!$B$2:$G$72,4,FALSE)="√","√","")</f>
        <v/>
      </c>
      <c r="F64" s="4" t="str">
        <f>_xlfn.LET(_xlpm.x,VLOOKUP($B64,augment_header!$B$2:$G$72,5,FALSE),IF(_xlpm.x="","",_xlpm.x))</f>
        <v/>
      </c>
    </row>
    <row r="65" spans="1:7" ht="15" x14ac:dyDescent="0.2">
      <c r="A65" s="2">
        <v>63</v>
      </c>
      <c r="B65" s="3" t="s">
        <v>3667</v>
      </c>
      <c r="C65" s="2" t="str">
        <f>_xlfn.LET(_xlpm.x,VLOOKUP($B65,augment_header!$B$2:$G$72,2,FALSE),IF(_xlpm.x="","",_xlpm.x))</f>
        <v>任务完成描述键</v>
      </c>
      <c r="D65" s="4" t="str">
        <f>IF(VLOOKUP($B65,augment_header!$B$2:$G$72,3,FALSE)="√","√","")</f>
        <v>√</v>
      </c>
      <c r="E65" s="4" t="str">
        <f>IF(VLOOKUP($B65,augment_header!$B$2:$G$72,4,FALSE)="√","√","")</f>
        <v/>
      </c>
      <c r="F65" s="4" t="str">
        <f>_xlfn.LET(_xlpm.x,VLOOKUP($B65,augment_header!$B$2:$G$72,5,FALSE),IF(_xlpm.x="","",_xlpm.x))</f>
        <v/>
      </c>
      <c r="G65">
        <v>43</v>
      </c>
    </row>
    <row r="66" spans="1:7" ht="15" x14ac:dyDescent="0.2">
      <c r="A66" s="2">
        <v>64</v>
      </c>
      <c r="B66" s="3" t="s">
        <v>3668</v>
      </c>
      <c r="C66" s="2" t="str">
        <f>_xlfn.LET(_xlpm.x,VLOOKUP($B66,augment_header!$B$2:$G$72,2,FALSE),IF(_xlpm.x="","",_xlpm.x))</f>
        <v>任务栏位图标纹理路径</v>
      </c>
      <c r="D66" s="4" t="str">
        <f>IF(VLOOKUP($B66,augment_header!$B$2:$G$72,3,FALSE)="√","√","")</f>
        <v>√</v>
      </c>
      <c r="E66" s="4" t="str">
        <f>IF(VLOOKUP($B66,augment_header!$B$2:$G$72,4,FALSE)="√","√","")</f>
        <v/>
      </c>
      <c r="F66" s="4" t="str">
        <f>_xlfn.LET(_xlpm.x,VLOOKUP($B66,augment_header!$B$2:$G$72,5,FALSE),IF(_xlpm.x="","",_xlpm.x))</f>
        <v/>
      </c>
      <c r="G66">
        <v>58</v>
      </c>
    </row>
    <row r="67" spans="1:7" ht="15" x14ac:dyDescent="0.2">
      <c r="A67" s="2">
        <v>65</v>
      </c>
      <c r="B67" s="3" t="s">
        <v>3669</v>
      </c>
      <c r="C67" s="2" t="str">
        <f>_xlfn.LET(_xlpm.x,VLOOKUP($B67,augment_header!$B$2:$G$72,2,FALSE),IF(_xlpm.x="","",_xlpm.x))</f>
        <v/>
      </c>
      <c r="D67" s="4" t="str">
        <f>IF(VLOOKUP($B67,augment_header!$B$2:$G$72,3,FALSE)="√","√","")</f>
        <v>√</v>
      </c>
      <c r="E67" s="4" t="str">
        <f>IF(VLOOKUP($B67,augment_header!$B$2:$G$72,4,FALSE)="√","√","")</f>
        <v>√</v>
      </c>
      <c r="F67" s="4" t="b">
        <f>_xlfn.LET(_xlpm.x,VLOOKUP($B67,augment_header!$B$2:$G$72,5,FALSE),IF(_xlpm.x="","",_xlpm.x))</f>
        <v>0</v>
      </c>
      <c r="G67">
        <v>21</v>
      </c>
    </row>
    <row r="68" spans="1:7" ht="15" x14ac:dyDescent="0.2">
      <c r="A68" s="2">
        <v>66</v>
      </c>
      <c r="B68" s="3" t="s">
        <v>3670</v>
      </c>
      <c r="C68" s="2" t="str">
        <f>_xlfn.LET(_xlpm.x,VLOOKUP($B68,augment_header!$B$2:$G$72,2,FALSE),IF(_xlpm.x="","",_xlpm.x))</f>
        <v>任务线里程信息</v>
      </c>
      <c r="D68" s="4" t="str">
        <f>IF(VLOOKUP($B68,augment_header!$B$2:$G$72,3,FALSE)="√","√","")</f>
        <v/>
      </c>
      <c r="E68" s="4" t="str">
        <f>IF(VLOOKUP($B68,augment_header!$B$2:$G$72,4,FALSE)="√","√","")</f>
        <v/>
      </c>
      <c r="F68" s="4" t="str">
        <f>_xlfn.LET(_xlpm.x,VLOOKUP($B68,augment_header!$B$2:$G$72,5,FALSE),IF(_xlpm.x="","",_xlpm.x))</f>
        <v/>
      </c>
    </row>
    <row r="69" spans="1:7" ht="15" x14ac:dyDescent="0.2">
      <c r="A69" s="2">
        <v>67</v>
      </c>
      <c r="B69" s="3" t="s">
        <v>3671</v>
      </c>
      <c r="C69" s="2" t="str">
        <f>_xlfn.LET(_xlpm.x,VLOOKUP($B69,augment_header!$B$2:$G$72,2,FALSE),IF(_xlpm.x="","",_xlpm.x))</f>
        <v>任务线相关强化符文</v>
      </c>
      <c r="D69" s="4" t="str">
        <f>IF(VLOOKUP($B69,augment_header!$B$2:$G$72,3,FALSE)="√","√","")</f>
        <v>√</v>
      </c>
      <c r="E69" s="4" t="str">
        <f>IF(VLOOKUP($B69,augment_header!$B$2:$G$72,4,FALSE)="√","√","")</f>
        <v/>
      </c>
      <c r="F69" s="4" t="str">
        <f>_xlfn.LET(_xlpm.x,VLOOKUP($B69,augment_header!$B$2:$G$72,5,FALSE),IF(_xlpm.x="","",_xlpm.x))</f>
        <v/>
      </c>
      <c r="G69">
        <v>53</v>
      </c>
    </row>
    <row r="70" spans="1:7" ht="15" x14ac:dyDescent="0.2">
      <c r="A70" s="2">
        <v>68</v>
      </c>
      <c r="B70" s="3" t="s">
        <v>3720</v>
      </c>
      <c r="C70" s="2" t="str">
        <f>_xlfn.LET(_xlpm.x,VLOOKUP($B70,augment_header!$B$2:$G$72,2,FALSE),IF(_xlpm.x="","",_xlpm.x))</f>
        <v/>
      </c>
      <c r="D70" s="4" t="str">
        <f>IF(VLOOKUP($B70,augment_header!$B$2:$G$72,3,FALSE)="√","√","")</f>
        <v>√</v>
      </c>
      <c r="E70" s="4" t="str">
        <f>IF(VLOOKUP($B70,augment_header!$B$2:$G$72,4,FALSE)="√","√","")</f>
        <v/>
      </c>
      <c r="F70" s="4" t="b">
        <f>_xlfn.LET(_xlpm.x,VLOOKUP($B70,augment_header!$B$2:$G$72,5,FALSE),IF(_xlpm.x="","",_xlpm.x))</f>
        <v>0</v>
      </c>
      <c r="G70">
        <v>22</v>
      </c>
    </row>
    <row r="71" spans="1:7" ht="15" x14ac:dyDescent="0.2">
      <c r="A71" s="2">
        <v>69</v>
      </c>
      <c r="B71" s="56" t="s">
        <v>3678</v>
      </c>
      <c r="C71" s="2" t="str">
        <f>_xlfn.LET(_xlpm.x,VLOOKUP($B71,augment_header!$B$2:$G$72,2,FALSE),IF(_xlpm.x="","",_xlpm.x))</f>
        <v>任务线对应强化符文名称（中文）</v>
      </c>
      <c r="D71" s="4" t="str">
        <f>IF(VLOOKUP($B71,augment_header!$B$2:$G$72,3,FALSE)="√","√","")</f>
        <v/>
      </c>
      <c r="E71" s="4" t="str">
        <f>IF(VLOOKUP($B71,augment_header!$B$2:$G$72,4,FALSE)="√","√","")</f>
        <v/>
      </c>
      <c r="F71" s="4" t="str">
        <f>_xlfn.LET(_xlpm.x,VLOOKUP($B71,augment_header!$B$2:$G$72,5,FALSE),IF(_xlpm.x="","",_xlpm.x))</f>
        <v/>
      </c>
    </row>
    <row r="72" spans="1:7" ht="15" x14ac:dyDescent="0.2">
      <c r="A72" s="2">
        <v>70</v>
      </c>
      <c r="B72" s="56" t="s">
        <v>3679</v>
      </c>
      <c r="C72" s="2" t="str">
        <f>_xlfn.LET(_xlpm.x,VLOOKUP($B72,augment_header!$B$2:$G$72,2,FALSE),IF(_xlpm.x="","",_xlpm.x))</f>
        <v>任务线对应强化符文名称（英文）</v>
      </c>
      <c r="D72" s="4" t="str">
        <f>IF(VLOOKUP($B72,augment_header!$B$2:$G$72,3,FALSE)="√","√","")</f>
        <v/>
      </c>
      <c r="E72" s="4" t="str">
        <f>IF(VLOOKUP($B72,augment_header!$B$2:$G$72,4,FALSE)="√","√","")</f>
        <v/>
      </c>
      <c r="F72" s="4" t="str">
        <f>_xlfn.LET(_xlpm.x,VLOOKUP($B72,augment_header!$B$2:$G$72,5,FALSE),IF(_xlpm.x="","",_xlpm.x))</f>
        <v/>
      </c>
    </row>
    <row r="73" spans="1:7" ht="15" x14ac:dyDescent="0.2">
      <c r="A73" s="2">
        <v>71</v>
      </c>
      <c r="B73" s="56" t="s">
        <v>3682</v>
      </c>
      <c r="C73" s="2" t="str">
        <f>_xlfn.LET(_xlpm.x,VLOOKUP($B73,augment_header!$B$2:$G$72,2,FALSE),IF(_xlpm.x="","",_xlpm.x))</f>
        <v>任务完成描述（中文）</v>
      </c>
      <c r="D73" s="4" t="str">
        <f>IF(VLOOKUP($B73,augment_header!$B$2:$G$72,3,FALSE)="√","√","")</f>
        <v/>
      </c>
      <c r="E73" s="4" t="str">
        <f>IF(VLOOKUP($B73,augment_header!$B$2:$G$72,4,FALSE)="√","√","")</f>
        <v/>
      </c>
      <c r="F73" s="4" t="str">
        <f>_xlfn.LET(_xlpm.x,VLOOKUP($B73,augment_header!$B$2:$G$72,5,FALSE),IF(_xlpm.x="","",_xlpm.x))</f>
        <v/>
      </c>
      <c r="G73">
        <v>44</v>
      </c>
    </row>
    <row r="74" spans="1:7" ht="15" x14ac:dyDescent="0.2">
      <c r="A74" s="2">
        <v>72</v>
      </c>
      <c r="B74" s="56" t="s">
        <v>3683</v>
      </c>
      <c r="C74" s="2" t="str">
        <f>_xlfn.LET(_xlpm.x,VLOOKUP($B74,augment_header!$B$2:$G$72,2,FALSE),IF(_xlpm.x="","",_xlpm.x))</f>
        <v>任务完成描述（中文/数值转换）</v>
      </c>
      <c r="D74" s="4" t="str">
        <f>IF(VLOOKUP($B74,augment_header!$B$2:$G$72,3,FALSE)="√","√","")</f>
        <v/>
      </c>
      <c r="E74" s="4" t="str">
        <f>IF(VLOOKUP($B74,augment_header!$B$2:$G$72,4,FALSE)="√","√","")</f>
        <v/>
      </c>
      <c r="F74" s="4" t="str">
        <f>_xlfn.LET(_xlpm.x,VLOOKUP($B74,augment_header!$B$2:$G$72,5,FALSE),IF(_xlpm.x="","",_xlpm.x))</f>
        <v/>
      </c>
      <c r="G74">
        <v>45</v>
      </c>
    </row>
    <row r="75" spans="1:7" ht="15" x14ac:dyDescent="0.2">
      <c r="A75" s="2">
        <v>73</v>
      </c>
      <c r="B75" s="56" t="s">
        <v>3688</v>
      </c>
      <c r="C75" s="2" t="str">
        <f>_xlfn.LET(_xlpm.x,VLOOKUP($B75,augment_header!$B$2:$G$72,2,FALSE),IF(_xlpm.x="","",_xlpm.x))</f>
        <v>任务完成描述（英文）</v>
      </c>
      <c r="D75" s="4" t="str">
        <f>IF(VLOOKUP($B75,augment_header!$B$2:$G$72,3,FALSE)="√","√","")</f>
        <v/>
      </c>
      <c r="E75" s="4" t="str">
        <f>IF(VLOOKUP($B75,augment_header!$B$2:$G$72,4,FALSE)="√","√","")</f>
        <v/>
      </c>
      <c r="F75" s="4" t="str">
        <f>_xlfn.LET(_xlpm.x,VLOOKUP($B75,augment_header!$B$2:$G$72,5,FALSE),IF(_xlpm.x="","",_xlpm.x))</f>
        <v/>
      </c>
      <c r="G75">
        <v>46</v>
      </c>
    </row>
    <row r="76" spans="1:7" ht="15" x14ac:dyDescent="0.2">
      <c r="A76" s="2">
        <v>74</v>
      </c>
      <c r="B76" s="56" t="s">
        <v>3689</v>
      </c>
      <c r="C76" s="2" t="str">
        <f>_xlfn.LET(_xlpm.x,VLOOKUP($B76,augment_header!$B$2:$G$72,2,FALSE),IF(_xlpm.x="","",_xlpm.x))</f>
        <v>任务完成描述（英文/数值转换）</v>
      </c>
      <c r="D76" s="4" t="str">
        <f>IF(VLOOKUP($B76,augment_header!$B$2:$G$72,3,FALSE)="√","√","")</f>
        <v/>
      </c>
      <c r="E76" s="4" t="str">
        <f>IF(VLOOKUP($B76,augment_header!$B$2:$G$72,4,FALSE)="√","√","")</f>
        <v/>
      </c>
      <c r="F76" s="4" t="str">
        <f>_xlfn.LET(_xlpm.x,VLOOKUP($B76,augment_header!$B$2:$G$72,5,FALSE),IF(_xlpm.x="","",_xlpm.x))</f>
        <v/>
      </c>
      <c r="G76">
        <v>47</v>
      </c>
    </row>
  </sheetData>
  <sortState xmlns:xlrd2="http://schemas.microsoft.com/office/spreadsheetml/2017/richdata2" ref="A2:G76">
    <sortCondition ref="A1:A76"/>
  </sortState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F9C7C-6735-47CD-AD6E-C4479D5531D4}">
  <sheetPr codeName="Sheet21"/>
  <dimension ref="A1:F35"/>
  <sheetViews>
    <sheetView workbookViewId="0"/>
  </sheetViews>
  <sheetFormatPr defaultRowHeight="14.25" x14ac:dyDescent="0.2"/>
  <cols>
    <col min="2" max="2" width="49.375" bestFit="1" customWidth="1"/>
    <col min="3" max="3" width="26.375" bestFit="1" customWidth="1"/>
    <col min="4" max="4" width="14.375" bestFit="1" customWidth="1"/>
  </cols>
  <sheetData>
    <row r="1" spans="1:6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21</v>
      </c>
    </row>
    <row r="2" spans="1:6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F2">
        <v>0</v>
      </c>
    </row>
    <row r="3" spans="1:6" ht="15" x14ac:dyDescent="0.2">
      <c r="A3">
        <v>1</v>
      </c>
      <c r="B3" s="1" t="s">
        <v>3155</v>
      </c>
      <c r="C3" t="s">
        <v>3162</v>
      </c>
      <c r="D3" s="4" t="s">
        <v>22</v>
      </c>
      <c r="E3" s="4"/>
      <c r="F3">
        <v>1</v>
      </c>
    </row>
    <row r="4" spans="1:6" ht="15" x14ac:dyDescent="0.2">
      <c r="A4">
        <v>2</v>
      </c>
      <c r="B4" s="1" t="s">
        <v>3156</v>
      </c>
      <c r="C4" t="s">
        <v>3187</v>
      </c>
      <c r="D4" s="4" t="s">
        <v>22</v>
      </c>
      <c r="E4" s="4"/>
      <c r="F4">
        <v>25</v>
      </c>
    </row>
    <row r="5" spans="1:6" ht="15" x14ac:dyDescent="0.2">
      <c r="A5">
        <v>3</v>
      </c>
      <c r="B5" s="1" t="s">
        <v>3157</v>
      </c>
      <c r="C5" t="s">
        <v>3175</v>
      </c>
      <c r="D5" s="4" t="s">
        <v>22</v>
      </c>
      <c r="E5" s="4"/>
      <c r="F5">
        <v>2</v>
      </c>
    </row>
    <row r="6" spans="1:6" ht="15" x14ac:dyDescent="0.2">
      <c r="A6">
        <v>4</v>
      </c>
      <c r="B6" s="1" t="s">
        <v>3158</v>
      </c>
      <c r="C6" t="s">
        <v>3176</v>
      </c>
      <c r="D6" s="4" t="s">
        <v>22</v>
      </c>
      <c r="E6" s="4"/>
      <c r="F6">
        <v>5</v>
      </c>
    </row>
    <row r="7" spans="1:6" ht="15" x14ac:dyDescent="0.2">
      <c r="A7">
        <v>5</v>
      </c>
      <c r="B7" s="1" t="s">
        <v>3159</v>
      </c>
      <c r="C7" t="s">
        <v>3163</v>
      </c>
      <c r="D7" s="4" t="s">
        <v>22</v>
      </c>
      <c r="E7" s="4"/>
      <c r="F7">
        <v>15</v>
      </c>
    </row>
    <row r="8" spans="1:6" ht="15" x14ac:dyDescent="0.2">
      <c r="A8">
        <v>6</v>
      </c>
      <c r="B8" s="1" t="s">
        <v>3160</v>
      </c>
      <c r="C8" t="s">
        <v>446</v>
      </c>
      <c r="D8" s="4" t="s">
        <v>22</v>
      </c>
      <c r="E8" s="4"/>
      <c r="F8">
        <v>18</v>
      </c>
    </row>
    <row r="9" spans="1:6" ht="15" x14ac:dyDescent="0.2">
      <c r="A9">
        <v>7</v>
      </c>
      <c r="B9" s="1" t="s">
        <v>3161</v>
      </c>
      <c r="C9" t="s">
        <v>3183</v>
      </c>
      <c r="D9" s="4" t="s">
        <v>22</v>
      </c>
      <c r="E9" s="4" t="s">
        <v>22</v>
      </c>
      <c r="F9">
        <v>22</v>
      </c>
    </row>
    <row r="10" spans="1:6" ht="15" x14ac:dyDescent="0.2">
      <c r="A10">
        <v>8</v>
      </c>
      <c r="B10" s="1" t="s">
        <v>3184</v>
      </c>
      <c r="C10" t="s">
        <v>3185</v>
      </c>
      <c r="D10" s="4" t="s">
        <v>22</v>
      </c>
      <c r="E10" s="4" t="s">
        <v>22</v>
      </c>
      <c r="F10">
        <v>24</v>
      </c>
    </row>
    <row r="11" spans="1:6" ht="15" x14ac:dyDescent="0.2">
      <c r="A11">
        <v>9</v>
      </c>
      <c r="B11" s="1" t="s">
        <v>3867</v>
      </c>
      <c r="C11" t="s">
        <v>3206</v>
      </c>
      <c r="D11" s="4" t="s">
        <v>3482</v>
      </c>
      <c r="E11" s="4"/>
      <c r="F11">
        <v>20</v>
      </c>
    </row>
    <row r="12" spans="1:6" ht="15" x14ac:dyDescent="0.2">
      <c r="A12">
        <v>10</v>
      </c>
      <c r="B12" s="6" t="s">
        <v>3165</v>
      </c>
      <c r="C12" t="s">
        <v>3167</v>
      </c>
      <c r="D12" s="4"/>
      <c r="E12" s="4"/>
      <c r="F12">
        <v>3</v>
      </c>
    </row>
    <row r="13" spans="1:6" ht="15" x14ac:dyDescent="0.2">
      <c r="A13">
        <v>11</v>
      </c>
      <c r="B13" s="6" t="s">
        <v>3166</v>
      </c>
      <c r="C13" t="s">
        <v>3168</v>
      </c>
      <c r="D13" s="4"/>
      <c r="E13" s="4"/>
      <c r="F13">
        <v>4</v>
      </c>
    </row>
    <row r="14" spans="1:6" ht="15" x14ac:dyDescent="0.2">
      <c r="A14">
        <v>12</v>
      </c>
      <c r="B14" s="6" t="s">
        <v>3169</v>
      </c>
      <c r="C14" t="s">
        <v>3173</v>
      </c>
      <c r="D14" s="4"/>
      <c r="E14" s="4"/>
      <c r="F14">
        <v>6</v>
      </c>
    </row>
    <row r="15" spans="1:6" ht="15" x14ac:dyDescent="0.2">
      <c r="A15">
        <v>13</v>
      </c>
      <c r="B15" s="6" t="s">
        <v>3170</v>
      </c>
      <c r="C15" t="s">
        <v>3174</v>
      </c>
      <c r="D15" s="4"/>
      <c r="E15" s="4"/>
      <c r="F15">
        <v>7</v>
      </c>
    </row>
    <row r="16" spans="1:6" ht="15" x14ac:dyDescent="0.2">
      <c r="A16">
        <v>14</v>
      </c>
      <c r="B16" s="6" t="s">
        <v>3171</v>
      </c>
      <c r="C16" t="s">
        <v>3177</v>
      </c>
      <c r="D16" s="4"/>
      <c r="E16" s="4"/>
      <c r="F16">
        <v>8</v>
      </c>
    </row>
    <row r="17" spans="1:6" ht="15" x14ac:dyDescent="0.2">
      <c r="A17">
        <v>15</v>
      </c>
      <c r="B17" s="6" t="s">
        <v>3172</v>
      </c>
      <c r="C17" t="s">
        <v>3178</v>
      </c>
      <c r="D17" s="4"/>
      <c r="E17" s="4"/>
      <c r="F17">
        <v>9</v>
      </c>
    </row>
    <row r="18" spans="1:6" ht="15" x14ac:dyDescent="0.2">
      <c r="A18">
        <v>16</v>
      </c>
      <c r="B18" s="6" t="s">
        <v>3179</v>
      </c>
      <c r="C18" t="s">
        <v>3181</v>
      </c>
      <c r="D18" s="4"/>
      <c r="E18" s="4"/>
      <c r="F18">
        <v>16</v>
      </c>
    </row>
    <row r="19" spans="1:6" ht="15" x14ac:dyDescent="0.2">
      <c r="A19">
        <v>17</v>
      </c>
      <c r="B19" s="6" t="s">
        <v>3180</v>
      </c>
      <c r="C19" t="s">
        <v>3182</v>
      </c>
      <c r="D19" s="4"/>
      <c r="E19" s="4"/>
      <c r="F19">
        <v>17</v>
      </c>
    </row>
    <row r="20" spans="1:6" ht="15" x14ac:dyDescent="0.2">
      <c r="A20">
        <v>18</v>
      </c>
      <c r="B20" s="6" t="s">
        <v>3164</v>
      </c>
      <c r="C20" t="s">
        <v>480</v>
      </c>
      <c r="D20" s="4"/>
      <c r="E20" s="4"/>
      <c r="F20">
        <v>19</v>
      </c>
    </row>
    <row r="21" spans="1:6" ht="15" x14ac:dyDescent="0.2">
      <c r="A21">
        <v>19</v>
      </c>
      <c r="B21" s="6" t="s">
        <v>3188</v>
      </c>
      <c r="C21" t="s">
        <v>3193</v>
      </c>
      <c r="D21" s="4"/>
      <c r="E21" s="4"/>
      <c r="F21">
        <v>10</v>
      </c>
    </row>
    <row r="22" spans="1:6" ht="15" x14ac:dyDescent="0.2">
      <c r="A22">
        <v>20</v>
      </c>
      <c r="B22" s="6" t="s">
        <v>3189</v>
      </c>
      <c r="C22" t="s">
        <v>3194</v>
      </c>
      <c r="D22" s="4"/>
      <c r="E22" s="4"/>
      <c r="F22">
        <v>11</v>
      </c>
    </row>
    <row r="23" spans="1:6" ht="15" x14ac:dyDescent="0.2">
      <c r="A23">
        <v>21</v>
      </c>
      <c r="B23" s="6" t="s">
        <v>3190</v>
      </c>
      <c r="C23" t="s">
        <v>3195</v>
      </c>
      <c r="D23" s="4"/>
      <c r="E23" s="4"/>
      <c r="F23">
        <v>12</v>
      </c>
    </row>
    <row r="24" spans="1:6" ht="15" x14ac:dyDescent="0.2">
      <c r="A24">
        <v>22</v>
      </c>
      <c r="B24" s="6" t="s">
        <v>3191</v>
      </c>
      <c r="C24" t="s">
        <v>3196</v>
      </c>
      <c r="D24" s="4"/>
      <c r="E24" s="4"/>
      <c r="F24">
        <v>13</v>
      </c>
    </row>
    <row r="25" spans="1:6" ht="15" x14ac:dyDescent="0.2">
      <c r="A25">
        <v>23</v>
      </c>
      <c r="B25" s="6" t="s">
        <v>3192</v>
      </c>
      <c r="C25" t="s">
        <v>3197</v>
      </c>
      <c r="D25" s="4"/>
      <c r="E25" s="4"/>
      <c r="F25">
        <v>14</v>
      </c>
    </row>
    <row r="26" spans="1:6" ht="15" x14ac:dyDescent="0.2">
      <c r="A26">
        <v>24</v>
      </c>
      <c r="B26" s="6" t="s">
        <v>3869</v>
      </c>
      <c r="C26" t="s">
        <v>3207</v>
      </c>
      <c r="D26" s="4"/>
      <c r="E26" s="4"/>
      <c r="F26">
        <v>21</v>
      </c>
    </row>
    <row r="27" spans="1:6" ht="15" x14ac:dyDescent="0.2">
      <c r="A27">
        <v>25</v>
      </c>
      <c r="B27" s="1" t="s">
        <v>3204</v>
      </c>
      <c r="C27" t="s">
        <v>3186</v>
      </c>
      <c r="D27" s="4" t="s">
        <v>3482</v>
      </c>
      <c r="E27" s="4" t="s">
        <v>3482</v>
      </c>
      <c r="F27">
        <v>23</v>
      </c>
    </row>
    <row r="28" spans="1:6" ht="15" x14ac:dyDescent="0.2">
      <c r="B28" s="6"/>
      <c r="D28" s="4"/>
      <c r="E28" s="4"/>
    </row>
    <row r="29" spans="1:6" ht="15" x14ac:dyDescent="0.2">
      <c r="B29" s="6"/>
      <c r="D29" s="4"/>
      <c r="E29" s="4"/>
    </row>
    <row r="30" spans="1:6" ht="15" x14ac:dyDescent="0.2">
      <c r="B30" s="6"/>
      <c r="D30" s="4"/>
      <c r="E30" s="4"/>
    </row>
    <row r="31" spans="1:6" ht="15" x14ac:dyDescent="0.2">
      <c r="B31" s="6"/>
      <c r="D31" s="4"/>
      <c r="E31" s="4"/>
    </row>
    <row r="32" spans="1:6" ht="15" x14ac:dyDescent="0.2">
      <c r="B32" s="6"/>
      <c r="D32" s="4"/>
      <c r="E32" s="4"/>
    </row>
    <row r="33" spans="2:5" ht="15" x14ac:dyDescent="0.2">
      <c r="B33" s="6"/>
      <c r="D33" s="4"/>
      <c r="E33" s="4"/>
    </row>
    <row r="34" spans="2:5" ht="15" x14ac:dyDescent="0.2">
      <c r="B34" s="6"/>
      <c r="D34" s="4"/>
      <c r="E34" s="4"/>
    </row>
    <row r="35" spans="2:5" ht="15" x14ac:dyDescent="0.2">
      <c r="B35" s="6"/>
      <c r="D35" s="4"/>
      <c r="E35" s="4"/>
    </row>
  </sheetData>
  <sortState xmlns:xlrd2="http://schemas.microsoft.com/office/spreadsheetml/2017/richdata2" ref="A2:F27">
    <sortCondition ref="A1:A27"/>
  </sortState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F21B-D8AF-420D-A08D-54B532589448}">
  <sheetPr codeName="Sheet35"/>
  <dimension ref="A1:G48"/>
  <sheetViews>
    <sheetView workbookViewId="0"/>
  </sheetViews>
  <sheetFormatPr defaultRowHeight="14.25" x14ac:dyDescent="0.2"/>
  <cols>
    <col min="2" max="2" width="40.5" bestFit="1" customWidth="1"/>
    <col min="3" max="3" width="30.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F2" s="4"/>
      <c r="G2">
        <v>0</v>
      </c>
    </row>
    <row r="3" spans="1:7" ht="15" x14ac:dyDescent="0.2">
      <c r="A3">
        <v>1</v>
      </c>
      <c r="B3" s="1" t="s">
        <v>3657</v>
      </c>
      <c r="D3" s="4" t="s">
        <v>22</v>
      </c>
      <c r="E3" s="4"/>
      <c r="F3" s="4"/>
    </row>
    <row r="4" spans="1:7" ht="15" x14ac:dyDescent="0.2">
      <c r="A4">
        <v>2</v>
      </c>
      <c r="B4" s="1" t="s">
        <v>3658</v>
      </c>
      <c r="C4" t="s">
        <v>3700</v>
      </c>
      <c r="D4" s="4" t="s">
        <v>22</v>
      </c>
      <c r="E4" s="4"/>
      <c r="F4" s="4"/>
      <c r="G4">
        <v>2</v>
      </c>
    </row>
    <row r="5" spans="1:7" ht="15" x14ac:dyDescent="0.2">
      <c r="A5">
        <v>3</v>
      </c>
      <c r="B5" s="1" t="s">
        <v>3659</v>
      </c>
      <c r="C5" t="s">
        <v>3672</v>
      </c>
      <c r="D5" s="4" t="s">
        <v>22</v>
      </c>
      <c r="E5" s="4"/>
      <c r="F5" s="4"/>
      <c r="G5">
        <v>3</v>
      </c>
    </row>
    <row r="6" spans="1:7" ht="15" x14ac:dyDescent="0.2">
      <c r="A6">
        <v>4</v>
      </c>
      <c r="B6" s="1" t="s">
        <v>3660</v>
      </c>
      <c r="C6" t="s">
        <v>3673</v>
      </c>
      <c r="D6" s="4" t="s">
        <v>22</v>
      </c>
      <c r="E6" s="4"/>
      <c r="F6" s="4"/>
    </row>
    <row r="7" spans="1:7" ht="15" x14ac:dyDescent="0.2">
      <c r="A7">
        <v>5</v>
      </c>
      <c r="B7" s="1" t="s">
        <v>3663</v>
      </c>
      <c r="C7" t="s">
        <v>3674</v>
      </c>
      <c r="D7" s="4" t="s">
        <v>22</v>
      </c>
      <c r="E7" s="4"/>
      <c r="F7" s="4"/>
    </row>
    <row r="8" spans="1:7" ht="15" x14ac:dyDescent="0.2">
      <c r="A8">
        <v>6</v>
      </c>
      <c r="B8" s="1" t="s">
        <v>3661</v>
      </c>
      <c r="D8" s="4" t="s">
        <v>22</v>
      </c>
      <c r="E8" s="4" t="s">
        <v>22</v>
      </c>
      <c r="F8" s="4" t="b">
        <v>0</v>
      </c>
    </row>
    <row r="9" spans="1:7" ht="15" x14ac:dyDescent="0.2">
      <c r="A9">
        <v>7</v>
      </c>
      <c r="B9" s="1" t="s">
        <v>3662</v>
      </c>
      <c r="C9" t="s">
        <v>3676</v>
      </c>
      <c r="D9" s="4" t="s">
        <v>22</v>
      </c>
      <c r="E9" s="4"/>
      <c r="F9" s="4"/>
    </row>
    <row r="10" spans="1:7" ht="15" x14ac:dyDescent="0.2">
      <c r="A10">
        <v>8</v>
      </c>
      <c r="B10" s="1" t="s">
        <v>3721</v>
      </c>
      <c r="D10" s="4" t="s">
        <v>22</v>
      </c>
      <c r="E10" s="4"/>
      <c r="F10" s="4" t="b">
        <v>0</v>
      </c>
    </row>
    <row r="11" spans="1:7" ht="15" x14ac:dyDescent="0.2">
      <c r="A11">
        <v>9</v>
      </c>
      <c r="B11" s="6" t="s">
        <v>3698</v>
      </c>
      <c r="C11" t="s">
        <v>3701</v>
      </c>
      <c r="D11" s="4"/>
      <c r="E11" s="4"/>
      <c r="F11" s="4"/>
      <c r="G11">
        <v>4</v>
      </c>
    </row>
    <row r="12" spans="1:7" ht="15" x14ac:dyDescent="0.2">
      <c r="A12">
        <v>10</v>
      </c>
      <c r="B12" s="6" t="s">
        <v>3699</v>
      </c>
      <c r="C12" t="s">
        <v>3702</v>
      </c>
      <c r="D12" s="4"/>
      <c r="E12" s="4"/>
      <c r="F12" s="4"/>
      <c r="G12">
        <v>5</v>
      </c>
    </row>
    <row r="13" spans="1:7" ht="15" x14ac:dyDescent="0.2">
      <c r="A13">
        <v>11</v>
      </c>
      <c r="B13" s="6" t="s">
        <v>3714</v>
      </c>
      <c r="C13" t="s">
        <v>3684</v>
      </c>
      <c r="D13" s="4"/>
      <c r="E13" s="4"/>
      <c r="F13" s="4"/>
    </row>
    <row r="14" spans="1:7" ht="15" x14ac:dyDescent="0.2">
      <c r="A14">
        <v>12</v>
      </c>
      <c r="B14" s="6" t="s">
        <v>3715</v>
      </c>
      <c r="C14" t="s">
        <v>3686</v>
      </c>
      <c r="D14" s="4"/>
      <c r="E14" s="4"/>
      <c r="F14" s="4"/>
    </row>
    <row r="15" spans="1:7" ht="15" x14ac:dyDescent="0.2">
      <c r="A15">
        <v>13</v>
      </c>
      <c r="B15" s="6" t="s">
        <v>3716</v>
      </c>
      <c r="C15" t="s">
        <v>3690</v>
      </c>
      <c r="D15" s="4"/>
      <c r="E15" s="4"/>
      <c r="F15" s="4"/>
    </row>
    <row r="16" spans="1:7" ht="15" x14ac:dyDescent="0.2">
      <c r="A16">
        <v>14</v>
      </c>
      <c r="B16" s="6" t="s">
        <v>3717</v>
      </c>
      <c r="C16" t="s">
        <v>3692</v>
      </c>
      <c r="D16" s="4"/>
      <c r="E16" s="4"/>
      <c r="F16" s="4"/>
    </row>
    <row r="17" spans="1:7" ht="15" x14ac:dyDescent="0.2">
      <c r="A17" s="2">
        <v>15</v>
      </c>
      <c r="B17" s="56" t="s">
        <v>3695</v>
      </c>
      <c r="C17" s="2" t="s">
        <v>3705</v>
      </c>
      <c r="D17" s="4" t="s">
        <v>22</v>
      </c>
      <c r="E17" s="4"/>
      <c r="F17" s="4"/>
      <c r="G17">
        <v>6</v>
      </c>
    </row>
    <row r="18" spans="1:7" ht="15" x14ac:dyDescent="0.2">
      <c r="A18" s="2">
        <v>16</v>
      </c>
      <c r="B18" s="3" t="s">
        <v>3696</v>
      </c>
      <c r="C18" s="2" t="s">
        <v>3706</v>
      </c>
      <c r="D18" s="4" t="s">
        <v>22</v>
      </c>
      <c r="E18" s="4"/>
      <c r="F18" s="4"/>
      <c r="G18">
        <v>7</v>
      </c>
    </row>
    <row r="19" spans="1:7" ht="15" x14ac:dyDescent="0.2">
      <c r="A19" s="2">
        <v>17</v>
      </c>
      <c r="B19" s="3" t="s">
        <v>3697</v>
      </c>
      <c r="C19" s="2" t="s">
        <v>3713</v>
      </c>
      <c r="D19" s="4" t="s">
        <v>22</v>
      </c>
      <c r="E19" s="4"/>
      <c r="F19" s="4"/>
      <c r="G19">
        <v>8</v>
      </c>
    </row>
    <row r="20" spans="1:7" ht="15" x14ac:dyDescent="0.2">
      <c r="A20" s="2">
        <v>18</v>
      </c>
      <c r="B20" s="56" t="s">
        <v>3703</v>
      </c>
      <c r="C20" s="2" t="s">
        <v>3707</v>
      </c>
      <c r="D20" s="4"/>
      <c r="E20" s="4"/>
      <c r="F20" s="4"/>
      <c r="G20">
        <v>9</v>
      </c>
    </row>
    <row r="21" spans="1:7" ht="15" x14ac:dyDescent="0.2">
      <c r="A21" s="2">
        <v>19</v>
      </c>
      <c r="B21" s="56" t="s">
        <v>3708</v>
      </c>
      <c r="C21" s="2" t="s">
        <v>3709</v>
      </c>
      <c r="D21" s="4"/>
      <c r="E21" s="4"/>
      <c r="F21" s="4"/>
      <c r="G21">
        <v>10</v>
      </c>
    </row>
    <row r="22" spans="1:7" ht="15" x14ac:dyDescent="0.2">
      <c r="A22" s="2">
        <v>20</v>
      </c>
      <c r="B22" s="56" t="s">
        <v>3704</v>
      </c>
      <c r="C22" s="2" t="s">
        <v>3711</v>
      </c>
      <c r="D22" s="4"/>
      <c r="E22" s="4"/>
      <c r="F22" s="4"/>
      <c r="G22">
        <v>11</v>
      </c>
    </row>
    <row r="23" spans="1:7" ht="15" x14ac:dyDescent="0.2">
      <c r="A23" s="2">
        <v>21</v>
      </c>
      <c r="B23" s="56" t="s">
        <v>3710</v>
      </c>
      <c r="C23" s="2" t="s">
        <v>3712</v>
      </c>
      <c r="D23" s="4"/>
      <c r="E23" s="4"/>
      <c r="F23" s="4"/>
      <c r="G23">
        <v>12</v>
      </c>
    </row>
    <row r="24" spans="1:7" ht="15" x14ac:dyDescent="0.2">
      <c r="A24" s="7">
        <v>22</v>
      </c>
      <c r="B24" s="8" t="s">
        <v>3718</v>
      </c>
      <c r="C24" s="7" t="s">
        <v>464</v>
      </c>
      <c r="D24" s="4" t="s">
        <v>22</v>
      </c>
      <c r="E24" s="4"/>
      <c r="F24" s="4"/>
      <c r="G24">
        <v>1</v>
      </c>
    </row>
    <row r="25" spans="1:7" ht="15" x14ac:dyDescent="0.2">
      <c r="B25" s="6"/>
      <c r="D25" s="4"/>
      <c r="E25" s="4"/>
      <c r="F25" s="4"/>
    </row>
    <row r="26" spans="1:7" ht="15" x14ac:dyDescent="0.2">
      <c r="B26" s="6"/>
      <c r="D26" s="4"/>
      <c r="E26" s="4"/>
      <c r="F26" s="4"/>
    </row>
    <row r="27" spans="1:7" ht="15" x14ac:dyDescent="0.2">
      <c r="B27" s="6"/>
      <c r="D27" s="4"/>
      <c r="E27" s="4"/>
      <c r="F27" s="4"/>
    </row>
    <row r="28" spans="1:7" ht="15" x14ac:dyDescent="0.2">
      <c r="B28" s="6"/>
      <c r="D28" s="4"/>
      <c r="E28" s="4"/>
      <c r="F28" s="4"/>
    </row>
    <row r="29" spans="1:7" ht="15" x14ac:dyDescent="0.2">
      <c r="B29" s="6"/>
      <c r="D29" s="4"/>
      <c r="E29" s="4"/>
      <c r="F29" s="4"/>
    </row>
    <row r="30" spans="1:7" ht="15" x14ac:dyDescent="0.2">
      <c r="B30" s="6"/>
      <c r="D30" s="4"/>
      <c r="E30" s="4"/>
      <c r="F30" s="4"/>
    </row>
    <row r="31" spans="1:7" ht="15" x14ac:dyDescent="0.2">
      <c r="B31" s="6"/>
      <c r="D31" s="4"/>
      <c r="E31" s="4"/>
      <c r="F31" s="4"/>
    </row>
    <row r="32" spans="1:7" ht="15" x14ac:dyDescent="0.2">
      <c r="B32" s="6"/>
      <c r="D32" s="4"/>
      <c r="E32" s="4"/>
      <c r="F32" s="4"/>
    </row>
    <row r="33" spans="2:6" ht="15" x14ac:dyDescent="0.2">
      <c r="B33" s="6"/>
      <c r="D33" s="4"/>
      <c r="E33" s="4"/>
      <c r="F33" s="4"/>
    </row>
    <row r="34" spans="2:6" ht="15" x14ac:dyDescent="0.2">
      <c r="B34" s="6"/>
      <c r="D34" s="4"/>
      <c r="E34" s="4"/>
      <c r="F34" s="4"/>
    </row>
    <row r="35" spans="2:6" ht="15" x14ac:dyDescent="0.2">
      <c r="B35" s="6"/>
      <c r="D35" s="4"/>
      <c r="E35" s="4"/>
      <c r="F35" s="4"/>
    </row>
    <row r="36" spans="2:6" ht="15" x14ac:dyDescent="0.2">
      <c r="B36" s="6"/>
      <c r="D36" s="4"/>
      <c r="E36" s="4"/>
      <c r="F36" s="4"/>
    </row>
    <row r="37" spans="2:6" ht="15" x14ac:dyDescent="0.2">
      <c r="B37" s="6"/>
      <c r="D37" s="4"/>
      <c r="E37" s="4"/>
      <c r="F37" s="4"/>
    </row>
    <row r="38" spans="2:6" ht="15" x14ac:dyDescent="0.2">
      <c r="B38" s="6"/>
      <c r="D38" s="4"/>
      <c r="E38" s="4"/>
      <c r="F38" s="4"/>
    </row>
    <row r="39" spans="2:6" ht="15" x14ac:dyDescent="0.2">
      <c r="B39" s="6"/>
      <c r="D39" s="4"/>
      <c r="E39" s="4"/>
      <c r="F39" s="4"/>
    </row>
    <row r="40" spans="2:6" ht="15" x14ac:dyDescent="0.2">
      <c r="B40" s="1"/>
      <c r="D40" s="4"/>
      <c r="E40" s="4"/>
      <c r="F40" s="4"/>
    </row>
    <row r="41" spans="2:6" ht="15" x14ac:dyDescent="0.2">
      <c r="B41" s="6"/>
      <c r="D41" s="4"/>
      <c r="E41" s="4"/>
      <c r="F41" s="4"/>
    </row>
    <row r="42" spans="2:6" ht="15" x14ac:dyDescent="0.2">
      <c r="B42" s="6"/>
      <c r="D42" s="4"/>
      <c r="E42" s="4"/>
      <c r="F42" s="4"/>
    </row>
    <row r="43" spans="2:6" ht="15" x14ac:dyDescent="0.2">
      <c r="B43" s="6"/>
      <c r="D43" s="4"/>
      <c r="E43" s="4"/>
      <c r="F43" s="4"/>
    </row>
    <row r="44" spans="2:6" ht="15" x14ac:dyDescent="0.2">
      <c r="B44" s="6"/>
      <c r="D44" s="4"/>
      <c r="E44" s="4"/>
      <c r="F44" s="4"/>
    </row>
    <row r="45" spans="2:6" ht="15" x14ac:dyDescent="0.2">
      <c r="B45" s="6"/>
      <c r="D45" s="4"/>
      <c r="E45" s="4"/>
      <c r="F45" s="4"/>
    </row>
    <row r="46" spans="2:6" ht="15" x14ac:dyDescent="0.2">
      <c r="B46" s="6"/>
      <c r="D46" s="4"/>
      <c r="E46" s="4"/>
      <c r="F46" s="4"/>
    </row>
    <row r="47" spans="2:6" ht="15" x14ac:dyDescent="0.2">
      <c r="B47" s="6"/>
      <c r="D47" s="4"/>
      <c r="E47" s="4"/>
      <c r="F47" s="4"/>
    </row>
    <row r="48" spans="2:6" ht="15" x14ac:dyDescent="0.2">
      <c r="B48" s="6"/>
      <c r="D48" s="4"/>
      <c r="E48" s="4"/>
      <c r="F48" s="4"/>
    </row>
  </sheetData>
  <sortState xmlns:xlrd2="http://schemas.microsoft.com/office/spreadsheetml/2017/richdata2" ref="A2:G24">
    <sortCondition ref="A1:A24"/>
  </sortState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88E2-264E-4747-A885-1E36D27B2C41}">
  <sheetPr codeName="Sheet51"/>
  <dimension ref="A1:G73"/>
  <sheetViews>
    <sheetView workbookViewId="0">
      <selection activeCell="B10" sqref="B10"/>
    </sheetView>
  </sheetViews>
  <sheetFormatPr defaultRowHeight="14.25" x14ac:dyDescent="0.2"/>
  <cols>
    <col min="2" max="2" width="53.875" bestFit="1" customWidth="1"/>
    <col min="3" max="3" width="43" bestFit="1" customWidth="1"/>
    <col min="4" max="4" width="14.375" style="4" bestFit="1" customWidth="1"/>
    <col min="5" max="6" width="9" style="4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6" t="s">
        <v>3797</v>
      </c>
      <c r="C2" t="s">
        <v>3840</v>
      </c>
      <c r="G2">
        <v>7</v>
      </c>
    </row>
    <row r="3" spans="1:7" ht="15" x14ac:dyDescent="0.2">
      <c r="A3">
        <v>1</v>
      </c>
      <c r="B3" s="1" t="s">
        <v>0</v>
      </c>
      <c r="C3" t="str">
        <f>_xlfn.LET(_xlpm.x,VLOOKUP($B3,augment_header!$B$2:$G$72,2,FALSE),IF(_xlpm.x="","",_xlpm.x))</f>
        <v>主键</v>
      </c>
      <c r="D3" s="4" t="str">
        <f>IF(VLOOKUP($B3,augment_header!$B$2:$G$72,3,FALSE)="√","√","")</f>
        <v>√</v>
      </c>
      <c r="E3" s="4" t="str">
        <f>IF(VLOOKUP($B3,augment_header!$B$2:$G$72,4,FALSE)="√","√","")</f>
        <v/>
      </c>
      <c r="F3" s="4" t="str">
        <f>_xlfn.LET(_xlpm.x,VLOOKUP($B3,augment_header!$B$2:$G$72,5,FALSE),IF(_xlpm.x="","",_xlpm.x))</f>
        <v/>
      </c>
      <c r="G3">
        <v>0</v>
      </c>
    </row>
    <row r="4" spans="1:7" ht="15" x14ac:dyDescent="0.2">
      <c r="A4">
        <v>2</v>
      </c>
      <c r="B4" s="1" t="s">
        <v>437</v>
      </c>
      <c r="C4" t="str">
        <f>_xlfn.LET(_xlpm.x,VLOOKUP($B4,augment_header!$B$2:$G$72,2,FALSE),IF(_xlpm.x="","",_xlpm.x))</f>
        <v>强化符文代码</v>
      </c>
      <c r="D4" s="4" t="str">
        <f>IF(VLOOKUP($B4,augment_header!$B$2:$G$72,3,FALSE)="√","√","")</f>
        <v>√</v>
      </c>
      <c r="E4" s="4" t="str">
        <f>IF(VLOOKUP($B4,augment_header!$B$2:$G$72,4,FALSE)="√","√","")</f>
        <v/>
      </c>
      <c r="F4" s="4" t="str">
        <f>_xlfn.LET(_xlpm.x,VLOOKUP($B4,augment_header!$B$2:$G$72,5,FALSE),IF(_xlpm.x="","",_xlpm.x))</f>
        <v/>
      </c>
      <c r="G4">
        <v>1</v>
      </c>
    </row>
    <row r="5" spans="1:7" ht="15" x14ac:dyDescent="0.2">
      <c r="A5">
        <v>3</v>
      </c>
      <c r="B5" s="1" t="s">
        <v>447</v>
      </c>
      <c r="C5" t="str">
        <f>_xlfn.LET(_xlpm.x,VLOOKUP($B5,augment_header!$B$2:$G$72,2,FALSE),IF(_xlpm.x="","",_xlpm.x))</f>
        <v>可用性</v>
      </c>
      <c r="D5" s="4" t="str">
        <f>IF(VLOOKUP($B5,augment_header!$B$2:$G$72,3,FALSE)="√","√","")</f>
        <v>√</v>
      </c>
      <c r="E5" s="4" t="str">
        <f>IF(VLOOKUP($B5,augment_header!$B$2:$G$72,4,FALSE)="√","√","")</f>
        <v>√</v>
      </c>
      <c r="F5" s="4" t="b">
        <f>_xlfn.LET(_xlpm.x,VLOOKUP($B5,augment_header!$B$2:$G$72,5,FALSE),IF(_xlpm.x="","",_xlpm.x))</f>
        <v>1</v>
      </c>
      <c r="G5">
        <v>3</v>
      </c>
    </row>
    <row r="6" spans="1:7" ht="15" x14ac:dyDescent="0.2">
      <c r="A6">
        <v>4</v>
      </c>
      <c r="B6" s="1" t="s">
        <v>439</v>
      </c>
      <c r="C6" t="str">
        <f>_xlfn.LET(_xlpm.x,VLOOKUP($B6,augment_header!$B$2:$G$72,2,FALSE),IF(_xlpm.x="","",_xlpm.x))</f>
        <v>名称键</v>
      </c>
      <c r="D6" s="4" t="str">
        <f>IF(VLOOKUP($B6,augment_header!$B$2:$G$72,3,FALSE)="√","√","")</f>
        <v>√</v>
      </c>
      <c r="E6" s="4" t="str">
        <f>IF(VLOOKUP($B6,augment_header!$B$2:$G$72,4,FALSE)="√","√","")</f>
        <v/>
      </c>
      <c r="F6" s="4" t="str">
        <f>_xlfn.LET(_xlpm.x,VLOOKUP($B6,augment_header!$B$2:$G$72,5,FALSE),IF(_xlpm.x="","",_xlpm.x))</f>
        <v/>
      </c>
      <c r="G6">
        <v>4</v>
      </c>
    </row>
    <row r="7" spans="1:7" ht="15" x14ac:dyDescent="0.2">
      <c r="A7">
        <v>5</v>
      </c>
      <c r="B7" s="1" t="s">
        <v>440</v>
      </c>
      <c r="C7" t="str">
        <f>_xlfn.LET(_xlpm.x,VLOOKUP($B7,augment_header!$B$2:$G$72,2,FALSE),IF(_xlpm.x="","",_xlpm.x))</f>
        <v>简介键</v>
      </c>
      <c r="D7" s="4" t="str">
        <f>IF(VLOOKUP($B7,augment_header!$B$2:$G$72,3,FALSE)="√","√","")</f>
        <v>√</v>
      </c>
      <c r="E7" s="4" t="str">
        <f>IF(VLOOKUP($B7,augment_header!$B$2:$G$72,4,FALSE)="√","√","")</f>
        <v/>
      </c>
      <c r="F7" s="4" t="str">
        <f>_xlfn.LET(_xlpm.x,VLOOKUP($B7,augment_header!$B$2:$G$72,5,FALSE),IF(_xlpm.x="","",_xlpm.x))</f>
        <v/>
      </c>
      <c r="G7">
        <v>20</v>
      </c>
    </row>
    <row r="8" spans="1:7" ht="15" x14ac:dyDescent="0.2">
      <c r="A8">
        <v>6</v>
      </c>
      <c r="B8" s="1" t="s">
        <v>441</v>
      </c>
      <c r="C8" t="str">
        <f>_xlfn.LET(_xlpm.x,VLOOKUP($B8,augment_header!$B$2:$G$72,2,FALSE),IF(_xlpm.x="","",_xlpm.x))</f>
        <v>强化符文详细信息键</v>
      </c>
      <c r="D8" s="4" t="str">
        <f>IF(VLOOKUP($B8,augment_header!$B$2:$G$72,3,FALSE)="√","√","")</f>
        <v>√</v>
      </c>
      <c r="E8" s="4" t="str">
        <f>IF(VLOOKUP($B8,augment_header!$B$2:$G$72,4,FALSE)="√","√","")</f>
        <v/>
      </c>
      <c r="F8" s="4" t="str">
        <f>_xlfn.LET(_xlpm.x,VLOOKUP($B8,augment_header!$B$2:$G$72,5,FALSE),IF(_xlpm.x="","",_xlpm.x))</f>
        <v/>
      </c>
      <c r="G8">
        <v>25</v>
      </c>
    </row>
    <row r="9" spans="1:7" ht="15" x14ac:dyDescent="0.2">
      <c r="A9">
        <v>7</v>
      </c>
      <c r="B9" s="1" t="s">
        <v>445</v>
      </c>
      <c r="C9" t="str">
        <f>_xlfn.LET(_xlpm.x,VLOOKUP($B9,augment_header!$B$2:$G$72,2,FALSE),IF(_xlpm.x="","",_xlpm.x))</f>
        <v>根指令主键</v>
      </c>
      <c r="D9" s="4" t="str">
        <f>IF(VLOOKUP($B9,augment_header!$B$2:$G$72,3,FALSE)="√","√","")</f>
        <v>√</v>
      </c>
      <c r="E9" s="4" t="str">
        <f>IF(VLOOKUP($B9,augment_header!$B$2:$G$72,4,FALSE)="√","√","")</f>
        <v/>
      </c>
      <c r="F9" s="4" t="str">
        <f>_xlfn.LET(_xlpm.x,VLOOKUP($B9,augment_header!$B$2:$G$72,5,FALSE),IF(_xlpm.x="","",_xlpm.x))</f>
        <v/>
      </c>
      <c r="G9">
        <v>45</v>
      </c>
    </row>
    <row r="10" spans="1:7" ht="15" x14ac:dyDescent="0.2">
      <c r="A10">
        <v>8</v>
      </c>
      <c r="B10" s="1" t="s">
        <v>3867</v>
      </c>
      <c r="C10" t="str">
        <f>_xlfn.LET(_xlpm.x,VLOOKUP($B10,augment_header!$B$2:$G$72,2,FALSE),IF(_xlpm.x="","",_xlpm.x))</f>
        <v>其它指令主键列表</v>
      </c>
      <c r="D10" s="4" t="str">
        <f>IF(VLOOKUP($B10,augment_header!$B$2:$G$72,3,FALSE)="√","√","")</f>
        <v>√</v>
      </c>
      <c r="E10" s="4" t="str">
        <f>IF(VLOOKUP($B10,augment_header!$B$2:$G$72,4,FALSE)="√","√","")</f>
        <v/>
      </c>
      <c r="F10" s="4" t="str">
        <f>_xlfn.LET(_xlpm.x,VLOOKUP($B10,augment_header!$B$2:$G$72,5,FALSE),IF(_xlpm.x="","",_xlpm.x))</f>
        <v/>
      </c>
      <c r="G10">
        <v>47</v>
      </c>
    </row>
    <row r="11" spans="1:7" ht="15" x14ac:dyDescent="0.2">
      <c r="A11">
        <v>9</v>
      </c>
      <c r="B11" s="1" t="s">
        <v>449</v>
      </c>
      <c r="C11" t="str">
        <f>_xlfn.LET(_xlpm.x,VLOOKUP($B11,augment_header!$B$2:$G$72,2,FALSE),IF(_xlpm.x="","",_xlpm.x))</f>
        <v>强化符文标签</v>
      </c>
      <c r="D11" s="4" t="str">
        <f>IF(VLOOKUP($B11,augment_header!$B$2:$G$72,3,FALSE)="√","√","")</f>
        <v>√</v>
      </c>
      <c r="E11" s="4" t="str">
        <f>IF(VLOOKUP($B11,augment_header!$B$2:$G$72,4,FALSE)="√","√","")</f>
        <v>√</v>
      </c>
      <c r="F11" s="4" t="str">
        <f>_xlfn.LET(_xlpm.x,VLOOKUP($B11,augment_header!$B$2:$G$72,5,FALSE),IF(_xlpm.x="","",_xlpm.x))</f>
        <v/>
      </c>
      <c r="G11">
        <v>14</v>
      </c>
    </row>
    <row r="12" spans="1:7" ht="15" x14ac:dyDescent="0.2">
      <c r="A12">
        <v>10</v>
      </c>
      <c r="B12" s="1" t="s">
        <v>451</v>
      </c>
      <c r="C12" t="str">
        <f>_xlfn.LET(_xlpm.x,VLOOKUP($B12,augment_header!$B$2:$G$72,2,FALSE),IF(_xlpm.x="","",_xlpm.x))</f>
        <v>构建标签</v>
      </c>
      <c r="D12" s="4" t="str">
        <f>IF(VLOOKUP($B12,augment_header!$B$2:$G$72,3,FALSE)="√","√","")</f>
        <v>√</v>
      </c>
      <c r="E12" s="4" t="str">
        <f>IF(VLOOKUP($B12,augment_header!$B$2:$G$72,4,FALSE)="√","√","")</f>
        <v>√</v>
      </c>
      <c r="F12" s="4" t="str">
        <f>_xlfn.LET(_xlpm.x,VLOOKUP($B12,augment_header!$B$2:$G$72,5,FALSE),IF(_xlpm.x="","",_xlpm.x))</f>
        <v/>
      </c>
      <c r="G12">
        <v>15</v>
      </c>
    </row>
    <row r="13" spans="1:7" ht="15" x14ac:dyDescent="0.2">
      <c r="A13">
        <v>11</v>
      </c>
      <c r="B13" s="1" t="s">
        <v>3437</v>
      </c>
      <c r="C13" t="str">
        <f>_xlfn.LET(_xlpm.x,VLOOKUP($B13,augment_header!$B$2:$G$72,2,FALSE),IF(_xlpm.x="","",_xlpm.x))</f>
        <v>强化符文详细信息描述部分键</v>
      </c>
      <c r="D13" s="4" t="str">
        <f>IF(VLOOKUP($B13,augment_header!$B$2:$G$72,3,FALSE)="√","√","")</f>
        <v>√</v>
      </c>
      <c r="E13" s="4" t="str">
        <f>IF(VLOOKUP($B13,augment_header!$B$2:$G$72,4,FALSE)="√","√","")</f>
        <v/>
      </c>
      <c r="F13" s="4" t="str">
        <f>_xlfn.LET(_xlpm.x,VLOOKUP($B13,augment_header!$B$2:$G$72,5,FALSE),IF(_xlpm.x="","",_xlpm.x))</f>
        <v/>
      </c>
      <c r="G13">
        <v>30</v>
      </c>
    </row>
    <row r="14" spans="1:7" ht="15" x14ac:dyDescent="0.2">
      <c r="A14">
        <v>12</v>
      </c>
      <c r="B14" s="1" t="s">
        <v>3438</v>
      </c>
      <c r="C14" t="str">
        <f>_xlfn.LET(_xlpm.x,VLOOKUP($B14,augment_header!$B$2:$G$72,2,FALSE),IF(_xlpm.x="","",_xlpm.x))</f>
        <v>强化符文详细信息追踪部分键</v>
      </c>
      <c r="D14" s="4" t="str">
        <f>IF(VLOOKUP($B14,augment_header!$B$2:$G$72,3,FALSE)="√","√","")</f>
        <v>√</v>
      </c>
      <c r="E14" s="4" t="str">
        <f>IF(VLOOKUP($B14,augment_header!$B$2:$G$72,4,FALSE)="√","√","")</f>
        <v>√</v>
      </c>
      <c r="F14" s="4" t="str">
        <f>_xlfn.LET(_xlpm.x,VLOOKUP($B14,augment_header!$B$2:$G$72,5,FALSE),IF(_xlpm.x="","",_xlpm.x))</f>
        <v/>
      </c>
      <c r="G14">
        <v>35</v>
      </c>
    </row>
    <row r="15" spans="1:7" ht="15" x14ac:dyDescent="0.2">
      <c r="A15">
        <v>13</v>
      </c>
      <c r="B15" s="1" t="s">
        <v>3439</v>
      </c>
      <c r="C15" t="str">
        <f>_xlfn.LET(_xlpm.x,VLOOKUP($B15,augment_header!$B$2:$G$72,2,FALSE),IF(_xlpm.x="","",_xlpm.x))</f>
        <v>满级效果简介键</v>
      </c>
      <c r="D15" s="4" t="str">
        <f>IF(VLOOKUP($B15,augment_header!$B$2:$G$72,3,FALSE)="√","√","")</f>
        <v>√</v>
      </c>
      <c r="E15" s="4" t="str">
        <f>IF(VLOOKUP($B15,augment_header!$B$2:$G$72,4,FALSE)="√","√","")</f>
        <v/>
      </c>
      <c r="F15" s="4" t="str">
        <f>_xlfn.LET(_xlpm.x,VLOOKUP($B15,augment_header!$B$2:$G$72,5,FALSE),IF(_xlpm.x="","",_xlpm.x))</f>
        <v/>
      </c>
    </row>
    <row r="16" spans="1:7" ht="15" x14ac:dyDescent="0.2">
      <c r="A16">
        <v>14</v>
      </c>
      <c r="B16" s="1" t="s">
        <v>3440</v>
      </c>
      <c r="C16" t="str">
        <f>_xlfn.LET(_xlpm.x,VLOOKUP($B16,augment_header!$B$2:$G$72,2,FALSE),IF(_xlpm.x="","",_xlpm.x))</f>
        <v>满级效果详细信息键</v>
      </c>
      <c r="D16" s="4" t="str">
        <f>IF(VLOOKUP($B16,augment_header!$B$2:$G$72,3,FALSE)="√","√","")</f>
        <v>√</v>
      </c>
      <c r="E16" s="4" t="str">
        <f>IF(VLOOKUP($B16,augment_header!$B$2:$G$72,4,FALSE)="√","√","")</f>
        <v/>
      </c>
      <c r="F16" s="4" t="str">
        <f>_xlfn.LET(_xlpm.x,VLOOKUP($B16,augment_header!$B$2:$G$72,5,FALSE),IF(_xlpm.x="","",_xlpm.x))</f>
        <v/>
      </c>
    </row>
    <row r="17" spans="1:7" ht="15" x14ac:dyDescent="0.2">
      <c r="A17">
        <v>15</v>
      </c>
      <c r="B17" s="1" t="s">
        <v>465</v>
      </c>
      <c r="C17" t="str">
        <f>_xlfn.LET(_xlpm.x,VLOOKUP($B17,augment_header!$B$2:$G$72,2,FALSE),IF(_xlpm.x="","",_xlpm.x))</f>
        <v>强化符文大图标路径</v>
      </c>
      <c r="D17" s="4" t="str">
        <f>IF(VLOOKUP($B17,augment_header!$B$2:$G$72,3,FALSE)="√","√","")</f>
        <v>√</v>
      </c>
      <c r="E17" s="4" t="str">
        <f>IF(VLOOKUP($B17,augment_header!$B$2:$G$72,4,FALSE)="√","√","")</f>
        <v/>
      </c>
      <c r="F17" s="4" t="str">
        <f>_xlfn.LET(_xlpm.x,VLOOKUP($B17,augment_header!$B$2:$G$72,5,FALSE),IF(_xlpm.x="","",_xlpm.x))</f>
        <v/>
      </c>
      <c r="G17">
        <v>53</v>
      </c>
    </row>
    <row r="18" spans="1:7" ht="15" x14ac:dyDescent="0.2">
      <c r="A18">
        <v>16</v>
      </c>
      <c r="B18" s="1" t="s">
        <v>453</v>
      </c>
      <c r="C18" t="str">
        <f>_xlfn.LET(_xlpm.x,VLOOKUP($B18,augment_header!$B$2:$G$72,2,FALSE),IF(_xlpm.x="","",_xlpm.x))</f>
        <v>强化符文小图标路径</v>
      </c>
      <c r="D18" s="4" t="str">
        <f>IF(VLOOKUP($B18,augment_header!$B$2:$G$72,3,FALSE)="√","√","")</f>
        <v>√</v>
      </c>
      <c r="E18" s="4" t="str">
        <f>IF(VLOOKUP($B18,augment_header!$B$2:$G$72,4,FALSE)="√","√","")</f>
        <v/>
      </c>
      <c r="F18" s="4" t="str">
        <f>_xlfn.LET(_xlpm.x,VLOOKUP($B18,augment_header!$B$2:$G$72,5,FALSE),IF(_xlpm.x="","",_xlpm.x))</f>
        <v/>
      </c>
      <c r="G18">
        <v>54</v>
      </c>
    </row>
    <row r="19" spans="1:7" ht="15" x14ac:dyDescent="0.2">
      <c r="A19">
        <v>17</v>
      </c>
      <c r="B19" s="1" t="s">
        <v>3483</v>
      </c>
      <c r="C19" t="str">
        <f>_xlfn.LET(_xlpm.x,VLOOKUP($B19,augment_header!$B$2:$G$72,2,FALSE),IF(_xlpm.x="","",_xlpm.x))</f>
        <v>次级稀有度</v>
      </c>
      <c r="D19" s="4" t="str">
        <f>IF(VLOOKUP($B19,augment_header!$B$2:$G$72,3,FALSE)="√","√","")</f>
        <v>√</v>
      </c>
      <c r="E19" s="4" t="str">
        <f>IF(VLOOKUP($B19,augment_header!$B$2:$G$72,4,FALSE)="√","√","")</f>
        <v>√</v>
      </c>
      <c r="F19" s="4" t="str">
        <f>_xlfn.LET(_xlpm.x,VLOOKUP($B19,augment_header!$B$2:$G$72,5,FALSE),IF(_xlpm.x="","",_xlpm.x))</f>
        <v/>
      </c>
    </row>
    <row r="20" spans="1:7" ht="15" x14ac:dyDescent="0.2">
      <c r="A20">
        <v>18</v>
      </c>
      <c r="B20" s="1" t="s">
        <v>455</v>
      </c>
      <c r="C20" t="str">
        <f>_xlfn.LET(_xlpm.x,VLOOKUP($B20,augment_header!$B$2:$G$72,2,FALSE),IF(_xlpm.x="","",_xlpm.x))</f>
        <v>强化符文显示标签</v>
      </c>
      <c r="D20" s="4" t="str">
        <f>IF(VLOOKUP($B20,augment_header!$B$2:$G$72,3,FALSE)="√","√","")</f>
        <v>√</v>
      </c>
      <c r="E20" s="4" t="str">
        <f>IF(VLOOKUP($B20,augment_header!$B$2:$G$72,4,FALSE)="√","√","")</f>
        <v/>
      </c>
      <c r="F20" s="4" t="str">
        <f>_xlfn.LET(_xlpm.x,VLOOKUP($B20,augment_header!$B$2:$G$72,5,FALSE),IF(_xlpm.x="","",_xlpm.x))</f>
        <v/>
      </c>
      <c r="G20">
        <v>10</v>
      </c>
    </row>
    <row r="21" spans="1:7" ht="15" x14ac:dyDescent="0.2">
      <c r="A21">
        <v>19</v>
      </c>
      <c r="B21" s="1" t="s">
        <v>457</v>
      </c>
      <c r="C21" t="str">
        <f>_xlfn.LET(_xlpm.x,VLOOKUP($B21,augment_header!$B$2:$G$72,2,FALSE),IF(_xlpm.x="","",_xlpm.x))</f>
        <v>稀有度</v>
      </c>
      <c r="D21" s="4" t="str">
        <f>IF(VLOOKUP($B21,augment_header!$B$2:$G$72,3,FALSE)="√","√","")</f>
        <v>√</v>
      </c>
      <c r="E21" s="4" t="str">
        <f>IF(VLOOKUP($B21,augment_header!$B$2:$G$72,4,FALSE)="√","√","")</f>
        <v>√</v>
      </c>
      <c r="F21" s="4" t="str">
        <f>_xlfn.LET(_xlpm.x,VLOOKUP($B21,augment_header!$B$2:$G$72,5,FALSE),IF(_xlpm.x="","",_xlpm.x))</f>
        <v/>
      </c>
      <c r="G21">
        <v>8</v>
      </c>
    </row>
    <row r="22" spans="1:7" ht="15" x14ac:dyDescent="0.2">
      <c r="A22">
        <v>20</v>
      </c>
      <c r="B22" s="1" t="s">
        <v>3205</v>
      </c>
      <c r="C22" t="str">
        <f>_xlfn.LET(_xlpm.x,VLOOKUP($B22,augment_header!$B$2:$G$72,2,FALSE),IF(_xlpm.x="","",_xlpm.x))</f>
        <v>不占用栏位</v>
      </c>
      <c r="D22" s="4" t="str">
        <f>IF(VLOOKUP($B22,augment_header!$B$2:$G$72,3,FALSE)="√","√","")</f>
        <v>√</v>
      </c>
      <c r="E22" s="4" t="str">
        <f>IF(VLOOKUP($B22,augment_header!$B$2:$G$72,4,FALSE)="√","√","")</f>
        <v>√</v>
      </c>
      <c r="F22" s="4" t="b">
        <f>_xlfn.LET(_xlpm.x,VLOOKUP($B22,augment_header!$B$2:$G$72,5,FALSE),IF(_xlpm.x="","",_xlpm.x))</f>
        <v>0</v>
      </c>
      <c r="G22">
        <v>16</v>
      </c>
    </row>
    <row r="23" spans="1:7" ht="15" x14ac:dyDescent="0.2">
      <c r="A23">
        <v>21</v>
      </c>
      <c r="B23" s="1" t="s">
        <v>459</v>
      </c>
      <c r="C23" t="str">
        <f>_xlfn.LET(_xlpm.x,VLOOKUP($B23,augment_header!$B$2:$G$72,2,FALSE),IF(_xlpm.x="","",_xlpm.x))</f>
        <v>强化符文序号</v>
      </c>
      <c r="D23" s="4" t="str">
        <f>IF(VLOOKUP($B23,augment_header!$B$2:$G$72,3,FALSE)="√","√","")</f>
        <v>√</v>
      </c>
      <c r="E23" s="4" t="str">
        <f>IF(VLOOKUP($B23,augment_header!$B$2:$G$72,4,FALSE)="√","√","")</f>
        <v/>
      </c>
      <c r="F23" s="4">
        <f>_xlfn.LET(_xlpm.x,VLOOKUP($B23,augment_header!$B$2:$G$72,5,FALSE),IF(_xlpm.x="","",_xlpm.x))</f>
        <v>-1</v>
      </c>
      <c r="G23">
        <v>2</v>
      </c>
    </row>
    <row r="24" spans="1:7" ht="15" x14ac:dyDescent="0.2">
      <c r="A24">
        <v>22</v>
      </c>
      <c r="B24" s="1" t="s">
        <v>3866</v>
      </c>
      <c r="C24" t="str">
        <f>_xlfn.LET(_xlpm.x,VLOOKUP($B24,augment_header!$B$2:$G$72,2,FALSE),IF(_xlpm.x="","",_xlpm.x))</f>
        <v>任务线主键</v>
      </c>
      <c r="D24" s="4" t="str">
        <f>IF(VLOOKUP($B24,augment_header!$B$2:$G$72,3,FALSE)="√","√","")</f>
        <v>√</v>
      </c>
      <c r="E24" s="4" t="str">
        <f>IF(VLOOKUP($B24,augment_header!$B$2:$G$72,4,FALSE)="√","√","")</f>
        <v>√</v>
      </c>
      <c r="F24" s="4" t="str">
        <f>_xlfn.LET(_xlpm.x,VLOOKUP($B24,augment_header!$B$2:$G$72,5,FALSE),IF(_xlpm.x="","",_xlpm.x))</f>
        <v/>
      </c>
      <c r="G24">
        <v>49</v>
      </c>
    </row>
    <row r="25" spans="1:7" ht="15" x14ac:dyDescent="0.2">
      <c r="A25">
        <v>23</v>
      </c>
      <c r="B25" s="1" t="s">
        <v>3654</v>
      </c>
      <c r="C25" t="str">
        <f>_xlfn.LET(_xlpm.x,VLOOKUP($B25,augment_header!$B$2:$G$72,2,FALSE),IF(_xlpm.x="","",_xlpm.x))</f>
        <v>技能重载</v>
      </c>
      <c r="D25" s="4" t="str">
        <f>IF(VLOOKUP($B25,augment_header!$B$2:$G$72,3,FALSE)="√","√","")</f>
        <v>√</v>
      </c>
      <c r="E25" s="4" t="str">
        <f>IF(VLOOKUP($B25,augment_header!$B$2:$G$72,4,FALSE)="√","√","")</f>
        <v>√</v>
      </c>
      <c r="F25" s="4" t="b">
        <f>_xlfn.LET(_xlpm.x,VLOOKUP($B25,augment_header!$B$2:$G$72,5,FALSE),IF(_xlpm.x="","",_xlpm.x))</f>
        <v>0</v>
      </c>
      <c r="G25">
        <v>17</v>
      </c>
    </row>
    <row r="26" spans="1:7" ht="15" x14ac:dyDescent="0.2">
      <c r="A26">
        <v>24</v>
      </c>
      <c r="B26" s="1" t="s">
        <v>3479</v>
      </c>
      <c r="C26" t="str">
        <f>_xlfn.LET(_xlpm.x,VLOOKUP($B26,augment_header!$B$2:$G$72,2,FALSE),IF(_xlpm.x="","",_xlpm.x))</f>
        <v>资源解析器主键</v>
      </c>
      <c r="D26" s="4" t="str">
        <f>IF(VLOOKUP($B26,augment_header!$B$2:$G$72,3,FALSE)="√","√","")</f>
        <v>√</v>
      </c>
      <c r="E26" s="4" t="str">
        <f>IF(VLOOKUP($B26,augment_header!$B$2:$G$72,4,FALSE)="√","√","")</f>
        <v>√</v>
      </c>
      <c r="F26" s="4" t="str">
        <f>_xlfn.LET(_xlpm.x,VLOOKUP($B26,augment_header!$B$2:$G$72,5,FALSE),IF(_xlpm.x="","",_xlpm.x))</f>
        <v/>
      </c>
      <c r="G26">
        <v>51</v>
      </c>
    </row>
    <row r="27" spans="1:7" ht="15" x14ac:dyDescent="0.2">
      <c r="A27">
        <v>25</v>
      </c>
      <c r="B27" s="6" t="s">
        <v>467</v>
      </c>
      <c r="C27" t="str">
        <f>_xlfn.LET(_xlpm.x,VLOOKUP($B27,augment_header!$B$2:$G$72,2,FALSE),IF(_xlpm.x="","",_xlpm.x))</f>
        <v>名称（中文）</v>
      </c>
      <c r="D27" s="4" t="str">
        <f>IF(VLOOKUP($B27,augment_header!$B$2:$G$72,3,FALSE)="√","√","")</f>
        <v/>
      </c>
      <c r="E27" s="4" t="str">
        <f>IF(VLOOKUP($B27,augment_header!$B$2:$G$72,4,FALSE)="√","√","")</f>
        <v/>
      </c>
      <c r="F27" s="4" t="str">
        <f>_xlfn.LET(_xlpm.x,VLOOKUP($B27,augment_header!$B$2:$G$72,5,FALSE),IF(_xlpm.x="","",_xlpm.x))</f>
        <v/>
      </c>
      <c r="G27">
        <v>5</v>
      </c>
    </row>
    <row r="28" spans="1:7" ht="15" x14ac:dyDescent="0.2">
      <c r="A28">
        <v>26</v>
      </c>
      <c r="B28" s="6" t="s">
        <v>470</v>
      </c>
      <c r="C28" t="str">
        <f>_xlfn.LET(_xlpm.x,VLOOKUP($B28,augment_header!$B$2:$G$72,2,FALSE),IF(_xlpm.x="","",_xlpm.x))</f>
        <v>名称（英文）</v>
      </c>
      <c r="D28" s="4" t="str">
        <f>IF(VLOOKUP($B28,augment_header!$B$2:$G$72,3,FALSE)="√","√","")</f>
        <v/>
      </c>
      <c r="E28" s="4" t="str">
        <f>IF(VLOOKUP($B28,augment_header!$B$2:$G$72,4,FALSE)="√","√","")</f>
        <v/>
      </c>
      <c r="F28" s="4" t="str">
        <f>_xlfn.LET(_xlpm.x,VLOOKUP($B28,augment_header!$B$2:$G$72,5,FALSE),IF(_xlpm.x="","",_xlpm.x))</f>
        <v/>
      </c>
      <c r="G28">
        <v>6</v>
      </c>
    </row>
    <row r="29" spans="1:7" ht="15" x14ac:dyDescent="0.2">
      <c r="A29">
        <v>27</v>
      </c>
      <c r="B29" s="6" t="s">
        <v>468</v>
      </c>
      <c r="C29" t="str">
        <f>_xlfn.LET(_xlpm.x,VLOOKUP($B29,augment_header!$B$2:$G$72,2,FALSE),IF(_xlpm.x="","",_xlpm.x))</f>
        <v>简介（中文）</v>
      </c>
      <c r="D29" s="4" t="str">
        <f>IF(VLOOKUP($B29,augment_header!$B$2:$G$72,3,FALSE)="√","√","")</f>
        <v/>
      </c>
      <c r="E29" s="4" t="str">
        <f>IF(VLOOKUP($B29,augment_header!$B$2:$G$72,4,FALSE)="√","√","")</f>
        <v/>
      </c>
      <c r="F29" s="4" t="str">
        <f>_xlfn.LET(_xlpm.x,VLOOKUP($B29,augment_header!$B$2:$G$72,5,FALSE),IF(_xlpm.x="","",_xlpm.x))</f>
        <v/>
      </c>
      <c r="G29">
        <v>21</v>
      </c>
    </row>
    <row r="30" spans="1:7" ht="15" x14ac:dyDescent="0.2">
      <c r="A30">
        <v>28</v>
      </c>
      <c r="B30" s="6" t="s">
        <v>481</v>
      </c>
      <c r="C30" t="str">
        <f>_xlfn.LET(_xlpm.x,VLOOKUP($B30,augment_header!$B$2:$G$72,2,FALSE),IF(_xlpm.x="","",_xlpm.x))</f>
        <v>简介（中文/数值转换）</v>
      </c>
      <c r="D30" s="4" t="str">
        <f>IF(VLOOKUP($B30,augment_header!$B$2:$G$72,3,FALSE)="√","√","")</f>
        <v/>
      </c>
      <c r="E30" s="4" t="str">
        <f>IF(VLOOKUP($B30,augment_header!$B$2:$G$72,4,FALSE)="√","√","")</f>
        <v/>
      </c>
      <c r="F30" s="4" t="str">
        <f>_xlfn.LET(_xlpm.x,VLOOKUP($B30,augment_header!$B$2:$G$72,5,FALSE),IF(_xlpm.x="","",_xlpm.x))</f>
        <v/>
      </c>
      <c r="G30">
        <v>22</v>
      </c>
    </row>
    <row r="31" spans="1:7" ht="15" x14ac:dyDescent="0.2">
      <c r="A31">
        <v>29</v>
      </c>
      <c r="B31" s="6" t="s">
        <v>471</v>
      </c>
      <c r="C31" t="str">
        <f>_xlfn.LET(_xlpm.x,VLOOKUP($B31,augment_header!$B$2:$G$72,2,FALSE),IF(_xlpm.x="","",_xlpm.x))</f>
        <v>简介（英文）</v>
      </c>
      <c r="D31" s="4" t="str">
        <f>IF(VLOOKUP($B31,augment_header!$B$2:$G$72,3,FALSE)="√","√","")</f>
        <v/>
      </c>
      <c r="E31" s="4" t="str">
        <f>IF(VLOOKUP($B31,augment_header!$B$2:$G$72,4,FALSE)="√","√","")</f>
        <v/>
      </c>
      <c r="F31" s="4" t="str">
        <f>_xlfn.LET(_xlpm.x,VLOOKUP($B31,augment_header!$B$2:$G$72,5,FALSE),IF(_xlpm.x="","",_xlpm.x))</f>
        <v/>
      </c>
      <c r="G31">
        <v>23</v>
      </c>
    </row>
    <row r="32" spans="1:7" ht="15" x14ac:dyDescent="0.2">
      <c r="A32">
        <v>30</v>
      </c>
      <c r="B32" s="6" t="s">
        <v>483</v>
      </c>
      <c r="C32" t="str">
        <f>_xlfn.LET(_xlpm.x,VLOOKUP($B32,augment_header!$B$2:$G$72,2,FALSE),IF(_xlpm.x="","",_xlpm.x))</f>
        <v>简介（英文/数值转换）</v>
      </c>
      <c r="D32" s="4" t="str">
        <f>IF(VLOOKUP($B32,augment_header!$B$2:$G$72,3,FALSE)="√","√","")</f>
        <v/>
      </c>
      <c r="E32" s="4" t="str">
        <f>IF(VLOOKUP($B32,augment_header!$B$2:$G$72,4,FALSE)="√","√","")</f>
        <v/>
      </c>
      <c r="F32" s="4" t="str">
        <f>_xlfn.LET(_xlpm.x,VLOOKUP($B32,augment_header!$B$2:$G$72,5,FALSE),IF(_xlpm.x="","",_xlpm.x))</f>
        <v/>
      </c>
      <c r="G32">
        <v>24</v>
      </c>
    </row>
    <row r="33" spans="1:7" ht="15" x14ac:dyDescent="0.2">
      <c r="A33">
        <v>31</v>
      </c>
      <c r="B33" s="6" t="s">
        <v>469</v>
      </c>
      <c r="C33" t="str">
        <f>_xlfn.LET(_xlpm.x,VLOOKUP($B33,augment_header!$B$2:$G$72,2,FALSE),IF(_xlpm.x="","",_xlpm.x))</f>
        <v>强化符文详细信息（中文）</v>
      </c>
      <c r="D33" s="4" t="str">
        <f>IF(VLOOKUP($B33,augment_header!$B$2:$G$72,3,FALSE)="√","√","")</f>
        <v/>
      </c>
      <c r="E33" s="4" t="str">
        <f>IF(VLOOKUP($B33,augment_header!$B$2:$G$72,4,FALSE)="√","√","")</f>
        <v/>
      </c>
      <c r="F33" s="4" t="str">
        <f>_xlfn.LET(_xlpm.x,VLOOKUP($B33,augment_header!$B$2:$G$72,5,FALSE),IF(_xlpm.x="","",_xlpm.x))</f>
        <v/>
      </c>
      <c r="G33">
        <v>26</v>
      </c>
    </row>
    <row r="34" spans="1:7" ht="15" x14ac:dyDescent="0.2">
      <c r="A34">
        <v>32</v>
      </c>
      <c r="B34" s="6" t="s">
        <v>485</v>
      </c>
      <c r="C34" t="str">
        <f>_xlfn.LET(_xlpm.x,VLOOKUP($B34,augment_header!$B$2:$G$72,2,FALSE),IF(_xlpm.x="","",_xlpm.x))</f>
        <v>强化符文详细信息（中文/数值转换）</v>
      </c>
      <c r="D34" s="4" t="str">
        <f>IF(VLOOKUP($B34,augment_header!$B$2:$G$72,3,FALSE)="√","√","")</f>
        <v/>
      </c>
      <c r="E34" s="4" t="str">
        <f>IF(VLOOKUP($B34,augment_header!$B$2:$G$72,4,FALSE)="√","√","")</f>
        <v/>
      </c>
      <c r="F34" s="4" t="str">
        <f>_xlfn.LET(_xlpm.x,VLOOKUP($B34,augment_header!$B$2:$G$72,5,FALSE),IF(_xlpm.x="","",_xlpm.x))</f>
        <v/>
      </c>
      <c r="G34">
        <v>27</v>
      </c>
    </row>
    <row r="35" spans="1:7" ht="15" x14ac:dyDescent="0.2">
      <c r="A35">
        <v>33</v>
      </c>
      <c r="B35" s="6" t="s">
        <v>472</v>
      </c>
      <c r="C35" t="str">
        <f>_xlfn.LET(_xlpm.x,VLOOKUP($B35,augment_header!$B$2:$G$72,2,FALSE),IF(_xlpm.x="","",_xlpm.x))</f>
        <v>强化符文详细信息（英文）</v>
      </c>
      <c r="D35" s="4" t="str">
        <f>IF(VLOOKUP($B35,augment_header!$B$2:$G$72,3,FALSE)="√","√","")</f>
        <v/>
      </c>
      <c r="E35" s="4" t="str">
        <f>IF(VLOOKUP($B35,augment_header!$B$2:$G$72,4,FALSE)="√","√","")</f>
        <v/>
      </c>
      <c r="F35" s="4" t="str">
        <f>_xlfn.LET(_xlpm.x,VLOOKUP($B35,augment_header!$B$2:$G$72,5,FALSE),IF(_xlpm.x="","",_xlpm.x))</f>
        <v/>
      </c>
      <c r="G35">
        <v>28</v>
      </c>
    </row>
    <row r="36" spans="1:7" ht="15" x14ac:dyDescent="0.2">
      <c r="A36">
        <v>34</v>
      </c>
      <c r="B36" s="6" t="s">
        <v>486</v>
      </c>
      <c r="C36" t="str">
        <f>_xlfn.LET(_xlpm.x,VLOOKUP($B36,augment_header!$B$2:$G$72,2,FALSE),IF(_xlpm.x="","",_xlpm.x))</f>
        <v>强化符文详细信息（英文/数值转换）</v>
      </c>
      <c r="D36" s="4" t="str">
        <f>IF(VLOOKUP($B36,augment_header!$B$2:$G$72,3,FALSE)="√","√","")</f>
        <v/>
      </c>
      <c r="E36" s="4" t="str">
        <f>IF(VLOOKUP($B36,augment_header!$B$2:$G$72,4,FALSE)="√","√","")</f>
        <v/>
      </c>
      <c r="F36" s="4" t="str">
        <f>_xlfn.LET(_xlpm.x,VLOOKUP($B36,augment_header!$B$2:$G$72,5,FALSE),IF(_xlpm.x="","",_xlpm.x))</f>
        <v/>
      </c>
      <c r="G36">
        <v>29</v>
      </c>
    </row>
    <row r="37" spans="1:7" ht="15" x14ac:dyDescent="0.2">
      <c r="A37">
        <v>35</v>
      </c>
      <c r="B37" s="6" t="s">
        <v>3445</v>
      </c>
      <c r="C37" t="str">
        <f>_xlfn.LET(_xlpm.x,VLOOKUP($B37,augment_header!$B$2:$G$72,2,FALSE),IF(_xlpm.x="","",_xlpm.x))</f>
        <v>强化符文详细信息描述部分（中文）</v>
      </c>
      <c r="D37" s="4" t="str">
        <f>IF(VLOOKUP($B37,augment_header!$B$2:$G$72,3,FALSE)="√","√","")</f>
        <v/>
      </c>
      <c r="E37" s="4" t="str">
        <f>IF(VLOOKUP($B37,augment_header!$B$2:$G$72,4,FALSE)="√","√","")</f>
        <v/>
      </c>
      <c r="F37" s="4" t="str">
        <f>_xlfn.LET(_xlpm.x,VLOOKUP($B37,augment_header!$B$2:$G$72,5,FALSE),IF(_xlpm.x="","",_xlpm.x))</f>
        <v/>
      </c>
      <c r="G37">
        <v>31</v>
      </c>
    </row>
    <row r="38" spans="1:7" ht="15" x14ac:dyDescent="0.2">
      <c r="A38">
        <v>36</v>
      </c>
      <c r="B38" s="6" t="s">
        <v>3446</v>
      </c>
      <c r="C38" t="str">
        <f>_xlfn.LET(_xlpm.x,VLOOKUP($B38,augment_header!$B$2:$G$72,2,FALSE),IF(_xlpm.x="","",_xlpm.x))</f>
        <v>强化符文详细信息描述部分（中文/数值转换）</v>
      </c>
      <c r="D38" s="4" t="str">
        <f>IF(VLOOKUP($B38,augment_header!$B$2:$G$72,3,FALSE)="√","√","")</f>
        <v/>
      </c>
      <c r="E38" s="4" t="str">
        <f>IF(VLOOKUP($B38,augment_header!$B$2:$G$72,4,FALSE)="√","√","")</f>
        <v/>
      </c>
      <c r="F38" s="4" t="str">
        <f>_xlfn.LET(_xlpm.x,VLOOKUP($B38,augment_header!$B$2:$G$72,5,FALSE),IF(_xlpm.x="","",_xlpm.x))</f>
        <v/>
      </c>
      <c r="G38">
        <v>32</v>
      </c>
    </row>
    <row r="39" spans="1:7" ht="15" x14ac:dyDescent="0.2">
      <c r="A39">
        <v>37</v>
      </c>
      <c r="B39" s="6" t="s">
        <v>3447</v>
      </c>
      <c r="C39" t="str">
        <f>_xlfn.LET(_xlpm.x,VLOOKUP($B39,augment_header!$B$2:$G$72,2,FALSE),IF(_xlpm.x="","",_xlpm.x))</f>
        <v>强化符文详细信息描述部分（英文）</v>
      </c>
      <c r="D39" s="4" t="str">
        <f>IF(VLOOKUP($B39,augment_header!$B$2:$G$72,3,FALSE)="√","√","")</f>
        <v/>
      </c>
      <c r="E39" s="4" t="str">
        <f>IF(VLOOKUP($B39,augment_header!$B$2:$G$72,4,FALSE)="√","√","")</f>
        <v/>
      </c>
      <c r="F39" s="4" t="str">
        <f>_xlfn.LET(_xlpm.x,VLOOKUP($B39,augment_header!$B$2:$G$72,5,FALSE),IF(_xlpm.x="","",_xlpm.x))</f>
        <v/>
      </c>
      <c r="G39">
        <v>33</v>
      </c>
    </row>
    <row r="40" spans="1:7" ht="15" x14ac:dyDescent="0.2">
      <c r="A40">
        <v>38</v>
      </c>
      <c r="B40" s="6" t="s">
        <v>3448</v>
      </c>
      <c r="C40" t="str">
        <f>_xlfn.LET(_xlpm.x,VLOOKUP($B40,augment_header!$B$2:$G$72,2,FALSE),IF(_xlpm.x="","",_xlpm.x))</f>
        <v>强化符文详细信息描述部分（英文/数值转换）</v>
      </c>
      <c r="D40" s="4" t="str">
        <f>IF(VLOOKUP($B40,augment_header!$B$2:$G$72,3,FALSE)="√","√","")</f>
        <v/>
      </c>
      <c r="E40" s="4" t="str">
        <f>IF(VLOOKUP($B40,augment_header!$B$2:$G$72,4,FALSE)="√","√","")</f>
        <v/>
      </c>
      <c r="F40" s="4" t="str">
        <f>_xlfn.LET(_xlpm.x,VLOOKUP($B40,augment_header!$B$2:$G$72,5,FALSE),IF(_xlpm.x="","",_xlpm.x))</f>
        <v/>
      </c>
      <c r="G40">
        <v>34</v>
      </c>
    </row>
    <row r="41" spans="1:7" ht="15" x14ac:dyDescent="0.2">
      <c r="A41">
        <v>39</v>
      </c>
      <c r="B41" s="6" t="s">
        <v>3449</v>
      </c>
      <c r="C41" t="str">
        <f>_xlfn.LET(_xlpm.x,VLOOKUP($B41,augment_header!$B$2:$G$72,2,FALSE),IF(_xlpm.x="","",_xlpm.x))</f>
        <v>强化符文详细信息追踪部分（中文）</v>
      </c>
      <c r="D41" s="4" t="str">
        <f>IF(VLOOKUP($B41,augment_header!$B$2:$G$72,3,FALSE)="√","√","")</f>
        <v/>
      </c>
      <c r="E41" s="4" t="str">
        <f>IF(VLOOKUP($B41,augment_header!$B$2:$G$72,4,FALSE)="√","√","")</f>
        <v/>
      </c>
      <c r="F41" s="4" t="str">
        <f>_xlfn.LET(_xlpm.x,VLOOKUP($B41,augment_header!$B$2:$G$72,5,FALSE),IF(_xlpm.x="","",_xlpm.x))</f>
        <v/>
      </c>
      <c r="G41">
        <v>36</v>
      </c>
    </row>
    <row r="42" spans="1:7" ht="15" x14ac:dyDescent="0.2">
      <c r="A42">
        <v>40</v>
      </c>
      <c r="B42" s="6" t="s">
        <v>3450</v>
      </c>
      <c r="C42" t="str">
        <f>_xlfn.LET(_xlpm.x,VLOOKUP($B42,augment_header!$B$2:$G$72,2,FALSE),IF(_xlpm.x="","",_xlpm.x))</f>
        <v>强化符文详细信息追踪部分（中文/数值转换）</v>
      </c>
      <c r="D42" s="4" t="str">
        <f>IF(VLOOKUP($B42,augment_header!$B$2:$G$72,3,FALSE)="√","√","")</f>
        <v/>
      </c>
      <c r="E42" s="4" t="str">
        <f>IF(VLOOKUP($B42,augment_header!$B$2:$G$72,4,FALSE)="√","√","")</f>
        <v/>
      </c>
      <c r="F42" s="4" t="str">
        <f>_xlfn.LET(_xlpm.x,VLOOKUP($B42,augment_header!$B$2:$G$72,5,FALSE),IF(_xlpm.x="","",_xlpm.x))</f>
        <v/>
      </c>
      <c r="G42">
        <v>37</v>
      </c>
    </row>
    <row r="43" spans="1:7" ht="15" x14ac:dyDescent="0.2">
      <c r="A43">
        <v>41</v>
      </c>
      <c r="B43" s="6" t="s">
        <v>3451</v>
      </c>
      <c r="C43" t="str">
        <f>_xlfn.LET(_xlpm.x,VLOOKUP($B43,augment_header!$B$2:$G$72,2,FALSE),IF(_xlpm.x="","",_xlpm.x))</f>
        <v>强化符文详细信息追踪部分（英文）</v>
      </c>
      <c r="D43" s="4" t="str">
        <f>IF(VLOOKUP($B43,augment_header!$B$2:$G$72,3,FALSE)="√","√","")</f>
        <v/>
      </c>
      <c r="E43" s="4" t="str">
        <f>IF(VLOOKUP($B43,augment_header!$B$2:$G$72,4,FALSE)="√","√","")</f>
        <v/>
      </c>
      <c r="F43" s="4" t="str">
        <f>_xlfn.LET(_xlpm.x,VLOOKUP($B43,augment_header!$B$2:$G$72,5,FALSE),IF(_xlpm.x="","",_xlpm.x))</f>
        <v/>
      </c>
      <c r="G43">
        <v>38</v>
      </c>
    </row>
    <row r="44" spans="1:7" ht="15" x14ac:dyDescent="0.2">
      <c r="A44">
        <v>42</v>
      </c>
      <c r="B44" s="6" t="s">
        <v>3452</v>
      </c>
      <c r="C44" t="str">
        <f>_xlfn.LET(_xlpm.x,VLOOKUP($B44,augment_header!$B$2:$G$72,2,FALSE),IF(_xlpm.x="","",_xlpm.x))</f>
        <v>强化符文详细信息追踪部分（英文/数值转换）</v>
      </c>
      <c r="D44" s="4" t="str">
        <f>IF(VLOOKUP($B44,augment_header!$B$2:$G$72,3,FALSE)="√","√","")</f>
        <v/>
      </c>
      <c r="E44" s="4" t="str">
        <f>IF(VLOOKUP($B44,augment_header!$B$2:$G$72,4,FALSE)="√","√","")</f>
        <v/>
      </c>
      <c r="F44" s="4" t="str">
        <f>_xlfn.LET(_xlpm.x,VLOOKUP($B44,augment_header!$B$2:$G$72,5,FALSE),IF(_xlpm.x="","",_xlpm.x))</f>
        <v/>
      </c>
      <c r="G44">
        <v>39</v>
      </c>
    </row>
    <row r="45" spans="1:7" ht="15" x14ac:dyDescent="0.2">
      <c r="A45">
        <v>43</v>
      </c>
      <c r="B45" s="6" t="s">
        <v>3453</v>
      </c>
      <c r="C45" t="str">
        <f>_xlfn.LET(_xlpm.x,VLOOKUP($B45,augment_header!$B$2:$G$72,2,FALSE),IF(_xlpm.x="","",_xlpm.x))</f>
        <v>满级效果简介（中文）</v>
      </c>
      <c r="D45" s="4" t="str">
        <f>IF(VLOOKUP($B45,augment_header!$B$2:$G$72,3,FALSE)="√","√","")</f>
        <v/>
      </c>
      <c r="E45" s="4" t="str">
        <f>IF(VLOOKUP($B45,augment_header!$B$2:$G$72,4,FALSE)="√","√","")</f>
        <v/>
      </c>
      <c r="F45" s="4" t="str">
        <f>_xlfn.LET(_xlpm.x,VLOOKUP($B45,augment_header!$B$2:$G$72,5,FALSE),IF(_xlpm.x="","",_xlpm.x))</f>
        <v/>
      </c>
    </row>
    <row r="46" spans="1:7" ht="15" x14ac:dyDescent="0.2">
      <c r="A46">
        <v>44</v>
      </c>
      <c r="B46" s="6" t="s">
        <v>3454</v>
      </c>
      <c r="C46" t="str">
        <f>_xlfn.LET(_xlpm.x,VLOOKUP($B46,augment_header!$B$2:$G$72,2,FALSE),IF(_xlpm.x="","",_xlpm.x))</f>
        <v>满级效果简介（中文/数值转换）</v>
      </c>
      <c r="D46" s="4" t="str">
        <f>IF(VLOOKUP($B46,augment_header!$B$2:$G$72,3,FALSE)="√","√","")</f>
        <v/>
      </c>
      <c r="E46" s="4" t="str">
        <f>IF(VLOOKUP($B46,augment_header!$B$2:$G$72,4,FALSE)="√","√","")</f>
        <v/>
      </c>
      <c r="F46" s="4" t="str">
        <f>_xlfn.LET(_xlpm.x,VLOOKUP($B46,augment_header!$B$2:$G$72,5,FALSE),IF(_xlpm.x="","",_xlpm.x))</f>
        <v/>
      </c>
    </row>
    <row r="47" spans="1:7" ht="15" x14ac:dyDescent="0.2">
      <c r="A47">
        <v>45</v>
      </c>
      <c r="B47" s="6" t="s">
        <v>3455</v>
      </c>
      <c r="C47" t="str">
        <f>_xlfn.LET(_xlpm.x,VLOOKUP($B47,augment_header!$B$2:$G$72,2,FALSE),IF(_xlpm.x="","",_xlpm.x))</f>
        <v>满级效果简介（英文）</v>
      </c>
      <c r="D47" s="4" t="str">
        <f>IF(VLOOKUP($B47,augment_header!$B$2:$G$72,3,FALSE)="√","√","")</f>
        <v/>
      </c>
      <c r="E47" s="4" t="str">
        <f>IF(VLOOKUP($B47,augment_header!$B$2:$G$72,4,FALSE)="√","√","")</f>
        <v/>
      </c>
      <c r="F47" s="4" t="str">
        <f>_xlfn.LET(_xlpm.x,VLOOKUP($B47,augment_header!$B$2:$G$72,5,FALSE),IF(_xlpm.x="","",_xlpm.x))</f>
        <v/>
      </c>
    </row>
    <row r="48" spans="1:7" ht="15" x14ac:dyDescent="0.2">
      <c r="A48">
        <v>46</v>
      </c>
      <c r="B48" s="6" t="s">
        <v>3456</v>
      </c>
      <c r="C48" t="str">
        <f>_xlfn.LET(_xlpm.x,VLOOKUP($B48,augment_header!$B$2:$G$72,2,FALSE),IF(_xlpm.x="","",_xlpm.x))</f>
        <v>满级效果简介（英文/数值转换）</v>
      </c>
      <c r="D48" s="4" t="str">
        <f>IF(VLOOKUP($B48,augment_header!$B$2:$G$72,3,FALSE)="√","√","")</f>
        <v/>
      </c>
      <c r="E48" s="4" t="str">
        <f>IF(VLOOKUP($B48,augment_header!$B$2:$G$72,4,FALSE)="√","√","")</f>
        <v/>
      </c>
      <c r="F48" s="4" t="str">
        <f>_xlfn.LET(_xlpm.x,VLOOKUP($B48,augment_header!$B$2:$G$72,5,FALSE),IF(_xlpm.x="","",_xlpm.x))</f>
        <v/>
      </c>
    </row>
    <row r="49" spans="1:7" ht="15" x14ac:dyDescent="0.2">
      <c r="A49">
        <v>47</v>
      </c>
      <c r="B49" s="6" t="s">
        <v>3457</v>
      </c>
      <c r="C49" t="str">
        <f>_xlfn.LET(_xlpm.x,VLOOKUP($B49,augment_header!$B$2:$G$72,2,FALSE),IF(_xlpm.x="","",_xlpm.x))</f>
        <v>满级效果详细信息（中文）</v>
      </c>
      <c r="D49" s="4" t="str">
        <f>IF(VLOOKUP($B49,augment_header!$B$2:$G$72,3,FALSE)="√","√","")</f>
        <v/>
      </c>
      <c r="E49" s="4" t="str">
        <f>IF(VLOOKUP($B49,augment_header!$B$2:$G$72,4,FALSE)="√","√","")</f>
        <v/>
      </c>
      <c r="F49" s="4" t="str">
        <f>_xlfn.LET(_xlpm.x,VLOOKUP($B49,augment_header!$B$2:$G$72,5,FALSE),IF(_xlpm.x="","",_xlpm.x))</f>
        <v/>
      </c>
    </row>
    <row r="50" spans="1:7" ht="15" x14ac:dyDescent="0.2">
      <c r="A50">
        <v>48</v>
      </c>
      <c r="B50" s="6" t="s">
        <v>3458</v>
      </c>
      <c r="C50" t="str">
        <f>_xlfn.LET(_xlpm.x,VLOOKUP($B50,augment_header!$B$2:$G$72,2,FALSE),IF(_xlpm.x="","",_xlpm.x))</f>
        <v>满级效果详细信息（中文/数值转换）</v>
      </c>
      <c r="D50" s="4" t="str">
        <f>IF(VLOOKUP($B50,augment_header!$B$2:$G$72,3,FALSE)="√","√","")</f>
        <v/>
      </c>
      <c r="E50" s="4" t="str">
        <f>IF(VLOOKUP($B50,augment_header!$B$2:$G$72,4,FALSE)="√","√","")</f>
        <v/>
      </c>
      <c r="F50" s="4" t="str">
        <f>_xlfn.LET(_xlpm.x,VLOOKUP($B50,augment_header!$B$2:$G$72,5,FALSE),IF(_xlpm.x="","",_xlpm.x))</f>
        <v/>
      </c>
    </row>
    <row r="51" spans="1:7" ht="15" x14ac:dyDescent="0.2">
      <c r="A51">
        <v>49</v>
      </c>
      <c r="B51" s="6" t="s">
        <v>3459</v>
      </c>
      <c r="C51" t="str">
        <f>_xlfn.LET(_xlpm.x,VLOOKUP($B51,augment_header!$B$2:$G$72,2,FALSE),IF(_xlpm.x="","",_xlpm.x))</f>
        <v>满级效果详细信息（英文）</v>
      </c>
      <c r="D51" s="4" t="str">
        <f>IF(VLOOKUP($B51,augment_header!$B$2:$G$72,3,FALSE)="√","√","")</f>
        <v/>
      </c>
      <c r="E51" s="4" t="str">
        <f>IF(VLOOKUP($B51,augment_header!$B$2:$G$72,4,FALSE)="√","√","")</f>
        <v/>
      </c>
      <c r="F51" s="4" t="str">
        <f>_xlfn.LET(_xlpm.x,VLOOKUP($B51,augment_header!$B$2:$G$72,5,FALSE),IF(_xlpm.x="","",_xlpm.x))</f>
        <v/>
      </c>
    </row>
    <row r="52" spans="1:7" ht="15" x14ac:dyDescent="0.2">
      <c r="A52">
        <v>50</v>
      </c>
      <c r="B52" s="6" t="s">
        <v>3460</v>
      </c>
      <c r="C52" t="str">
        <f>_xlfn.LET(_xlpm.x,VLOOKUP($B52,augment_header!$B$2:$G$72,2,FALSE),IF(_xlpm.x="","",_xlpm.x))</f>
        <v>满级效果详细信息（英文/数值转换）</v>
      </c>
      <c r="D52" s="4" t="str">
        <f>IF(VLOOKUP($B52,augment_header!$B$2:$G$72,3,FALSE)="√","√","")</f>
        <v/>
      </c>
      <c r="E52" s="4" t="str">
        <f>IF(VLOOKUP($B52,augment_header!$B$2:$G$72,4,FALSE)="√","√","")</f>
        <v/>
      </c>
      <c r="F52" s="4" t="str">
        <f>_xlfn.LET(_xlpm.x,VLOOKUP($B52,augment_header!$B$2:$G$72,5,FALSE),IF(_xlpm.x="","",_xlpm.x))</f>
        <v/>
      </c>
    </row>
    <row r="53" spans="1:7" ht="15" x14ac:dyDescent="0.2">
      <c r="A53">
        <v>51</v>
      </c>
      <c r="B53" s="6" t="s">
        <v>462</v>
      </c>
      <c r="C53" t="str">
        <f>_xlfn.LET(_xlpm.x,VLOOKUP($B53,augment_header!$B$2:$G$72,2,FALSE),IF(_xlpm.x="","",_xlpm.x))</f>
        <v>强化符文显示标签内容</v>
      </c>
      <c r="D53" s="4" t="str">
        <f>IF(VLOOKUP($B53,augment_header!$B$2:$G$72,3,FALSE)="√","√","")</f>
        <v/>
      </c>
      <c r="E53" s="4" t="str">
        <f>IF(VLOOKUP($B53,augment_header!$B$2:$G$72,4,FALSE)="√","√","")</f>
        <v/>
      </c>
      <c r="F53" s="4" t="str">
        <f>_xlfn.LET(_xlpm.x,VLOOKUP($B53,augment_header!$B$2:$G$72,5,FALSE),IF(_xlpm.x="","",_xlpm.x))</f>
        <v/>
      </c>
      <c r="G53">
        <v>11</v>
      </c>
    </row>
    <row r="54" spans="1:7" ht="15" x14ac:dyDescent="0.2">
      <c r="A54">
        <v>52</v>
      </c>
      <c r="B54" s="6" t="s">
        <v>460</v>
      </c>
      <c r="C54" t="str">
        <f>_xlfn.LET(_xlpm.x,VLOOKUP($B54,augment_header!$B$2:$G$72,2,FALSE),IF(_xlpm.x="","",_xlpm.x))</f>
        <v>位阶</v>
      </c>
      <c r="D54" s="4" t="str">
        <f>IF(VLOOKUP($B54,augment_header!$B$2:$G$72,3,FALSE)="√","√","")</f>
        <v/>
      </c>
      <c r="E54" s="4" t="str">
        <f>IF(VLOOKUP($B54,augment_header!$B$2:$G$72,4,FALSE)="√","√","")</f>
        <v>√</v>
      </c>
      <c r="F54" s="4" t="str">
        <f>_xlfn.LET(_xlpm.x,VLOOKUP($B54,augment_header!$B$2:$G$72,5,FALSE),IF(_xlpm.x="","",_xlpm.x))</f>
        <v/>
      </c>
      <c r="G54">
        <v>9</v>
      </c>
    </row>
    <row r="55" spans="1:7" ht="15" x14ac:dyDescent="0.2">
      <c r="A55">
        <v>53</v>
      </c>
      <c r="B55" s="6" t="s">
        <v>479</v>
      </c>
      <c r="C55" t="str">
        <f>_xlfn.LET(_xlpm.x,VLOOKUP($B55,augment_header!$B$2:$G$72,2,FALSE),IF(_xlpm.x="","",_xlpm.x))</f>
        <v>根指令对象</v>
      </c>
      <c r="D55" s="4" t="str">
        <f>IF(VLOOKUP($B55,augment_header!$B$2:$G$72,3,FALSE)="√","√","")</f>
        <v>√</v>
      </c>
      <c r="E55" s="4" t="str">
        <f>IF(VLOOKUP($B55,augment_header!$B$2:$G$72,4,FALSE)="√","√","")</f>
        <v/>
      </c>
      <c r="F55" s="4" t="str">
        <f>_xlfn.LET(_xlpm.x,VLOOKUP($B55,augment_header!$B$2:$G$72,5,FALSE),IF(_xlpm.x="","",_xlpm.x))</f>
        <v/>
      </c>
      <c r="G55">
        <v>46</v>
      </c>
    </row>
    <row r="56" spans="1:7" ht="15" x14ac:dyDescent="0.2">
      <c r="A56">
        <v>54</v>
      </c>
      <c r="B56" s="6" t="s">
        <v>3868</v>
      </c>
      <c r="C56" t="str">
        <f>_xlfn.LET(_xlpm.x,VLOOKUP($B56,augment_header!$B$2:$G$72,2,FALSE),IF(_xlpm.x="","",_xlpm.x))</f>
        <v>其它指令对象</v>
      </c>
      <c r="D56" s="4" t="str">
        <f>IF(VLOOKUP($B56,augment_header!$B$2:$G$72,3,FALSE)="√","√","")</f>
        <v>√</v>
      </c>
      <c r="E56" s="4" t="str">
        <f>IF(VLOOKUP($B56,augment_header!$B$2:$G$72,4,FALSE)="√","√","")</f>
        <v/>
      </c>
      <c r="F56" s="4" t="str">
        <f>_xlfn.LET(_xlpm.x,VLOOKUP($B56,augment_header!$B$2:$G$72,5,FALSE),IF(_xlpm.x="","",_xlpm.x))</f>
        <v/>
      </c>
      <c r="G56">
        <v>48</v>
      </c>
    </row>
    <row r="57" spans="1:7" ht="15" x14ac:dyDescent="0.2">
      <c r="A57">
        <v>55</v>
      </c>
      <c r="B57" s="1" t="s">
        <v>3485</v>
      </c>
      <c r="C57" t="str">
        <f>_xlfn.LET(_xlpm.x,VLOOKUP($B57,augment_header!$B$2:$G$72,2,FALSE),IF(_xlpm.x="","",_xlpm.x))</f>
        <v>最大等级</v>
      </c>
      <c r="D57" s="4" t="str">
        <f>IF(VLOOKUP($B57,augment_header!$B$2:$G$72,3,FALSE)="√","√","")</f>
        <v>√</v>
      </c>
      <c r="E57" s="4" t="str">
        <f>IF(VLOOKUP($B57,augment_header!$B$2:$G$72,4,FALSE)="√","√","")</f>
        <v/>
      </c>
      <c r="F57" s="4" t="str">
        <f>_xlfn.LET(_xlpm.x,VLOOKUP($B57,augment_header!$B$2:$G$72,5,FALSE),IF(_xlpm.x="","",_xlpm.x))</f>
        <v/>
      </c>
    </row>
    <row r="58" spans="1:7" ht="15" x14ac:dyDescent="0.2">
      <c r="A58">
        <v>56</v>
      </c>
      <c r="B58" s="1" t="s">
        <v>3480</v>
      </c>
      <c r="C58" t="str">
        <f>_xlfn.LET(_xlpm.x,VLOOKUP($B58,augment_header!$B$2:$G$72,2,FALSE),IF(_xlpm.x="","",_xlpm.x))</f>
        <v>资源解析器映射字典</v>
      </c>
      <c r="D58" s="4" t="str">
        <f>IF(VLOOKUP($B58,augment_header!$B$2:$G$72,3,FALSE)="√","√","")</f>
        <v>√</v>
      </c>
      <c r="E58" s="4" t="str">
        <f>IF(VLOOKUP($B58,augment_header!$B$2:$G$72,4,FALSE)="√","√","")</f>
        <v/>
      </c>
      <c r="F58" s="4" t="str">
        <f>_xlfn.LET(_xlpm.x,VLOOKUP($B58,augment_header!$B$2:$G$72,5,FALSE),IF(_xlpm.x="","",_xlpm.x))</f>
        <v/>
      </c>
      <c r="G58">
        <v>52</v>
      </c>
    </row>
    <row r="59" spans="1:7" ht="15" x14ac:dyDescent="0.2">
      <c r="A59" s="2">
        <v>57</v>
      </c>
      <c r="B59" s="3" t="s">
        <v>3664</v>
      </c>
      <c r="C59" s="2" t="str">
        <f>_xlfn.LET(_xlpm.x,VLOOKUP($B59,augment_header!$B$2:$G$72,2,FALSE),IF(_xlpm.x="","",_xlpm.x))</f>
        <v/>
      </c>
      <c r="D59" s="4" t="str">
        <f>IF(VLOOKUP($B59,augment_header!$B$2:$G$72,3,FALSE)="√","√","")</f>
        <v>√</v>
      </c>
      <c r="E59" s="4" t="str">
        <f>IF(VLOOKUP($B59,augment_header!$B$2:$G$72,4,FALSE)="√","√","")</f>
        <v/>
      </c>
      <c r="F59" s="4" t="str">
        <f>_xlfn.LET(_xlpm.x,VLOOKUP($B59,augment_header!$B$2:$G$72,5,FALSE),IF(_xlpm.x="","",_xlpm.x))</f>
        <v/>
      </c>
      <c r="G59">
        <v>12</v>
      </c>
    </row>
    <row r="60" spans="1:7" ht="15" x14ac:dyDescent="0.2">
      <c r="A60" s="2">
        <v>58</v>
      </c>
      <c r="B60" s="3" t="s">
        <v>3665</v>
      </c>
      <c r="C60" s="2" t="str">
        <f>_xlfn.LET(_xlpm.x,VLOOKUP($B60,augment_header!$B$2:$G$72,2,FALSE),IF(_xlpm.x="","",_xlpm.x))</f>
        <v>任务线代码</v>
      </c>
      <c r="D60" s="4" t="str">
        <f>IF(VLOOKUP($B60,augment_header!$B$2:$G$72,3,FALSE)="√","√","")</f>
        <v>√</v>
      </c>
      <c r="E60" s="4" t="str">
        <f>IF(VLOOKUP($B60,augment_header!$B$2:$G$72,4,FALSE)="√","√","")</f>
        <v/>
      </c>
      <c r="F60" s="4" t="str">
        <f>_xlfn.LET(_xlpm.x,VLOOKUP($B60,augment_header!$B$2:$G$72,5,FALSE),IF(_xlpm.x="","",_xlpm.x))</f>
        <v/>
      </c>
      <c r="G60">
        <v>13</v>
      </c>
    </row>
    <row r="61" spans="1:7" ht="15" x14ac:dyDescent="0.2">
      <c r="A61" s="2">
        <v>59</v>
      </c>
      <c r="B61" s="3" t="s">
        <v>3666</v>
      </c>
      <c r="C61" s="2" t="str">
        <f>_xlfn.LET(_xlpm.x,VLOOKUP($B61,augment_header!$B$2:$G$72,2,FALSE),IF(_xlpm.x="","",_xlpm.x))</f>
        <v>任务线名称键</v>
      </c>
      <c r="D61" s="4" t="str">
        <f>IF(VLOOKUP($B61,augment_header!$B$2:$G$72,3,FALSE)="√","√","")</f>
        <v/>
      </c>
      <c r="E61" s="4" t="str">
        <f>IF(VLOOKUP($B61,augment_header!$B$2:$G$72,4,FALSE)="√","√","")</f>
        <v/>
      </c>
      <c r="F61" s="4" t="str">
        <f>_xlfn.LET(_xlpm.x,VLOOKUP($B61,augment_header!$B$2:$G$72,5,FALSE),IF(_xlpm.x="","",_xlpm.x))</f>
        <v/>
      </c>
    </row>
    <row r="62" spans="1:7" ht="15" x14ac:dyDescent="0.2">
      <c r="A62" s="2">
        <v>60</v>
      </c>
      <c r="B62" s="3" t="s">
        <v>3667</v>
      </c>
      <c r="C62" s="2" t="str">
        <f>_xlfn.LET(_xlpm.x,VLOOKUP($B62,augment_header!$B$2:$G$72,2,FALSE),IF(_xlpm.x="","",_xlpm.x))</f>
        <v>任务完成描述键</v>
      </c>
      <c r="D62" s="4" t="str">
        <f>IF(VLOOKUP($B62,augment_header!$B$2:$G$72,3,FALSE)="√","√","")</f>
        <v>√</v>
      </c>
      <c r="E62" s="4" t="str">
        <f>IF(VLOOKUP($B62,augment_header!$B$2:$G$72,4,FALSE)="√","√","")</f>
        <v/>
      </c>
      <c r="F62" s="4" t="str">
        <f>_xlfn.LET(_xlpm.x,VLOOKUP($B62,augment_header!$B$2:$G$72,5,FALSE),IF(_xlpm.x="","",_xlpm.x))</f>
        <v/>
      </c>
      <c r="G62">
        <v>40</v>
      </c>
    </row>
    <row r="63" spans="1:7" ht="15" x14ac:dyDescent="0.2">
      <c r="A63" s="2">
        <v>61</v>
      </c>
      <c r="B63" s="3" t="s">
        <v>3668</v>
      </c>
      <c r="C63" s="2" t="str">
        <f>_xlfn.LET(_xlpm.x,VLOOKUP($B63,augment_header!$B$2:$G$72,2,FALSE),IF(_xlpm.x="","",_xlpm.x))</f>
        <v>任务栏位图标纹理路径</v>
      </c>
      <c r="D63" s="4" t="str">
        <f>IF(VLOOKUP($B63,augment_header!$B$2:$G$72,3,FALSE)="√","√","")</f>
        <v>√</v>
      </c>
      <c r="E63" s="4" t="str">
        <f>IF(VLOOKUP($B63,augment_header!$B$2:$G$72,4,FALSE)="√","√","")</f>
        <v/>
      </c>
      <c r="F63" s="4" t="str">
        <f>_xlfn.LET(_xlpm.x,VLOOKUP($B63,augment_header!$B$2:$G$72,5,FALSE),IF(_xlpm.x="","",_xlpm.x))</f>
        <v/>
      </c>
      <c r="G63">
        <v>55</v>
      </c>
    </row>
    <row r="64" spans="1:7" ht="15" x14ac:dyDescent="0.2">
      <c r="A64" s="2">
        <v>62</v>
      </c>
      <c r="B64" s="3" t="s">
        <v>3669</v>
      </c>
      <c r="C64" s="2" t="str">
        <f>_xlfn.LET(_xlpm.x,VLOOKUP($B64,augment_header!$B$2:$G$72,2,FALSE),IF(_xlpm.x="","",_xlpm.x))</f>
        <v/>
      </c>
      <c r="D64" s="4" t="str">
        <f>IF(VLOOKUP($B64,augment_header!$B$2:$G$72,3,FALSE)="√","√","")</f>
        <v>√</v>
      </c>
      <c r="E64" s="4" t="str">
        <f>IF(VLOOKUP($B64,augment_header!$B$2:$G$72,4,FALSE)="√","√","")</f>
        <v>√</v>
      </c>
      <c r="F64" s="4" t="b">
        <f>_xlfn.LET(_xlpm.x,VLOOKUP($B64,augment_header!$B$2:$G$72,5,FALSE),IF(_xlpm.x="","",_xlpm.x))</f>
        <v>0</v>
      </c>
      <c r="G64">
        <v>18</v>
      </c>
    </row>
    <row r="65" spans="1:7" ht="15" x14ac:dyDescent="0.2">
      <c r="A65" s="2">
        <v>63</v>
      </c>
      <c r="B65" s="3" t="s">
        <v>3670</v>
      </c>
      <c r="C65" s="2" t="str">
        <f>_xlfn.LET(_xlpm.x,VLOOKUP($B65,augment_header!$B$2:$G$72,2,FALSE),IF(_xlpm.x="","",_xlpm.x))</f>
        <v>任务线里程信息</v>
      </c>
      <c r="D65" s="4" t="str">
        <f>IF(VLOOKUP($B65,augment_header!$B$2:$G$72,3,FALSE)="√","√","")</f>
        <v/>
      </c>
      <c r="E65" s="4" t="str">
        <f>IF(VLOOKUP($B65,augment_header!$B$2:$G$72,4,FALSE)="√","√","")</f>
        <v/>
      </c>
      <c r="F65" s="4" t="str">
        <f>_xlfn.LET(_xlpm.x,VLOOKUP($B65,augment_header!$B$2:$G$72,5,FALSE),IF(_xlpm.x="","",_xlpm.x))</f>
        <v/>
      </c>
    </row>
    <row r="66" spans="1:7" ht="15" x14ac:dyDescent="0.2">
      <c r="A66" s="2">
        <v>64</v>
      </c>
      <c r="B66" s="3" t="s">
        <v>3671</v>
      </c>
      <c r="C66" s="2" t="str">
        <f>_xlfn.LET(_xlpm.x,VLOOKUP($B66,augment_header!$B$2:$G$72,2,FALSE),IF(_xlpm.x="","",_xlpm.x))</f>
        <v>任务线相关强化符文</v>
      </c>
      <c r="D66" s="4" t="str">
        <f>IF(VLOOKUP($B66,augment_header!$B$2:$G$72,3,FALSE)="√","√","")</f>
        <v>√</v>
      </c>
      <c r="E66" s="4" t="str">
        <f>IF(VLOOKUP($B66,augment_header!$B$2:$G$72,4,FALSE)="√","√","")</f>
        <v/>
      </c>
      <c r="F66" s="4" t="str">
        <f>_xlfn.LET(_xlpm.x,VLOOKUP($B66,augment_header!$B$2:$G$72,5,FALSE),IF(_xlpm.x="","",_xlpm.x))</f>
        <v/>
      </c>
      <c r="G66">
        <v>50</v>
      </c>
    </row>
    <row r="67" spans="1:7" ht="15" x14ac:dyDescent="0.2">
      <c r="A67" s="2">
        <v>65</v>
      </c>
      <c r="B67" s="3" t="s">
        <v>3720</v>
      </c>
      <c r="C67" s="2" t="str">
        <f>_xlfn.LET(_xlpm.x,VLOOKUP($B67,augment_header!$B$2:$G$72,2,FALSE),IF(_xlpm.x="","",_xlpm.x))</f>
        <v/>
      </c>
      <c r="D67" s="4" t="str">
        <f>IF(VLOOKUP($B67,augment_header!$B$2:$G$72,3,FALSE)="√","√","")</f>
        <v>√</v>
      </c>
      <c r="E67" s="4" t="str">
        <f>IF(VLOOKUP($B67,augment_header!$B$2:$G$72,4,FALSE)="√","√","")</f>
        <v/>
      </c>
      <c r="F67" s="4" t="b">
        <f>_xlfn.LET(_xlpm.x,VLOOKUP($B67,augment_header!$B$2:$G$72,5,FALSE),IF(_xlpm.x="","",_xlpm.x))</f>
        <v>0</v>
      </c>
      <c r="G67">
        <v>19</v>
      </c>
    </row>
    <row r="68" spans="1:7" ht="15" x14ac:dyDescent="0.2">
      <c r="A68" s="2">
        <v>66</v>
      </c>
      <c r="B68" s="56" t="s">
        <v>3678</v>
      </c>
      <c r="C68" s="2" t="str">
        <f>_xlfn.LET(_xlpm.x,VLOOKUP($B68,augment_header!$B$2:$G$72,2,FALSE),IF(_xlpm.x="","",_xlpm.x))</f>
        <v>任务线对应强化符文名称（中文）</v>
      </c>
      <c r="D68" s="4" t="str">
        <f>IF(VLOOKUP($B68,augment_header!$B$2:$G$72,3,FALSE)="√","√","")</f>
        <v/>
      </c>
      <c r="E68" s="4" t="str">
        <f>IF(VLOOKUP($B68,augment_header!$B$2:$G$72,4,FALSE)="√","√","")</f>
        <v/>
      </c>
      <c r="F68" s="4" t="str">
        <f>_xlfn.LET(_xlpm.x,VLOOKUP($B68,augment_header!$B$2:$G$72,5,FALSE),IF(_xlpm.x="","",_xlpm.x))</f>
        <v/>
      </c>
    </row>
    <row r="69" spans="1:7" ht="15" x14ac:dyDescent="0.2">
      <c r="A69" s="2">
        <v>67</v>
      </c>
      <c r="B69" s="56" t="s">
        <v>3679</v>
      </c>
      <c r="C69" s="2" t="str">
        <f>_xlfn.LET(_xlpm.x,VLOOKUP($B69,augment_header!$B$2:$G$72,2,FALSE),IF(_xlpm.x="","",_xlpm.x))</f>
        <v>任务线对应强化符文名称（英文）</v>
      </c>
      <c r="D69" s="4" t="str">
        <f>IF(VLOOKUP($B69,augment_header!$B$2:$G$72,3,FALSE)="√","√","")</f>
        <v/>
      </c>
      <c r="E69" s="4" t="str">
        <f>IF(VLOOKUP($B69,augment_header!$B$2:$G$72,4,FALSE)="√","√","")</f>
        <v/>
      </c>
      <c r="F69" s="4" t="str">
        <f>_xlfn.LET(_xlpm.x,VLOOKUP($B69,augment_header!$B$2:$G$72,5,FALSE),IF(_xlpm.x="","",_xlpm.x))</f>
        <v/>
      </c>
    </row>
    <row r="70" spans="1:7" ht="15" x14ac:dyDescent="0.2">
      <c r="A70" s="2">
        <v>68</v>
      </c>
      <c r="B70" s="56" t="s">
        <v>3682</v>
      </c>
      <c r="C70" s="2" t="str">
        <f>_xlfn.LET(_xlpm.x,VLOOKUP($B70,augment_header!$B$2:$G$72,2,FALSE),IF(_xlpm.x="","",_xlpm.x))</f>
        <v>任务完成描述（中文）</v>
      </c>
      <c r="D70" s="4" t="str">
        <f>IF(VLOOKUP($B70,augment_header!$B$2:$G$72,3,FALSE)="√","√","")</f>
        <v/>
      </c>
      <c r="E70" s="4" t="str">
        <f>IF(VLOOKUP($B70,augment_header!$B$2:$G$72,4,FALSE)="√","√","")</f>
        <v/>
      </c>
      <c r="F70" s="4" t="str">
        <f>_xlfn.LET(_xlpm.x,VLOOKUP($B70,augment_header!$B$2:$G$72,5,FALSE),IF(_xlpm.x="","",_xlpm.x))</f>
        <v/>
      </c>
      <c r="G70">
        <v>41</v>
      </c>
    </row>
    <row r="71" spans="1:7" ht="15" x14ac:dyDescent="0.2">
      <c r="A71" s="2">
        <v>69</v>
      </c>
      <c r="B71" s="56" t="s">
        <v>3683</v>
      </c>
      <c r="C71" s="2" t="str">
        <f>_xlfn.LET(_xlpm.x,VLOOKUP($B71,augment_header!$B$2:$G$72,2,FALSE),IF(_xlpm.x="","",_xlpm.x))</f>
        <v>任务完成描述（中文/数值转换）</v>
      </c>
      <c r="D71" s="4" t="str">
        <f>IF(VLOOKUP($B71,augment_header!$B$2:$G$72,3,FALSE)="√","√","")</f>
        <v/>
      </c>
      <c r="E71" s="4" t="str">
        <f>IF(VLOOKUP($B71,augment_header!$B$2:$G$72,4,FALSE)="√","√","")</f>
        <v/>
      </c>
      <c r="F71" s="4" t="str">
        <f>_xlfn.LET(_xlpm.x,VLOOKUP($B71,augment_header!$B$2:$G$72,5,FALSE),IF(_xlpm.x="","",_xlpm.x))</f>
        <v/>
      </c>
      <c r="G71">
        <v>42</v>
      </c>
    </row>
    <row r="72" spans="1:7" ht="15" x14ac:dyDescent="0.2">
      <c r="A72" s="2">
        <v>70</v>
      </c>
      <c r="B72" s="56" t="s">
        <v>3688</v>
      </c>
      <c r="C72" s="2" t="str">
        <f>_xlfn.LET(_xlpm.x,VLOOKUP($B72,augment_header!$B$2:$G$72,2,FALSE),IF(_xlpm.x="","",_xlpm.x))</f>
        <v>任务完成描述（英文）</v>
      </c>
      <c r="D72" s="4" t="str">
        <f>IF(VLOOKUP($B72,augment_header!$B$2:$G$72,3,FALSE)="√","√","")</f>
        <v/>
      </c>
      <c r="E72" s="4" t="str">
        <f>IF(VLOOKUP($B72,augment_header!$B$2:$G$72,4,FALSE)="√","√","")</f>
        <v/>
      </c>
      <c r="F72" s="4" t="str">
        <f>_xlfn.LET(_xlpm.x,VLOOKUP($B72,augment_header!$B$2:$G$72,5,FALSE),IF(_xlpm.x="","",_xlpm.x))</f>
        <v/>
      </c>
      <c r="G72">
        <v>43</v>
      </c>
    </row>
    <row r="73" spans="1:7" ht="15" x14ac:dyDescent="0.2">
      <c r="A73" s="2">
        <v>71</v>
      </c>
      <c r="B73" s="56" t="s">
        <v>3689</v>
      </c>
      <c r="C73" s="2" t="str">
        <f>_xlfn.LET(_xlpm.x,VLOOKUP($B73,augment_header!$B$2:$G$72,2,FALSE),IF(_xlpm.x="","",_xlpm.x))</f>
        <v>任务完成描述（英文/数值转换）</v>
      </c>
      <c r="D73" s="4" t="str">
        <f>IF(VLOOKUP($B73,augment_header!$B$2:$G$72,3,FALSE)="√","√","")</f>
        <v/>
      </c>
      <c r="E73" s="4" t="str">
        <f>IF(VLOOKUP($B73,augment_header!$B$2:$G$72,4,FALSE)="√","√","")</f>
        <v/>
      </c>
      <c r="F73" s="4" t="str">
        <f>_xlfn.LET(_xlpm.x,VLOOKUP($B73,augment_header!$B$2:$G$72,5,FALSE),IF(_xlpm.x="","",_xlpm.x))</f>
        <v/>
      </c>
      <c r="G73">
        <v>44</v>
      </c>
    </row>
  </sheetData>
  <sortState xmlns:xlrd2="http://schemas.microsoft.com/office/spreadsheetml/2017/richdata2" ref="A2:G73">
    <sortCondition ref="A1:A73"/>
  </sortState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8F58-759B-4003-B387-45192FD38987}">
  <sheetPr codeName="Sheet36"/>
  <dimension ref="A1:F17"/>
  <sheetViews>
    <sheetView workbookViewId="0"/>
  </sheetViews>
  <sheetFormatPr defaultRowHeight="14.25" x14ac:dyDescent="0.2"/>
  <cols>
    <col min="2" max="2" width="29.375" bestFit="1" customWidth="1"/>
    <col min="3" max="3" width="26.375" bestFit="1" customWidth="1"/>
    <col min="4" max="4" width="14.375" style="4" bestFit="1" customWidth="1"/>
    <col min="5" max="5" width="9" style="4"/>
  </cols>
  <sheetData>
    <row r="1" spans="1:6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21</v>
      </c>
    </row>
    <row r="2" spans="1:6" ht="15" x14ac:dyDescent="0.2">
      <c r="A2">
        <v>0</v>
      </c>
      <c r="B2" s="1" t="s">
        <v>0</v>
      </c>
      <c r="C2" t="s">
        <v>1</v>
      </c>
      <c r="D2" s="4" t="s">
        <v>22</v>
      </c>
      <c r="F2">
        <v>0</v>
      </c>
    </row>
    <row r="3" spans="1:6" ht="15" x14ac:dyDescent="0.2">
      <c r="A3">
        <v>1</v>
      </c>
      <c r="B3" s="6" t="s">
        <v>3641</v>
      </c>
      <c r="C3" t="s">
        <v>3640</v>
      </c>
      <c r="F3">
        <v>2</v>
      </c>
    </row>
    <row r="4" spans="1:6" ht="15" x14ac:dyDescent="0.2">
      <c r="A4">
        <v>2</v>
      </c>
      <c r="B4" s="1" t="s">
        <v>3618</v>
      </c>
      <c r="C4" t="s">
        <v>3619</v>
      </c>
      <c r="D4" s="4" t="s">
        <v>22</v>
      </c>
      <c r="E4" s="4" t="s">
        <v>22</v>
      </c>
      <c r="F4">
        <v>1</v>
      </c>
    </row>
    <row r="5" spans="1:6" ht="15" x14ac:dyDescent="0.2">
      <c r="A5">
        <v>3</v>
      </c>
      <c r="B5" s="1" t="s">
        <v>3620</v>
      </c>
      <c r="D5" s="4" t="s">
        <v>22</v>
      </c>
      <c r="E5" s="4" t="s">
        <v>22</v>
      </c>
      <c r="F5">
        <v>3</v>
      </c>
    </row>
    <row r="6" spans="1:6" ht="15" x14ac:dyDescent="0.2">
      <c r="A6">
        <v>4</v>
      </c>
      <c r="B6" s="1" t="s">
        <v>3621</v>
      </c>
      <c r="C6" t="s">
        <v>3625</v>
      </c>
      <c r="D6" s="4" t="s">
        <v>22</v>
      </c>
      <c r="E6" s="4" t="s">
        <v>22</v>
      </c>
      <c r="F6">
        <v>5</v>
      </c>
    </row>
    <row r="7" spans="1:6" ht="15" x14ac:dyDescent="0.2">
      <c r="A7">
        <v>5</v>
      </c>
      <c r="B7" s="1" t="s">
        <v>3622</v>
      </c>
      <c r="D7" s="4" t="s">
        <v>22</v>
      </c>
      <c r="E7" s="4" t="s">
        <v>22</v>
      </c>
      <c r="F7">
        <v>4</v>
      </c>
    </row>
    <row r="8" spans="1:6" ht="15" x14ac:dyDescent="0.2">
      <c r="A8">
        <v>6</v>
      </c>
      <c r="B8" s="1" t="s">
        <v>3623</v>
      </c>
      <c r="C8" t="s">
        <v>3629</v>
      </c>
      <c r="D8" s="4" t="s">
        <v>22</v>
      </c>
      <c r="E8" s="4" t="s">
        <v>22</v>
      </c>
      <c r="F8">
        <v>10</v>
      </c>
    </row>
    <row r="9" spans="1:6" ht="15" x14ac:dyDescent="0.2">
      <c r="A9">
        <v>7</v>
      </c>
      <c r="B9" s="1" t="s">
        <v>3624</v>
      </c>
      <c r="C9" t="s">
        <v>3626</v>
      </c>
      <c r="D9" s="4" t="s">
        <v>22</v>
      </c>
      <c r="E9" s="4" t="s">
        <v>22</v>
      </c>
      <c r="F9">
        <v>15</v>
      </c>
    </row>
    <row r="10" spans="1:6" ht="15" x14ac:dyDescent="0.2">
      <c r="A10">
        <v>8</v>
      </c>
      <c r="B10" s="6" t="s">
        <v>3627</v>
      </c>
      <c r="C10" t="s">
        <v>3632</v>
      </c>
      <c r="E10" s="4" t="s">
        <v>22</v>
      </c>
      <c r="F10">
        <v>6</v>
      </c>
    </row>
    <row r="11" spans="1:6" ht="15" x14ac:dyDescent="0.2">
      <c r="A11">
        <v>9</v>
      </c>
      <c r="B11" s="6" t="s">
        <v>3642</v>
      </c>
      <c r="C11" t="s">
        <v>3644</v>
      </c>
      <c r="E11" s="4" t="s">
        <v>22</v>
      </c>
      <c r="F11">
        <v>7</v>
      </c>
    </row>
    <row r="12" spans="1:6" ht="15" x14ac:dyDescent="0.2">
      <c r="A12">
        <v>10</v>
      </c>
      <c r="B12" s="6" t="s">
        <v>3628</v>
      </c>
      <c r="C12" t="s">
        <v>3633</v>
      </c>
      <c r="E12" s="4" t="s">
        <v>22</v>
      </c>
      <c r="F12">
        <v>8</v>
      </c>
    </row>
    <row r="13" spans="1:6" ht="15" x14ac:dyDescent="0.2">
      <c r="A13">
        <v>11</v>
      </c>
      <c r="B13" s="6" t="s">
        <v>3643</v>
      </c>
      <c r="C13" t="s">
        <v>3645</v>
      </c>
      <c r="E13" s="4" t="s">
        <v>22</v>
      </c>
      <c r="F13">
        <v>9</v>
      </c>
    </row>
    <row r="14" spans="1:6" ht="15" x14ac:dyDescent="0.2">
      <c r="A14">
        <v>12</v>
      </c>
      <c r="B14" s="6" t="s">
        <v>3630</v>
      </c>
      <c r="C14" t="s">
        <v>3634</v>
      </c>
      <c r="E14" s="4" t="s">
        <v>22</v>
      </c>
      <c r="F14">
        <v>11</v>
      </c>
    </row>
    <row r="15" spans="1:6" ht="15" x14ac:dyDescent="0.2">
      <c r="A15">
        <v>13</v>
      </c>
      <c r="B15" s="6" t="s">
        <v>3636</v>
      </c>
      <c r="C15" t="s">
        <v>3638</v>
      </c>
      <c r="E15" s="4" t="s">
        <v>22</v>
      </c>
      <c r="F15">
        <v>12</v>
      </c>
    </row>
    <row r="16" spans="1:6" ht="15" x14ac:dyDescent="0.2">
      <c r="A16">
        <v>14</v>
      </c>
      <c r="B16" s="6" t="s">
        <v>3631</v>
      </c>
      <c r="C16" t="s">
        <v>3635</v>
      </c>
      <c r="E16" s="4" t="s">
        <v>22</v>
      </c>
      <c r="F16">
        <v>13</v>
      </c>
    </row>
    <row r="17" spans="1:6" ht="15" x14ac:dyDescent="0.2">
      <c r="A17">
        <v>15</v>
      </c>
      <c r="B17" s="6" t="s">
        <v>3637</v>
      </c>
      <c r="C17" t="s">
        <v>3639</v>
      </c>
      <c r="E17" s="4" t="s">
        <v>22</v>
      </c>
      <c r="F17">
        <v>14</v>
      </c>
    </row>
  </sheetData>
  <sortState xmlns:xlrd2="http://schemas.microsoft.com/office/spreadsheetml/2017/richdata2" ref="A2:F17">
    <sortCondition ref="A1:A17"/>
  </sortState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E3F81-9310-44BF-90A4-FF51EB2CBED2}">
  <sheetPr codeName="Sheet8"/>
  <dimension ref="A1:G28"/>
  <sheetViews>
    <sheetView workbookViewId="0"/>
  </sheetViews>
  <sheetFormatPr defaultRowHeight="14.25" x14ac:dyDescent="0.2"/>
  <cols>
    <col min="2" max="2" width="36.125" bestFit="1" customWidth="1"/>
    <col min="3" max="3" width="19.2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G2">
        <v>0</v>
      </c>
    </row>
    <row r="3" spans="1:7" ht="15" x14ac:dyDescent="0.2">
      <c r="A3">
        <v>1</v>
      </c>
      <c r="B3" s="1" t="s">
        <v>437</v>
      </c>
      <c r="C3" t="s">
        <v>1314</v>
      </c>
      <c r="D3" s="4" t="s">
        <v>22</v>
      </c>
      <c r="E3" s="4"/>
      <c r="G3">
        <v>1</v>
      </c>
    </row>
    <row r="4" spans="1:7" ht="15" x14ac:dyDescent="0.2">
      <c r="A4">
        <v>2</v>
      </c>
      <c r="B4" s="1" t="s">
        <v>447</v>
      </c>
      <c r="C4" t="s">
        <v>448</v>
      </c>
      <c r="D4" s="4" t="s">
        <v>22</v>
      </c>
      <c r="E4" s="4" t="s">
        <v>22</v>
      </c>
      <c r="F4" t="b">
        <v>1</v>
      </c>
      <c r="G4">
        <v>3</v>
      </c>
    </row>
    <row r="5" spans="1:7" ht="15" x14ac:dyDescent="0.2">
      <c r="A5">
        <v>3</v>
      </c>
      <c r="B5" s="1" t="s">
        <v>439</v>
      </c>
      <c r="C5" t="s">
        <v>442</v>
      </c>
      <c r="D5" s="4" t="s">
        <v>22</v>
      </c>
      <c r="E5" s="4"/>
      <c r="G5">
        <v>4</v>
      </c>
    </row>
    <row r="6" spans="1:7" ht="15" x14ac:dyDescent="0.2">
      <c r="A6">
        <v>4</v>
      </c>
      <c r="B6" s="1" t="s">
        <v>440</v>
      </c>
      <c r="C6" t="s">
        <v>443</v>
      </c>
      <c r="D6" s="4" t="s">
        <v>22</v>
      </c>
      <c r="E6" s="4"/>
      <c r="G6">
        <v>13</v>
      </c>
    </row>
    <row r="7" spans="1:7" ht="15" x14ac:dyDescent="0.2">
      <c r="A7">
        <v>5</v>
      </c>
      <c r="B7" s="1" t="s">
        <v>441</v>
      </c>
      <c r="C7" t="s">
        <v>1315</v>
      </c>
      <c r="D7" s="4" t="s">
        <v>22</v>
      </c>
      <c r="E7" s="4"/>
      <c r="G7">
        <v>18</v>
      </c>
    </row>
    <row r="8" spans="1:7" ht="15" x14ac:dyDescent="0.2">
      <c r="A8">
        <v>6</v>
      </c>
      <c r="B8" s="1" t="s">
        <v>445</v>
      </c>
      <c r="C8" t="s">
        <v>446</v>
      </c>
      <c r="D8" s="4" t="s">
        <v>22</v>
      </c>
      <c r="E8" s="4"/>
      <c r="G8">
        <v>23</v>
      </c>
    </row>
    <row r="9" spans="1:7" ht="15" x14ac:dyDescent="0.2">
      <c r="A9">
        <v>7</v>
      </c>
      <c r="B9" s="1" t="s">
        <v>449</v>
      </c>
      <c r="C9" t="s">
        <v>1316</v>
      </c>
      <c r="D9" s="4" t="s">
        <v>22</v>
      </c>
      <c r="E9" s="4" t="s">
        <v>22</v>
      </c>
      <c r="G9">
        <v>11</v>
      </c>
    </row>
    <row r="10" spans="1:7" ht="15" x14ac:dyDescent="0.2">
      <c r="A10">
        <v>8</v>
      </c>
      <c r="B10" s="1" t="s">
        <v>451</v>
      </c>
      <c r="C10" t="s">
        <v>452</v>
      </c>
      <c r="D10" s="4" t="s">
        <v>22</v>
      </c>
      <c r="E10" s="4" t="s">
        <v>22</v>
      </c>
      <c r="G10">
        <v>12</v>
      </c>
    </row>
    <row r="11" spans="1:7" ht="15" x14ac:dyDescent="0.2">
      <c r="A11">
        <v>9</v>
      </c>
      <c r="B11" s="1" t="s">
        <v>465</v>
      </c>
      <c r="C11" t="s">
        <v>1317</v>
      </c>
      <c r="D11" s="4" t="s">
        <v>22</v>
      </c>
      <c r="E11" s="4"/>
      <c r="G11">
        <v>25</v>
      </c>
    </row>
    <row r="12" spans="1:7" ht="15" x14ac:dyDescent="0.2">
      <c r="A12">
        <v>10</v>
      </c>
      <c r="B12" s="1" t="s">
        <v>453</v>
      </c>
      <c r="C12" t="s">
        <v>1318</v>
      </c>
      <c r="D12" s="4" t="s">
        <v>22</v>
      </c>
      <c r="E12" s="4"/>
      <c r="G12">
        <v>26</v>
      </c>
    </row>
    <row r="13" spans="1:7" ht="15" x14ac:dyDescent="0.2">
      <c r="A13">
        <v>11</v>
      </c>
      <c r="B13" s="1" t="s">
        <v>455</v>
      </c>
      <c r="C13" t="s">
        <v>1319</v>
      </c>
      <c r="D13" s="4" t="s">
        <v>22</v>
      </c>
      <c r="E13" s="4"/>
      <c r="G13">
        <v>9</v>
      </c>
    </row>
    <row r="14" spans="1:7" ht="15" x14ac:dyDescent="0.2">
      <c r="A14">
        <v>12</v>
      </c>
      <c r="B14" s="1" t="s">
        <v>1330</v>
      </c>
      <c r="C14" t="s">
        <v>1325</v>
      </c>
      <c r="D14" s="4" t="s">
        <v>22</v>
      </c>
      <c r="E14" s="4" t="s">
        <v>22</v>
      </c>
      <c r="G14">
        <v>7</v>
      </c>
    </row>
    <row r="15" spans="1:7" ht="15" x14ac:dyDescent="0.2">
      <c r="A15">
        <v>13</v>
      </c>
      <c r="B15" s="1" t="s">
        <v>1326</v>
      </c>
      <c r="C15" t="s">
        <v>1327</v>
      </c>
      <c r="D15" s="4" t="s">
        <v>22</v>
      </c>
      <c r="E15" s="4"/>
      <c r="G15">
        <v>2</v>
      </c>
    </row>
    <row r="16" spans="1:7" ht="15" x14ac:dyDescent="0.2">
      <c r="A16">
        <v>14</v>
      </c>
      <c r="B16" s="6" t="s">
        <v>467</v>
      </c>
      <c r="C16" t="s">
        <v>474</v>
      </c>
      <c r="D16" s="4"/>
      <c r="E16" s="4"/>
      <c r="G16">
        <v>5</v>
      </c>
    </row>
    <row r="17" spans="1:7" ht="15" x14ac:dyDescent="0.2">
      <c r="A17">
        <v>15</v>
      </c>
      <c r="B17" s="6" t="s">
        <v>470</v>
      </c>
      <c r="C17" t="s">
        <v>475</v>
      </c>
      <c r="D17" s="4"/>
      <c r="E17" s="4"/>
      <c r="G17">
        <v>6</v>
      </c>
    </row>
    <row r="18" spans="1:7" ht="15" x14ac:dyDescent="0.2">
      <c r="A18">
        <v>16</v>
      </c>
      <c r="B18" s="6" t="s">
        <v>468</v>
      </c>
      <c r="C18" t="s">
        <v>476</v>
      </c>
      <c r="D18" s="4"/>
      <c r="E18" s="4"/>
      <c r="G18">
        <v>14</v>
      </c>
    </row>
    <row r="19" spans="1:7" ht="15" x14ac:dyDescent="0.2">
      <c r="A19">
        <v>17</v>
      </c>
      <c r="B19" s="6" t="s">
        <v>481</v>
      </c>
      <c r="C19" t="s">
        <v>482</v>
      </c>
      <c r="D19" s="4"/>
      <c r="E19" s="4"/>
      <c r="G19">
        <v>15</v>
      </c>
    </row>
    <row r="20" spans="1:7" ht="15" x14ac:dyDescent="0.2">
      <c r="A20">
        <v>18</v>
      </c>
      <c r="B20" s="6" t="s">
        <v>471</v>
      </c>
      <c r="C20" t="s">
        <v>477</v>
      </c>
      <c r="D20" s="4"/>
      <c r="E20" s="4"/>
      <c r="G20">
        <v>16</v>
      </c>
    </row>
    <row r="21" spans="1:7" ht="15" x14ac:dyDescent="0.2">
      <c r="A21">
        <v>19</v>
      </c>
      <c r="B21" s="6" t="s">
        <v>483</v>
      </c>
      <c r="C21" t="s">
        <v>484</v>
      </c>
      <c r="D21" s="4"/>
      <c r="E21" s="4"/>
      <c r="G21">
        <v>17</v>
      </c>
    </row>
    <row r="22" spans="1:7" ht="15" x14ac:dyDescent="0.2">
      <c r="A22">
        <v>20</v>
      </c>
      <c r="B22" s="6" t="s">
        <v>469</v>
      </c>
      <c r="C22" t="s">
        <v>1320</v>
      </c>
      <c r="D22" s="4"/>
      <c r="E22" s="4"/>
      <c r="G22">
        <v>19</v>
      </c>
    </row>
    <row r="23" spans="1:7" ht="15" x14ac:dyDescent="0.2">
      <c r="A23">
        <v>21</v>
      </c>
      <c r="B23" s="6" t="s">
        <v>485</v>
      </c>
      <c r="C23" t="s">
        <v>1321</v>
      </c>
      <c r="D23" s="4"/>
      <c r="E23" s="4"/>
      <c r="G23">
        <v>20</v>
      </c>
    </row>
    <row r="24" spans="1:7" ht="15" x14ac:dyDescent="0.2">
      <c r="A24">
        <v>22</v>
      </c>
      <c r="B24" s="6" t="s">
        <v>472</v>
      </c>
      <c r="C24" t="s">
        <v>1322</v>
      </c>
      <c r="D24" s="4"/>
      <c r="E24" s="4"/>
      <c r="G24">
        <v>21</v>
      </c>
    </row>
    <row r="25" spans="1:7" ht="15" x14ac:dyDescent="0.2">
      <c r="A25">
        <v>23</v>
      </c>
      <c r="B25" s="6" t="s">
        <v>486</v>
      </c>
      <c r="C25" t="s">
        <v>1323</v>
      </c>
      <c r="D25" s="4"/>
      <c r="E25" s="4"/>
      <c r="G25">
        <v>22</v>
      </c>
    </row>
    <row r="26" spans="1:7" ht="15" x14ac:dyDescent="0.2">
      <c r="A26">
        <v>24</v>
      </c>
      <c r="B26" s="6" t="s">
        <v>462</v>
      </c>
      <c r="C26" t="s">
        <v>1324</v>
      </c>
      <c r="D26" s="4"/>
      <c r="E26" s="4"/>
      <c r="G26">
        <v>10</v>
      </c>
    </row>
    <row r="27" spans="1:7" ht="15" x14ac:dyDescent="0.2">
      <c r="A27">
        <v>25</v>
      </c>
      <c r="B27" s="6" t="s">
        <v>1328</v>
      </c>
      <c r="C27" t="s">
        <v>1329</v>
      </c>
      <c r="D27" s="4"/>
      <c r="E27" s="4" t="s">
        <v>22</v>
      </c>
      <c r="G27">
        <v>8</v>
      </c>
    </row>
    <row r="28" spans="1:7" ht="15" x14ac:dyDescent="0.2">
      <c r="A28">
        <v>26</v>
      </c>
      <c r="B28" s="6" t="s">
        <v>479</v>
      </c>
      <c r="C28" t="s">
        <v>480</v>
      </c>
      <c r="D28" s="4" t="s">
        <v>22</v>
      </c>
      <c r="E28" s="4"/>
      <c r="G28">
        <v>24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D592-81A6-4D84-9A98-02C98560A110}">
  <dimension ref="A1:G19"/>
  <sheetViews>
    <sheetView workbookViewId="0"/>
  </sheetViews>
  <sheetFormatPr defaultRowHeight="14.25" x14ac:dyDescent="0.2"/>
  <cols>
    <col min="2" max="2" width="67.125" bestFit="1" customWidth="1"/>
    <col min="3" max="3" width="23.5" bestFit="1" customWidth="1"/>
    <col min="4" max="4" width="14.375" style="4" bestFit="1" customWidth="1"/>
    <col min="5" max="6" width="9" style="4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855</v>
      </c>
      <c r="C2" t="s">
        <v>856</v>
      </c>
      <c r="D2" s="4" t="s">
        <v>22</v>
      </c>
      <c r="G2">
        <v>0</v>
      </c>
    </row>
    <row r="3" spans="1:7" ht="15" x14ac:dyDescent="0.2">
      <c r="A3">
        <v>1</v>
      </c>
      <c r="B3" s="1" t="s">
        <v>3954</v>
      </c>
      <c r="C3" t="s">
        <v>3976</v>
      </c>
      <c r="D3" s="4" t="s">
        <v>22</v>
      </c>
      <c r="G3">
        <v>2</v>
      </c>
    </row>
    <row r="4" spans="1:7" ht="15" x14ac:dyDescent="0.2">
      <c r="A4">
        <v>2</v>
      </c>
      <c r="B4" s="1" t="s">
        <v>2635</v>
      </c>
      <c r="C4" t="s">
        <v>2711</v>
      </c>
      <c r="D4" s="4" t="s">
        <v>22</v>
      </c>
      <c r="G4">
        <v>1</v>
      </c>
    </row>
    <row r="5" spans="1:7" ht="15" x14ac:dyDescent="0.2">
      <c r="A5">
        <v>3</v>
      </c>
      <c r="B5" s="1" t="s">
        <v>3955</v>
      </c>
      <c r="C5" t="s">
        <v>3956</v>
      </c>
      <c r="D5" s="4" t="s">
        <v>22</v>
      </c>
      <c r="G5">
        <v>3</v>
      </c>
    </row>
    <row r="6" spans="1:7" ht="15" x14ac:dyDescent="0.2">
      <c r="A6">
        <v>4</v>
      </c>
      <c r="B6" s="6" t="s">
        <v>3957</v>
      </c>
      <c r="C6" t="s">
        <v>3958</v>
      </c>
      <c r="G6">
        <v>4</v>
      </c>
    </row>
    <row r="7" spans="1:7" ht="15" x14ac:dyDescent="0.2">
      <c r="A7" s="2">
        <v>5</v>
      </c>
      <c r="B7" s="3" t="s">
        <v>3959</v>
      </c>
      <c r="C7" s="2" t="s">
        <v>3966</v>
      </c>
      <c r="D7" s="4" t="s">
        <v>22</v>
      </c>
      <c r="G7">
        <v>5</v>
      </c>
    </row>
    <row r="8" spans="1:7" ht="15" x14ac:dyDescent="0.2">
      <c r="A8" s="2">
        <v>6</v>
      </c>
      <c r="B8" s="3" t="s">
        <v>3960</v>
      </c>
      <c r="C8" s="2" t="s">
        <v>3967</v>
      </c>
      <c r="D8" s="4" t="s">
        <v>22</v>
      </c>
      <c r="G8">
        <v>6</v>
      </c>
    </row>
    <row r="9" spans="1:7" ht="15" x14ac:dyDescent="0.2">
      <c r="A9" s="2">
        <v>7</v>
      </c>
      <c r="B9" s="3" t="s">
        <v>3961</v>
      </c>
      <c r="C9" s="2" t="s">
        <v>3968</v>
      </c>
      <c r="D9" s="4" t="s">
        <v>22</v>
      </c>
      <c r="G9">
        <v>8</v>
      </c>
    </row>
    <row r="10" spans="1:7" ht="15" x14ac:dyDescent="0.2">
      <c r="A10" s="2">
        <v>8</v>
      </c>
      <c r="B10" s="3" t="s">
        <v>3962</v>
      </c>
      <c r="C10" s="2" t="s">
        <v>3969</v>
      </c>
      <c r="D10" s="4" t="s">
        <v>22</v>
      </c>
      <c r="G10">
        <v>7</v>
      </c>
    </row>
    <row r="11" spans="1:7" ht="15" x14ac:dyDescent="0.2">
      <c r="A11" s="2">
        <v>9</v>
      </c>
      <c r="B11" s="3" t="s">
        <v>3963</v>
      </c>
      <c r="C11" s="2" t="s">
        <v>3970</v>
      </c>
      <c r="D11" s="4" t="s">
        <v>22</v>
      </c>
      <c r="G11">
        <v>9</v>
      </c>
    </row>
    <row r="12" spans="1:7" ht="15" x14ac:dyDescent="0.2">
      <c r="A12" s="2">
        <v>10</v>
      </c>
      <c r="B12" s="3" t="s">
        <v>3964</v>
      </c>
      <c r="C12" s="2" t="s">
        <v>3971</v>
      </c>
      <c r="D12" s="4" t="s">
        <v>22</v>
      </c>
      <c r="G12">
        <v>10</v>
      </c>
    </row>
    <row r="13" spans="1:7" ht="15" x14ac:dyDescent="0.2">
      <c r="A13" s="2">
        <v>11</v>
      </c>
      <c r="B13" s="3" t="s">
        <v>3965</v>
      </c>
      <c r="C13" s="2" t="s">
        <v>4055</v>
      </c>
      <c r="D13" s="4" t="s">
        <v>22</v>
      </c>
      <c r="G13">
        <v>13</v>
      </c>
    </row>
    <row r="14" spans="1:7" ht="15" x14ac:dyDescent="0.2">
      <c r="A14" s="2">
        <v>12</v>
      </c>
      <c r="B14" s="56" t="s">
        <v>4048</v>
      </c>
      <c r="C14" s="2" t="s">
        <v>4058</v>
      </c>
      <c r="G14">
        <v>14</v>
      </c>
    </row>
    <row r="15" spans="1:7" ht="15" x14ac:dyDescent="0.2">
      <c r="A15" s="2">
        <v>13</v>
      </c>
      <c r="B15" s="56" t="s">
        <v>4050</v>
      </c>
      <c r="C15" s="2" t="s">
        <v>4059</v>
      </c>
      <c r="G15">
        <v>15</v>
      </c>
    </row>
    <row r="16" spans="1:7" ht="15" x14ac:dyDescent="0.2">
      <c r="A16" s="2">
        <v>14</v>
      </c>
      <c r="B16" s="56" t="s">
        <v>4052</v>
      </c>
      <c r="C16" s="2" t="s">
        <v>4056</v>
      </c>
      <c r="G16">
        <v>16</v>
      </c>
    </row>
    <row r="17" spans="1:7" ht="15" x14ac:dyDescent="0.2">
      <c r="A17" s="2">
        <v>15</v>
      </c>
      <c r="B17" s="56" t="s">
        <v>4054</v>
      </c>
      <c r="C17" s="2" t="s">
        <v>4057</v>
      </c>
      <c r="G17">
        <v>17</v>
      </c>
    </row>
    <row r="18" spans="1:7" ht="15" x14ac:dyDescent="0.2">
      <c r="A18" s="15">
        <v>16</v>
      </c>
      <c r="B18" s="16" t="s">
        <v>3972</v>
      </c>
      <c r="C18" s="15" t="s">
        <v>3974</v>
      </c>
      <c r="D18" s="4" t="s">
        <v>22</v>
      </c>
      <c r="G18">
        <v>12</v>
      </c>
    </row>
    <row r="19" spans="1:7" ht="15" x14ac:dyDescent="0.2">
      <c r="A19" s="15">
        <v>17</v>
      </c>
      <c r="B19" s="16" t="s">
        <v>3973</v>
      </c>
      <c r="C19" s="15" t="s">
        <v>3975</v>
      </c>
      <c r="D19" s="4" t="s">
        <v>22</v>
      </c>
      <c r="G19">
        <v>11</v>
      </c>
    </row>
  </sheetData>
  <sortState xmlns:xlrd2="http://schemas.microsoft.com/office/spreadsheetml/2017/richdata2" ref="A2:G19">
    <sortCondition ref="A1:A19"/>
  </sortState>
  <phoneticPr fontId="2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3A2C-774D-4142-AE88-2F2FBE0D5AB6}">
  <dimension ref="A1:G20"/>
  <sheetViews>
    <sheetView workbookViewId="0"/>
  </sheetViews>
  <sheetFormatPr defaultRowHeight="14.25" x14ac:dyDescent="0.2"/>
  <cols>
    <col min="2" max="2" width="67.125" bestFit="1" customWidth="1"/>
    <col min="3" max="3" width="23.5" bestFit="1" customWidth="1"/>
    <col min="4" max="4" width="14.375" style="4" bestFit="1" customWidth="1"/>
    <col min="5" max="6" width="9" style="4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6" t="s">
        <v>3952</v>
      </c>
      <c r="C2" t="s">
        <v>3953</v>
      </c>
      <c r="D2" s="4" t="s">
        <v>22</v>
      </c>
      <c r="G2">
        <v>0</v>
      </c>
    </row>
    <row r="3" spans="1:7" ht="15" x14ac:dyDescent="0.2">
      <c r="A3">
        <v>1</v>
      </c>
      <c r="B3" s="1" t="s">
        <v>855</v>
      </c>
      <c r="C3" t="str">
        <f>_xlfn.LET(_xlpm.x,VLOOKUP($B3,progressTrack_header!$B$2:$G$19,2,FALSE),IF(_xlpm.x="","",_xlpm.x))</f>
        <v>主键</v>
      </c>
      <c r="D3" s="4" t="str">
        <f>IF(VLOOKUP($B3,progressTrack_header!$B$2:$G$19,3,FALSE)="√","√","")</f>
        <v>√</v>
      </c>
      <c r="E3" s="4" t="str">
        <f>IF(VLOOKUP($B3,progressTrack_header!$B$2:$G$19,4,FALSE)="√","√","")</f>
        <v/>
      </c>
      <c r="F3" s="4" t="str">
        <f>_xlfn.LET(_xlpm.x,VLOOKUP($B3,progressTrack_header!$B$2:$G$19,5,FALSE),IF(_xlpm.x="","",_xlpm.x))</f>
        <v/>
      </c>
      <c r="G3">
        <v>1</v>
      </c>
    </row>
    <row r="4" spans="1:7" ht="15" x14ac:dyDescent="0.2">
      <c r="A4">
        <v>2</v>
      </c>
      <c r="B4" s="1" t="s">
        <v>3954</v>
      </c>
      <c r="C4" t="str">
        <f>_xlfn.LET(_xlpm.x,VLOOKUP($B4,progressTrack_header!$B$2:$G$19,2,FALSE),IF(_xlpm.x="","",_xlpm.x))</f>
        <v>识别码</v>
      </c>
      <c r="D4" s="4" t="str">
        <f>IF(VLOOKUP($B4,progressTrack_header!$B$2:$G$19,3,FALSE)="√","√","")</f>
        <v>√</v>
      </c>
      <c r="G4">
        <v>3</v>
      </c>
    </row>
    <row r="5" spans="1:7" ht="15" x14ac:dyDescent="0.2">
      <c r="A5">
        <v>3</v>
      </c>
      <c r="B5" s="1" t="s">
        <v>2635</v>
      </c>
      <c r="C5" t="str">
        <f>_xlfn.LET(_xlpm.x,VLOOKUP($B5,progressTrack_header!$B$2:$G$19,2,FALSE),IF(_xlpm.x="","",_xlpm.x))</f>
        <v>代码</v>
      </c>
      <c r="D5" s="4" t="str">
        <f>IF(VLOOKUP($B5,progressTrack_header!$B$2:$G$19,3,FALSE)="√","√","")</f>
        <v>√</v>
      </c>
      <c r="G5">
        <v>2</v>
      </c>
    </row>
    <row r="6" spans="1:7" ht="15" x14ac:dyDescent="0.2">
      <c r="A6">
        <v>4</v>
      </c>
      <c r="B6" s="1" t="s">
        <v>3955</v>
      </c>
      <c r="C6" t="str">
        <f>_xlfn.LET(_xlpm.x,VLOOKUP($B6,progressTrack_header!$B$2:$G$19,2,FALSE),IF(_xlpm.x="","",_xlpm.x))</f>
        <v>计数器定义主键列表</v>
      </c>
      <c r="D6" s="4" t="str">
        <f>IF(VLOOKUP($B6,progressTrack_header!$B$2:$G$19,3,FALSE)="√","√","")</f>
        <v>√</v>
      </c>
      <c r="G6">
        <v>4</v>
      </c>
    </row>
    <row r="7" spans="1:7" ht="15" x14ac:dyDescent="0.2">
      <c r="A7">
        <v>5</v>
      </c>
      <c r="B7" s="6" t="s">
        <v>3957</v>
      </c>
      <c r="C7" t="str">
        <f>_xlfn.LET(_xlpm.x,VLOOKUP($B7,progressTrack_header!$B$2:$G$19,2,FALSE),IF(_xlpm.x="","",_xlpm.x))</f>
        <v>计数器定义列表</v>
      </c>
      <c r="D7" s="4" t="str">
        <f>IF(VLOOKUP($B7,progressTrack_header!$B$2:$G$19,3,FALSE)="√","√","")</f>
        <v/>
      </c>
      <c r="G7">
        <v>5</v>
      </c>
    </row>
    <row r="8" spans="1:7" ht="15" x14ac:dyDescent="0.2">
      <c r="A8" s="2">
        <v>6</v>
      </c>
      <c r="B8" s="3" t="s">
        <v>3959</v>
      </c>
      <c r="C8" s="2" t="str">
        <f>_xlfn.LET(_xlpm.x,VLOOKUP($B8,progressTrack_header!$B$2:$G$19,2,FALSE),IF(_xlpm.x="","",_xlpm.x))</f>
        <v>里程碑定义序号</v>
      </c>
      <c r="D8" s="4" t="str">
        <f>IF(VLOOKUP($B8,progressTrack_header!$B$2:$G$19,3,FALSE)="√","√","")</f>
        <v>√</v>
      </c>
      <c r="G8">
        <v>6</v>
      </c>
    </row>
    <row r="9" spans="1:7" ht="15" x14ac:dyDescent="0.2">
      <c r="A9" s="2">
        <v>7</v>
      </c>
      <c r="B9" s="3" t="s">
        <v>3960</v>
      </c>
      <c r="C9" s="2" t="str">
        <f>_xlfn.LET(_xlpm.x,VLOOKUP($B9,progressTrack_header!$B$2:$G$19,2,FALSE),IF(_xlpm.x="","",_xlpm.x))</f>
        <v>里程碑定义主键</v>
      </c>
      <c r="D9" s="4" t="str">
        <f>IF(VLOOKUP($B9,progressTrack_header!$B$2:$G$19,3,FALSE)="√","√","")</f>
        <v>√</v>
      </c>
      <c r="G9">
        <v>7</v>
      </c>
    </row>
    <row r="10" spans="1:7" ht="15" x14ac:dyDescent="0.2">
      <c r="A10" s="2">
        <v>8</v>
      </c>
      <c r="B10" s="3" t="s">
        <v>3961</v>
      </c>
      <c r="C10" s="2" t="str">
        <f>_xlfn.LET(_xlpm.x,VLOOKUP($B10,progressTrack_header!$B$2:$G$19,2,FALSE),IF(_xlpm.x="","",_xlpm.x))</f>
        <v>里程碑识别码</v>
      </c>
      <c r="D10" s="4" t="str">
        <f>IF(VLOOKUP($B10,progressTrack_header!$B$2:$G$19,3,FALSE)="√","√","")</f>
        <v>√</v>
      </c>
      <c r="G10">
        <v>9</v>
      </c>
    </row>
    <row r="11" spans="1:7" ht="15" x14ac:dyDescent="0.2">
      <c r="A11" s="2">
        <v>9</v>
      </c>
      <c r="B11" s="3" t="s">
        <v>3962</v>
      </c>
      <c r="C11" s="2" t="str">
        <f>_xlfn.LET(_xlpm.x,VLOOKUP($B11,progressTrack_header!$B$2:$G$19,2,FALSE),IF(_xlpm.x="","",_xlpm.x))</f>
        <v>里程碑代码</v>
      </c>
      <c r="D11" s="4" t="str">
        <f>IF(VLOOKUP($B11,progressTrack_header!$B$2:$G$19,3,FALSE)="√","√","")</f>
        <v>√</v>
      </c>
      <c r="G11">
        <v>8</v>
      </c>
    </row>
    <row r="12" spans="1:7" ht="15" x14ac:dyDescent="0.2">
      <c r="A12" s="2">
        <v>10</v>
      </c>
      <c r="B12" s="3" t="s">
        <v>3963</v>
      </c>
      <c r="C12" s="2" t="str">
        <f>_xlfn.LET(_xlpm.x,VLOOKUP($B12,progressTrack_header!$B$2:$G$19,2,FALSE),IF(_xlpm.x="","",_xlpm.x))</f>
        <v>里程碑触发值</v>
      </c>
      <c r="D12" s="4" t="str">
        <f>IF(VLOOKUP($B12,progressTrack_header!$B$2:$G$19,3,FALSE)="√","√","")</f>
        <v>√</v>
      </c>
      <c r="G12">
        <v>10</v>
      </c>
    </row>
    <row r="13" spans="1:7" ht="15" x14ac:dyDescent="0.2">
      <c r="A13" s="2">
        <v>11</v>
      </c>
      <c r="B13" s="3" t="s">
        <v>3964</v>
      </c>
      <c r="C13" s="2" t="str">
        <f>_xlfn.LET(_xlpm.x,VLOOKUP($B13,progressTrack_header!$B$2:$G$19,2,FALSE),IF(_xlpm.x="","",_xlpm.x))</f>
        <v>里程碑计数器主键</v>
      </c>
      <c r="D13" s="4" t="str">
        <f>IF(VLOOKUP($B13,progressTrack_header!$B$2:$G$19,3,FALSE)="√","√","")</f>
        <v>√</v>
      </c>
      <c r="G13">
        <v>11</v>
      </c>
    </row>
    <row r="14" spans="1:7" ht="15" x14ac:dyDescent="0.2">
      <c r="A14" s="2">
        <v>12</v>
      </c>
      <c r="B14" s="3" t="s">
        <v>3965</v>
      </c>
      <c r="C14" s="2" t="str">
        <f>_xlfn.LET(_xlpm.x,VLOOKUP($B14,progressTrack_header!$B$2:$G$19,2,FALSE),IF(_xlpm.x="","",_xlpm.x))</f>
        <v>里程碑属性主键列表</v>
      </c>
      <c r="D14" s="4" t="str">
        <f>IF(VLOOKUP($B14,progressTrack_header!$B$2:$G$19,3,FALSE)="√","√","")</f>
        <v>√</v>
      </c>
      <c r="G14">
        <v>14</v>
      </c>
    </row>
    <row r="15" spans="1:7" ht="15" x14ac:dyDescent="0.2">
      <c r="A15" s="2">
        <v>13</v>
      </c>
      <c r="B15" s="56" t="s">
        <v>4047</v>
      </c>
      <c r="C15" s="2" t="str">
        <f>_xlfn.LET(_xlpm.x,VLOOKUP($B15,progressTrack_header!$B$2:$G$19,2,FALSE),IF(_xlpm.x="","",_xlpm.x))</f>
        <v>奖励分组名称（中文）</v>
      </c>
      <c r="D15" s="4" t="str">
        <f>IF(VLOOKUP($B15,progressTrack_header!$B$2:$G$19,3,FALSE)="√","√","")</f>
        <v/>
      </c>
      <c r="G15">
        <v>15</v>
      </c>
    </row>
    <row r="16" spans="1:7" ht="15" x14ac:dyDescent="0.2">
      <c r="A16" s="2">
        <v>14</v>
      </c>
      <c r="B16" s="56" t="s">
        <v>4049</v>
      </c>
      <c r="C16" s="2" t="str">
        <f>_xlfn.LET(_xlpm.x,VLOOKUP($B16,progressTrack_header!$B$2:$G$19,2,FALSE),IF(_xlpm.x="","",_xlpm.x))</f>
        <v>奖励分组名称（英文）</v>
      </c>
      <c r="D16" s="4" t="str">
        <f>IF(VLOOKUP($B16,progressTrack_header!$B$2:$G$19,3,FALSE)="√","√","")</f>
        <v/>
      </c>
      <c r="G16">
        <v>16</v>
      </c>
    </row>
    <row r="17" spans="1:7" ht="15" x14ac:dyDescent="0.2">
      <c r="A17" s="2">
        <v>15</v>
      </c>
      <c r="B17" s="56" t="s">
        <v>4051</v>
      </c>
      <c r="C17" s="2" t="str">
        <f>_xlfn.LET(_xlpm.x,VLOOKUP($B17,progressTrack_header!$B$2:$G$19,2,FALSE),IF(_xlpm.x="","",_xlpm.x))</f>
        <v>里程碑奖励（中文）</v>
      </c>
      <c r="D17" s="4" t="str">
        <f>IF(VLOOKUP($B17,progressTrack_header!$B$2:$G$19,3,FALSE)="√","√","")</f>
        <v/>
      </c>
      <c r="G17">
        <v>17</v>
      </c>
    </row>
    <row r="18" spans="1:7" ht="15" x14ac:dyDescent="0.2">
      <c r="A18" s="2">
        <v>16</v>
      </c>
      <c r="B18" s="56" t="s">
        <v>4053</v>
      </c>
      <c r="C18" s="2" t="str">
        <f>_xlfn.LET(_xlpm.x,VLOOKUP($B18,progressTrack_header!$B$2:$G$19,2,FALSE),IF(_xlpm.x="","",_xlpm.x))</f>
        <v>里程碑奖励（英文）</v>
      </c>
      <c r="D18" s="4" t="str">
        <f>IF(VLOOKUP($B18,progressTrack_header!$B$2:$G$19,3,FALSE)="√","√","")</f>
        <v/>
      </c>
      <c r="G18">
        <v>18</v>
      </c>
    </row>
    <row r="19" spans="1:7" ht="15" x14ac:dyDescent="0.2">
      <c r="A19" s="15">
        <v>17</v>
      </c>
      <c r="B19" s="16" t="s">
        <v>3972</v>
      </c>
      <c r="C19" s="15" t="str">
        <f>_xlfn.LET(_xlpm.x,VLOOKUP($B19,progressTrack_header!$B$2:$G$19,2,FALSE),IF(_xlpm.x="","",_xlpm.x))</f>
        <v>里程碑计数器识别码</v>
      </c>
      <c r="D19" s="4" t="str">
        <f>IF(VLOOKUP($B19,progressTrack_header!$B$2:$G$19,3,FALSE)="√","√","")</f>
        <v>√</v>
      </c>
      <c r="G19">
        <v>13</v>
      </c>
    </row>
    <row r="20" spans="1:7" ht="15" x14ac:dyDescent="0.2">
      <c r="A20" s="15">
        <v>18</v>
      </c>
      <c r="B20" s="16" t="s">
        <v>3973</v>
      </c>
      <c r="C20" s="15" t="str">
        <f>_xlfn.LET(_xlpm.x,VLOOKUP($B20,progressTrack_header!$B$2:$G$19,2,FALSE),IF(_xlpm.x="","",_xlpm.x))</f>
        <v>里程碑计数器代码</v>
      </c>
      <c r="D20" s="4" t="str">
        <f>IF(VLOOKUP($B20,progressTrack_header!$B$2:$G$19,3,FALSE)="√","√","")</f>
        <v>√</v>
      </c>
      <c r="G20">
        <v>12</v>
      </c>
    </row>
  </sheetData>
  <sortState xmlns:xlrd2="http://schemas.microsoft.com/office/spreadsheetml/2017/richdata2" ref="A2:G20">
    <sortCondition ref="A1:A20"/>
  </sortState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7193-3FED-405D-8B78-6E8DE855D9B1}">
  <dimension ref="A1:G26"/>
  <sheetViews>
    <sheetView workbookViewId="0"/>
  </sheetViews>
  <sheetFormatPr defaultRowHeight="14.25" x14ac:dyDescent="0.2"/>
  <cols>
    <col min="2" max="2" width="49.375" bestFit="1" customWidth="1"/>
    <col min="3" max="3" width="23.5" bestFit="1" customWidth="1"/>
    <col min="4" max="4" width="14.375" style="4" bestFit="1" customWidth="1"/>
    <col min="5" max="6" width="9" style="4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855</v>
      </c>
      <c r="C2" t="s">
        <v>856</v>
      </c>
      <c r="D2" s="4" t="s">
        <v>22</v>
      </c>
      <c r="G2">
        <v>0</v>
      </c>
    </row>
    <row r="3" spans="1:7" ht="15" x14ac:dyDescent="0.2">
      <c r="A3">
        <v>1</v>
      </c>
      <c r="B3" s="1" t="s">
        <v>3954</v>
      </c>
      <c r="C3" t="s">
        <v>3976</v>
      </c>
      <c r="G3">
        <v>5</v>
      </c>
    </row>
    <row r="4" spans="1:7" ht="15" x14ac:dyDescent="0.2">
      <c r="A4">
        <v>2</v>
      </c>
      <c r="B4" s="1" t="s">
        <v>3977</v>
      </c>
      <c r="C4" t="s">
        <v>3991</v>
      </c>
      <c r="G4">
        <v>4</v>
      </c>
    </row>
    <row r="5" spans="1:7" ht="15" x14ac:dyDescent="0.2">
      <c r="A5">
        <v>3</v>
      </c>
      <c r="B5" s="1" t="s">
        <v>3978</v>
      </c>
      <c r="C5" t="s">
        <v>442</v>
      </c>
      <c r="E5" s="4" t="s">
        <v>22</v>
      </c>
      <c r="G5">
        <v>1</v>
      </c>
    </row>
    <row r="6" spans="1:7" ht="15" x14ac:dyDescent="0.2">
      <c r="A6">
        <v>4</v>
      </c>
      <c r="B6" s="1" t="s">
        <v>3979</v>
      </c>
      <c r="C6" t="s">
        <v>3994</v>
      </c>
      <c r="E6" s="4" t="s">
        <v>22</v>
      </c>
      <c r="G6">
        <v>6</v>
      </c>
    </row>
    <row r="7" spans="1:7" ht="15" x14ac:dyDescent="0.2">
      <c r="A7">
        <v>5</v>
      </c>
      <c r="B7" s="1" t="s">
        <v>3980</v>
      </c>
      <c r="C7" t="s">
        <v>3998</v>
      </c>
      <c r="E7" s="4" t="s">
        <v>22</v>
      </c>
      <c r="G7">
        <v>7</v>
      </c>
    </row>
    <row r="8" spans="1:7" ht="15" x14ac:dyDescent="0.2">
      <c r="A8">
        <v>6</v>
      </c>
      <c r="B8" s="1" t="s">
        <v>3981</v>
      </c>
      <c r="C8" t="s">
        <v>3999</v>
      </c>
      <c r="G8">
        <v>8</v>
      </c>
    </row>
    <row r="9" spans="1:7" ht="15" x14ac:dyDescent="0.2">
      <c r="A9">
        <v>7</v>
      </c>
      <c r="B9" s="1" t="s">
        <v>3982</v>
      </c>
      <c r="C9" t="s">
        <v>4000</v>
      </c>
      <c r="G9">
        <v>9</v>
      </c>
    </row>
    <row r="10" spans="1:7" ht="15" x14ac:dyDescent="0.2">
      <c r="A10">
        <v>8</v>
      </c>
      <c r="B10" s="6" t="s">
        <v>3992</v>
      </c>
      <c r="C10" t="s">
        <v>474</v>
      </c>
      <c r="G10">
        <v>2</v>
      </c>
    </row>
    <row r="11" spans="1:7" ht="15" x14ac:dyDescent="0.2">
      <c r="A11">
        <v>9</v>
      </c>
      <c r="B11" s="6" t="s">
        <v>3993</v>
      </c>
      <c r="C11" t="s">
        <v>475</v>
      </c>
      <c r="G11">
        <v>3</v>
      </c>
    </row>
    <row r="12" spans="1:7" ht="15" x14ac:dyDescent="0.2">
      <c r="A12" s="2">
        <v>10</v>
      </c>
      <c r="B12" s="3" t="s">
        <v>3983</v>
      </c>
      <c r="C12" s="2" t="s">
        <v>4001</v>
      </c>
      <c r="G12">
        <v>10</v>
      </c>
    </row>
    <row r="13" spans="1:7" ht="15" x14ac:dyDescent="0.2">
      <c r="A13" s="2">
        <v>11</v>
      </c>
      <c r="B13" s="3" t="s">
        <v>3984</v>
      </c>
      <c r="C13" s="2" t="s">
        <v>4002</v>
      </c>
      <c r="G13">
        <v>12</v>
      </c>
    </row>
    <row r="14" spans="1:7" ht="15" x14ac:dyDescent="0.2">
      <c r="A14" s="2">
        <v>12</v>
      </c>
      <c r="B14" s="3" t="s">
        <v>3985</v>
      </c>
      <c r="C14" s="2" t="s">
        <v>4007</v>
      </c>
      <c r="G14">
        <v>18</v>
      </c>
    </row>
    <row r="15" spans="1:7" ht="15" x14ac:dyDescent="0.2">
      <c r="A15" s="2">
        <v>13</v>
      </c>
      <c r="B15" s="3" t="s">
        <v>3986</v>
      </c>
      <c r="C15" s="2" t="s">
        <v>4012</v>
      </c>
      <c r="E15" s="4" t="s">
        <v>22</v>
      </c>
      <c r="G15">
        <v>16</v>
      </c>
    </row>
    <row r="16" spans="1:7" ht="15" x14ac:dyDescent="0.2">
      <c r="A16" s="2">
        <v>14</v>
      </c>
      <c r="B16" s="3" t="s">
        <v>3987</v>
      </c>
      <c r="C16" s="2" t="s">
        <v>4013</v>
      </c>
      <c r="E16" s="4" t="s">
        <v>22</v>
      </c>
      <c r="G16">
        <v>15</v>
      </c>
    </row>
    <row r="17" spans="1:7" ht="15" x14ac:dyDescent="0.2">
      <c r="A17" s="2">
        <v>15</v>
      </c>
      <c r="B17" s="3" t="s">
        <v>3988</v>
      </c>
      <c r="C17" s="2"/>
      <c r="E17" s="4" t="s">
        <v>22</v>
      </c>
      <c r="G17">
        <v>17</v>
      </c>
    </row>
    <row r="18" spans="1:7" ht="15" x14ac:dyDescent="0.2">
      <c r="A18" s="2">
        <v>16</v>
      </c>
      <c r="B18" s="3" t="s">
        <v>3989</v>
      </c>
      <c r="C18" s="2" t="s">
        <v>4014</v>
      </c>
      <c r="E18" s="4" t="s">
        <v>22</v>
      </c>
      <c r="G18">
        <v>21</v>
      </c>
    </row>
    <row r="19" spans="1:7" ht="15" x14ac:dyDescent="0.2">
      <c r="A19" s="2">
        <v>17</v>
      </c>
      <c r="B19" s="3" t="s">
        <v>3990</v>
      </c>
      <c r="C19" s="2" t="s">
        <v>4018</v>
      </c>
      <c r="G19">
        <v>11</v>
      </c>
    </row>
    <row r="20" spans="1:7" ht="15" x14ac:dyDescent="0.2">
      <c r="A20" s="2">
        <v>18</v>
      </c>
      <c r="B20" s="3" t="s">
        <v>3995</v>
      </c>
      <c r="C20" s="2" t="s">
        <v>4017</v>
      </c>
    </row>
    <row r="21" spans="1:7" ht="15" x14ac:dyDescent="0.2">
      <c r="A21" s="2">
        <v>19</v>
      </c>
      <c r="B21" s="3" t="s">
        <v>3996</v>
      </c>
      <c r="C21" s="2" t="s">
        <v>4016</v>
      </c>
      <c r="E21" s="4" t="s">
        <v>22</v>
      </c>
      <c r="G21">
        <v>23</v>
      </c>
    </row>
    <row r="22" spans="1:7" ht="15" x14ac:dyDescent="0.2">
      <c r="A22" s="2">
        <v>20</v>
      </c>
      <c r="B22" s="3" t="s">
        <v>3997</v>
      </c>
      <c r="C22" s="2" t="s">
        <v>4015</v>
      </c>
      <c r="G22">
        <v>22</v>
      </c>
    </row>
    <row r="23" spans="1:7" ht="15" x14ac:dyDescent="0.2">
      <c r="A23" s="2">
        <v>21</v>
      </c>
      <c r="B23" s="56" t="s">
        <v>4003</v>
      </c>
      <c r="C23" s="2" t="s">
        <v>4005</v>
      </c>
      <c r="G23">
        <v>13</v>
      </c>
    </row>
    <row r="24" spans="1:7" ht="15" x14ac:dyDescent="0.2">
      <c r="A24" s="2">
        <v>22</v>
      </c>
      <c r="B24" s="56" t="s">
        <v>4004</v>
      </c>
      <c r="C24" s="2" t="s">
        <v>4006</v>
      </c>
      <c r="G24">
        <v>14</v>
      </c>
    </row>
    <row r="25" spans="1:7" ht="15" x14ac:dyDescent="0.2">
      <c r="A25" s="2">
        <v>23</v>
      </c>
      <c r="B25" s="56" t="s">
        <v>4008</v>
      </c>
      <c r="C25" s="2" t="s">
        <v>4010</v>
      </c>
      <c r="G25">
        <v>19</v>
      </c>
    </row>
    <row r="26" spans="1:7" ht="15" x14ac:dyDescent="0.2">
      <c r="A26" s="2">
        <v>24</v>
      </c>
      <c r="B26" s="56" t="s">
        <v>4009</v>
      </c>
      <c r="C26" s="2" t="s">
        <v>4011</v>
      </c>
      <c r="G26">
        <v>20</v>
      </c>
    </row>
  </sheetData>
  <sortState xmlns:xlrd2="http://schemas.microsoft.com/office/spreadsheetml/2017/richdata2" ref="A2:G26">
    <sortCondition ref="A1:A26"/>
  </sortState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7A43-829B-4FAF-96C6-62808F5CCF26}">
  <dimension ref="A1:G20"/>
  <sheetViews>
    <sheetView workbookViewId="0"/>
  </sheetViews>
  <sheetFormatPr defaultRowHeight="14.25" x14ac:dyDescent="0.2"/>
  <cols>
    <col min="2" max="2" width="49.375" bestFit="1" customWidth="1"/>
    <col min="3" max="3" width="23.5" bestFit="1" customWidth="1"/>
    <col min="4" max="4" width="14.375" style="4" bestFit="1" customWidth="1"/>
    <col min="5" max="6" width="9" style="4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855</v>
      </c>
      <c r="C2" t="s">
        <v>856</v>
      </c>
      <c r="D2" s="4" t="s">
        <v>22</v>
      </c>
      <c r="G2">
        <v>1</v>
      </c>
    </row>
    <row r="3" spans="1:7" ht="15" x14ac:dyDescent="0.2">
      <c r="A3">
        <v>1</v>
      </c>
      <c r="B3" s="1" t="s">
        <v>4019</v>
      </c>
      <c r="C3" t="s">
        <v>4020</v>
      </c>
      <c r="G3">
        <v>2</v>
      </c>
    </row>
    <row r="4" spans="1:7" ht="15" x14ac:dyDescent="0.2">
      <c r="A4">
        <v>2</v>
      </c>
      <c r="B4" s="1" t="s">
        <v>4021</v>
      </c>
      <c r="C4" t="s">
        <v>4022</v>
      </c>
      <c r="G4">
        <v>3</v>
      </c>
    </row>
    <row r="5" spans="1:7" ht="15" x14ac:dyDescent="0.2">
      <c r="A5">
        <v>3</v>
      </c>
      <c r="B5" s="6" t="s">
        <v>3952</v>
      </c>
      <c r="C5" t="s">
        <v>3953</v>
      </c>
      <c r="G5">
        <v>0</v>
      </c>
    </row>
    <row r="6" spans="1:7" ht="15" x14ac:dyDescent="0.2">
      <c r="A6" s="2">
        <v>4</v>
      </c>
      <c r="B6" s="3" t="s">
        <v>3928</v>
      </c>
      <c r="C6" s="2" t="s">
        <v>4040</v>
      </c>
      <c r="G6">
        <v>4</v>
      </c>
    </row>
    <row r="7" spans="1:7" ht="15" x14ac:dyDescent="0.2">
      <c r="A7" s="2">
        <v>5</v>
      </c>
      <c r="B7" s="3" t="s">
        <v>3929</v>
      </c>
      <c r="C7" s="2" t="s">
        <v>4041</v>
      </c>
      <c r="G7">
        <v>5</v>
      </c>
    </row>
    <row r="8" spans="1:7" ht="15" x14ac:dyDescent="0.2">
      <c r="A8" s="2">
        <v>6</v>
      </c>
      <c r="B8" s="3" t="s">
        <v>4023</v>
      </c>
      <c r="C8" s="2"/>
      <c r="G8">
        <v>6</v>
      </c>
    </row>
    <row r="9" spans="1:7" ht="15" x14ac:dyDescent="0.2">
      <c r="A9" s="2">
        <v>7</v>
      </c>
      <c r="B9" s="3" t="s">
        <v>4024</v>
      </c>
      <c r="C9" s="2" t="s">
        <v>4034</v>
      </c>
      <c r="G9">
        <v>10</v>
      </c>
    </row>
    <row r="10" spans="1:7" ht="15" x14ac:dyDescent="0.2">
      <c r="A10" s="2">
        <v>8</v>
      </c>
      <c r="B10" s="3" t="s">
        <v>4025</v>
      </c>
      <c r="C10" s="2" t="s">
        <v>4029</v>
      </c>
      <c r="G10">
        <v>8</v>
      </c>
    </row>
    <row r="11" spans="1:7" ht="15" x14ac:dyDescent="0.2">
      <c r="A11" s="2">
        <v>9</v>
      </c>
      <c r="B11" s="3" t="s">
        <v>4027</v>
      </c>
      <c r="C11" s="2"/>
      <c r="G11">
        <v>7</v>
      </c>
    </row>
    <row r="12" spans="1:7" ht="15" x14ac:dyDescent="0.2">
      <c r="A12" s="2">
        <v>10</v>
      </c>
      <c r="B12" s="3" t="s">
        <v>4026</v>
      </c>
      <c r="C12" s="2" t="s">
        <v>4035</v>
      </c>
      <c r="E12" s="4" t="s">
        <v>22</v>
      </c>
      <c r="G12">
        <v>11</v>
      </c>
    </row>
    <row r="13" spans="1:7" ht="15" x14ac:dyDescent="0.2">
      <c r="A13" s="2">
        <v>11</v>
      </c>
      <c r="B13" s="3" t="s">
        <v>4028</v>
      </c>
      <c r="C13" s="2" t="s">
        <v>4030</v>
      </c>
      <c r="G13">
        <v>9</v>
      </c>
    </row>
    <row r="14" spans="1:7" ht="15" x14ac:dyDescent="0.2">
      <c r="B14" s="1"/>
    </row>
    <row r="15" spans="1:7" ht="15" x14ac:dyDescent="0.2">
      <c r="B15" s="1"/>
    </row>
    <row r="16" spans="1:7" ht="15" x14ac:dyDescent="0.2">
      <c r="B16" s="1"/>
    </row>
    <row r="17" spans="2:2" ht="15" x14ac:dyDescent="0.2">
      <c r="B17" s="6"/>
    </row>
    <row r="18" spans="2:2" ht="15" x14ac:dyDescent="0.2">
      <c r="B18" s="6"/>
    </row>
    <row r="19" spans="2:2" ht="15" x14ac:dyDescent="0.2">
      <c r="B19" s="6"/>
    </row>
    <row r="20" spans="2:2" ht="15" x14ac:dyDescent="0.2">
      <c r="B20" s="6"/>
    </row>
  </sheetData>
  <sortState xmlns:xlrd2="http://schemas.microsoft.com/office/spreadsheetml/2017/richdata2" ref="A2:G13">
    <sortCondition ref="A1:A13"/>
  </sortState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D216-F8B8-4E94-86D9-689E2C79C1E4}">
  <dimension ref="A1:G32"/>
  <sheetViews>
    <sheetView workbookViewId="0"/>
  </sheetViews>
  <sheetFormatPr defaultRowHeight="14.25" x14ac:dyDescent="0.2"/>
  <cols>
    <col min="2" max="2" width="43.875" bestFit="1" customWidth="1"/>
    <col min="3" max="3" width="21.37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855</v>
      </c>
      <c r="C2" t="s">
        <v>4060</v>
      </c>
      <c r="D2" s="4" t="s">
        <v>22</v>
      </c>
      <c r="E2" s="4"/>
      <c r="G2">
        <v>8</v>
      </c>
    </row>
    <row r="3" spans="1:7" ht="15" x14ac:dyDescent="0.2">
      <c r="A3">
        <v>1</v>
      </c>
      <c r="B3" s="1" t="s">
        <v>4079</v>
      </c>
      <c r="D3" s="4" t="s">
        <v>22</v>
      </c>
      <c r="E3" s="4"/>
      <c r="G3">
        <v>9</v>
      </c>
    </row>
    <row r="4" spans="1:7" ht="15" x14ac:dyDescent="0.2">
      <c r="A4">
        <v>2</v>
      </c>
      <c r="B4" s="1" t="s">
        <v>4080</v>
      </c>
      <c r="C4" t="s">
        <v>4061</v>
      </c>
      <c r="D4" s="4" t="s">
        <v>22</v>
      </c>
      <c r="E4" s="4"/>
      <c r="G4">
        <v>13</v>
      </c>
    </row>
    <row r="5" spans="1:7" ht="15" x14ac:dyDescent="0.2">
      <c r="A5">
        <v>3</v>
      </c>
      <c r="B5" s="1" t="s">
        <v>2641</v>
      </c>
      <c r="C5" t="s">
        <v>4062</v>
      </c>
      <c r="D5" s="4" t="s">
        <v>22</v>
      </c>
      <c r="E5" s="4"/>
      <c r="G5">
        <v>19</v>
      </c>
    </row>
    <row r="6" spans="1:7" ht="15" x14ac:dyDescent="0.2">
      <c r="A6">
        <v>4</v>
      </c>
      <c r="B6" s="1" t="s">
        <v>4081</v>
      </c>
      <c r="C6" t="s">
        <v>4036</v>
      </c>
      <c r="D6" s="4" t="s">
        <v>22</v>
      </c>
      <c r="E6" s="4"/>
      <c r="G6">
        <v>26</v>
      </c>
    </row>
    <row r="7" spans="1:7" ht="15" x14ac:dyDescent="0.2">
      <c r="A7">
        <v>5</v>
      </c>
      <c r="B7" s="1" t="s">
        <v>4082</v>
      </c>
      <c r="C7" t="s">
        <v>4044</v>
      </c>
      <c r="D7" s="4" t="s">
        <v>22</v>
      </c>
      <c r="E7" s="4" t="s">
        <v>22</v>
      </c>
      <c r="G7">
        <v>25</v>
      </c>
    </row>
    <row r="8" spans="1:7" ht="15" x14ac:dyDescent="0.2">
      <c r="A8">
        <v>6</v>
      </c>
      <c r="B8" s="1" t="s">
        <v>4083</v>
      </c>
      <c r="C8" t="s">
        <v>4063</v>
      </c>
      <c r="D8" s="4" t="s">
        <v>22</v>
      </c>
      <c r="E8" s="4"/>
      <c r="G8">
        <v>16</v>
      </c>
    </row>
    <row r="9" spans="1:7" ht="15" x14ac:dyDescent="0.2">
      <c r="A9">
        <v>7</v>
      </c>
      <c r="B9" s="1" t="s">
        <v>4084</v>
      </c>
      <c r="C9" t="s">
        <v>4064</v>
      </c>
      <c r="D9" s="4" t="s">
        <v>22</v>
      </c>
      <c r="E9" s="4"/>
      <c r="G9">
        <v>22</v>
      </c>
    </row>
    <row r="10" spans="1:7" ht="15" x14ac:dyDescent="0.2">
      <c r="A10">
        <v>8</v>
      </c>
      <c r="B10" s="1" t="s">
        <v>4085</v>
      </c>
      <c r="D10" s="4" t="s">
        <v>22</v>
      </c>
      <c r="E10" s="4"/>
      <c r="F10" t="b">
        <v>0</v>
      </c>
      <c r="G10">
        <v>10</v>
      </c>
    </row>
    <row r="11" spans="1:7" ht="15" x14ac:dyDescent="0.2">
      <c r="A11">
        <v>9</v>
      </c>
      <c r="B11" s="1" t="s">
        <v>4086</v>
      </c>
      <c r="D11" s="4" t="s">
        <v>22</v>
      </c>
      <c r="E11" s="4"/>
      <c r="F11" t="b">
        <v>0</v>
      </c>
      <c r="G11">
        <v>11</v>
      </c>
    </row>
    <row r="12" spans="1:7" ht="15" x14ac:dyDescent="0.2">
      <c r="A12">
        <v>10</v>
      </c>
      <c r="B12" s="1" t="s">
        <v>4087</v>
      </c>
      <c r="C12" t="s">
        <v>4065</v>
      </c>
      <c r="D12" s="4" t="s">
        <v>22</v>
      </c>
      <c r="E12" s="4"/>
      <c r="G12">
        <v>12</v>
      </c>
    </row>
    <row r="13" spans="1:7" ht="15" x14ac:dyDescent="0.2">
      <c r="A13">
        <v>11</v>
      </c>
      <c r="B13" s="6" t="s">
        <v>4088</v>
      </c>
      <c r="C13" t="s">
        <v>4066</v>
      </c>
      <c r="D13" s="4"/>
      <c r="E13" s="4"/>
      <c r="G13">
        <v>14</v>
      </c>
    </row>
    <row r="14" spans="1:7" ht="15" x14ac:dyDescent="0.2">
      <c r="A14">
        <v>12</v>
      </c>
      <c r="B14" s="6" t="s">
        <v>4089</v>
      </c>
      <c r="C14" t="s">
        <v>4067</v>
      </c>
      <c r="D14" s="4"/>
      <c r="E14" s="4"/>
      <c r="G14">
        <v>15</v>
      </c>
    </row>
    <row r="15" spans="1:7" ht="15" x14ac:dyDescent="0.2">
      <c r="A15">
        <v>13</v>
      </c>
      <c r="B15" s="6" t="s">
        <v>2654</v>
      </c>
      <c r="C15" t="s">
        <v>4068</v>
      </c>
      <c r="D15" s="4"/>
      <c r="E15" s="4"/>
      <c r="G15">
        <v>20</v>
      </c>
    </row>
    <row r="16" spans="1:7" ht="15" x14ac:dyDescent="0.2">
      <c r="A16">
        <v>14</v>
      </c>
      <c r="B16" s="6" t="s">
        <v>2655</v>
      </c>
      <c r="C16" t="s">
        <v>1275</v>
      </c>
      <c r="D16" s="4"/>
      <c r="E16" s="4"/>
      <c r="G16">
        <v>21</v>
      </c>
    </row>
    <row r="17" spans="1:7" ht="15" x14ac:dyDescent="0.2">
      <c r="A17">
        <v>15</v>
      </c>
      <c r="B17" s="6" t="s">
        <v>4090</v>
      </c>
      <c r="C17" t="s">
        <v>1528</v>
      </c>
      <c r="D17" s="4"/>
      <c r="E17" s="4"/>
      <c r="G17">
        <v>17</v>
      </c>
    </row>
    <row r="18" spans="1:7" ht="15" x14ac:dyDescent="0.2">
      <c r="A18">
        <v>16</v>
      </c>
      <c r="B18" s="6" t="s">
        <v>4091</v>
      </c>
      <c r="C18" t="s">
        <v>1529</v>
      </c>
      <c r="D18" s="4"/>
      <c r="E18" s="4"/>
      <c r="G18">
        <v>18</v>
      </c>
    </row>
    <row r="19" spans="1:7" ht="15" x14ac:dyDescent="0.2">
      <c r="A19">
        <v>17</v>
      </c>
      <c r="B19" s="6" t="s">
        <v>4092</v>
      </c>
      <c r="C19" t="s">
        <v>1168</v>
      </c>
      <c r="D19" s="4"/>
      <c r="E19" s="4"/>
      <c r="G19">
        <v>23</v>
      </c>
    </row>
    <row r="20" spans="1:7" ht="15" x14ac:dyDescent="0.2">
      <c r="A20">
        <v>18</v>
      </c>
      <c r="B20" s="6" t="s">
        <v>4093</v>
      </c>
      <c r="C20" t="s">
        <v>1172</v>
      </c>
      <c r="D20" s="4"/>
      <c r="E20" s="4"/>
      <c r="G20">
        <v>24</v>
      </c>
    </row>
    <row r="21" spans="1:7" ht="15" x14ac:dyDescent="0.2">
      <c r="A21">
        <v>19</v>
      </c>
      <c r="B21" s="6" t="s">
        <v>4094</v>
      </c>
      <c r="C21" t="s">
        <v>4095</v>
      </c>
      <c r="D21" s="4"/>
      <c r="E21" s="4"/>
      <c r="G21">
        <v>7</v>
      </c>
    </row>
    <row r="22" spans="1:7" ht="15" x14ac:dyDescent="0.2">
      <c r="A22" s="2">
        <v>20</v>
      </c>
      <c r="B22" s="56" t="s">
        <v>4072</v>
      </c>
      <c r="C22" s="2" t="s">
        <v>4069</v>
      </c>
      <c r="D22" s="4"/>
      <c r="E22" s="4"/>
      <c r="G22">
        <v>3</v>
      </c>
    </row>
    <row r="23" spans="1:7" ht="15" x14ac:dyDescent="0.2">
      <c r="A23" s="2">
        <v>21</v>
      </c>
      <c r="B23" s="3" t="s">
        <v>3926</v>
      </c>
      <c r="C23" s="2" t="s">
        <v>4043</v>
      </c>
      <c r="D23" s="4" t="s">
        <v>22</v>
      </c>
      <c r="E23" s="4" t="s">
        <v>22</v>
      </c>
      <c r="F23" t="b">
        <v>0</v>
      </c>
      <c r="G23">
        <v>4</v>
      </c>
    </row>
    <row r="24" spans="1:7" ht="15" x14ac:dyDescent="0.2">
      <c r="A24" s="2">
        <v>22</v>
      </c>
      <c r="B24" s="3" t="s">
        <v>3927</v>
      </c>
      <c r="C24" s="2"/>
      <c r="D24" s="4" t="s">
        <v>22</v>
      </c>
      <c r="E24" s="4" t="s">
        <v>22</v>
      </c>
      <c r="G24">
        <v>5</v>
      </c>
    </row>
    <row r="25" spans="1:7" ht="15" x14ac:dyDescent="0.2">
      <c r="A25" s="2">
        <v>23</v>
      </c>
      <c r="B25" s="3" t="s">
        <v>3928</v>
      </c>
      <c r="C25" s="2" t="s">
        <v>4040</v>
      </c>
      <c r="D25" s="4" t="s">
        <v>22</v>
      </c>
      <c r="E25" s="4"/>
      <c r="G25">
        <v>6</v>
      </c>
    </row>
    <row r="26" spans="1:7" ht="15" x14ac:dyDescent="0.2">
      <c r="A26" s="15">
        <v>24</v>
      </c>
      <c r="B26" s="43" t="s">
        <v>4073</v>
      </c>
      <c r="C26" s="15" t="s">
        <v>4070</v>
      </c>
      <c r="D26" s="4"/>
      <c r="E26" s="4"/>
      <c r="G26">
        <v>1</v>
      </c>
    </row>
    <row r="27" spans="1:7" ht="15" x14ac:dyDescent="0.2">
      <c r="A27" s="15">
        <v>25</v>
      </c>
      <c r="B27" s="16" t="s">
        <v>3925</v>
      </c>
      <c r="C27" s="15" t="s">
        <v>4042</v>
      </c>
      <c r="D27" s="4" t="s">
        <v>22</v>
      </c>
      <c r="E27" s="4"/>
      <c r="G27">
        <v>2</v>
      </c>
    </row>
    <row r="28" spans="1:7" ht="15" x14ac:dyDescent="0.2">
      <c r="A28" s="7">
        <v>26</v>
      </c>
      <c r="B28" s="21" t="s">
        <v>4074</v>
      </c>
      <c r="C28" s="7" t="s">
        <v>4071</v>
      </c>
      <c r="D28" s="4" t="s">
        <v>22</v>
      </c>
      <c r="E28" s="4"/>
      <c r="G28">
        <v>0</v>
      </c>
    </row>
    <row r="29" spans="1:7" ht="15" x14ac:dyDescent="0.2">
      <c r="B29" s="6"/>
      <c r="D29" s="4"/>
      <c r="E29" s="4"/>
    </row>
    <row r="30" spans="1:7" ht="15" x14ac:dyDescent="0.2">
      <c r="B30" s="6"/>
      <c r="D30" s="4"/>
      <c r="E30" s="4"/>
    </row>
    <row r="31" spans="1:7" ht="15" x14ac:dyDescent="0.2">
      <c r="B31" s="6"/>
      <c r="D31" s="4"/>
      <c r="E31" s="4"/>
    </row>
    <row r="32" spans="1:7" ht="15" x14ac:dyDescent="0.2">
      <c r="B32" s="6"/>
      <c r="D32" s="4"/>
      <c r="E32" s="4"/>
    </row>
  </sheetData>
  <sortState xmlns:xlrd2="http://schemas.microsoft.com/office/spreadsheetml/2017/richdata2" ref="A2:G28">
    <sortCondition ref="A1:A28"/>
  </sortState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4610-C329-4A20-97EF-B4DEEF5D68D1}">
  <dimension ref="A1:G25"/>
  <sheetViews>
    <sheetView tabSelected="1" workbookViewId="0"/>
  </sheetViews>
  <sheetFormatPr defaultRowHeight="14.25" x14ac:dyDescent="0.2"/>
  <cols>
    <col min="2" max="2" width="43.875" bestFit="1" customWidth="1"/>
    <col min="3" max="3" width="19.2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855</v>
      </c>
      <c r="C2" t="s">
        <v>856</v>
      </c>
      <c r="D2" s="4" t="s">
        <v>22</v>
      </c>
      <c r="E2" s="4"/>
      <c r="G2">
        <v>12</v>
      </c>
    </row>
    <row r="3" spans="1:7" ht="15" x14ac:dyDescent="0.2">
      <c r="A3">
        <v>1</v>
      </c>
      <c r="B3" s="1" t="s">
        <v>4031</v>
      </c>
      <c r="C3" t="s">
        <v>4037</v>
      </c>
      <c r="D3" s="4" t="s">
        <v>22</v>
      </c>
      <c r="E3" s="4"/>
      <c r="G3">
        <v>13</v>
      </c>
    </row>
    <row r="4" spans="1:7" ht="15" x14ac:dyDescent="0.2">
      <c r="A4">
        <v>2</v>
      </c>
      <c r="B4" s="1" t="s">
        <v>4032</v>
      </c>
      <c r="C4" t="s">
        <v>4038</v>
      </c>
      <c r="D4" s="4" t="s">
        <v>22</v>
      </c>
      <c r="E4" s="4"/>
      <c r="G4">
        <v>14</v>
      </c>
    </row>
    <row r="5" spans="1:7" ht="15" x14ac:dyDescent="0.2">
      <c r="A5">
        <v>3</v>
      </c>
      <c r="B5" s="1" t="s">
        <v>4033</v>
      </c>
      <c r="C5" t="s">
        <v>4039</v>
      </c>
      <c r="D5" s="4"/>
      <c r="E5" s="4"/>
      <c r="G5">
        <v>15</v>
      </c>
    </row>
    <row r="6" spans="1:7" ht="15" x14ac:dyDescent="0.2">
      <c r="A6" s="2">
        <v>4</v>
      </c>
      <c r="B6" s="3" t="s">
        <v>3930</v>
      </c>
      <c r="C6" s="2" t="s">
        <v>3934</v>
      </c>
      <c r="D6" s="4" t="s">
        <v>22</v>
      </c>
      <c r="E6" s="4"/>
      <c r="G6">
        <v>16</v>
      </c>
    </row>
    <row r="7" spans="1:7" ht="15" x14ac:dyDescent="0.2">
      <c r="A7" s="2">
        <v>5</v>
      </c>
      <c r="B7" s="3" t="s">
        <v>3931</v>
      </c>
      <c r="C7" s="2" t="s">
        <v>3935</v>
      </c>
      <c r="D7" s="4" t="s">
        <v>22</v>
      </c>
      <c r="E7" s="4"/>
      <c r="G7">
        <v>20</v>
      </c>
    </row>
    <row r="8" spans="1:7" ht="15" x14ac:dyDescent="0.2">
      <c r="A8" s="2">
        <v>6</v>
      </c>
      <c r="B8" s="3" t="s">
        <v>3932</v>
      </c>
      <c r="C8" s="2" t="s">
        <v>3936</v>
      </c>
      <c r="D8" s="4" t="s">
        <v>22</v>
      </c>
      <c r="E8" s="4" t="s">
        <v>22</v>
      </c>
      <c r="G8">
        <v>21</v>
      </c>
    </row>
    <row r="9" spans="1:7" ht="15" x14ac:dyDescent="0.2">
      <c r="A9" s="2">
        <v>7</v>
      </c>
      <c r="B9" s="3" t="s">
        <v>3933</v>
      </c>
      <c r="C9" s="2" t="s">
        <v>3939</v>
      </c>
      <c r="D9" s="4" t="s">
        <v>22</v>
      </c>
      <c r="E9" s="4"/>
      <c r="G9">
        <v>17</v>
      </c>
    </row>
    <row r="10" spans="1:7" ht="15" x14ac:dyDescent="0.2">
      <c r="A10" s="2">
        <v>8</v>
      </c>
      <c r="B10" s="56" t="s">
        <v>3937</v>
      </c>
      <c r="C10" s="2" t="s">
        <v>3940</v>
      </c>
      <c r="D10" s="4"/>
      <c r="E10" s="4"/>
      <c r="G10">
        <v>18</v>
      </c>
    </row>
    <row r="11" spans="1:7" ht="15" x14ac:dyDescent="0.2">
      <c r="A11" s="2">
        <v>9</v>
      </c>
      <c r="B11" s="56" t="s">
        <v>3938</v>
      </c>
      <c r="C11" s="2" t="s">
        <v>3941</v>
      </c>
      <c r="D11" s="4"/>
      <c r="E11" s="4"/>
      <c r="G11">
        <v>19</v>
      </c>
    </row>
    <row r="12" spans="1:7" ht="15" x14ac:dyDescent="0.2">
      <c r="A12" s="15">
        <v>10</v>
      </c>
      <c r="B12" s="43" t="s">
        <v>4097</v>
      </c>
      <c r="C12" s="15" t="s">
        <v>4098</v>
      </c>
      <c r="D12" s="4"/>
      <c r="E12" s="4"/>
      <c r="G12">
        <v>7</v>
      </c>
    </row>
    <row r="13" spans="1:7" ht="15" x14ac:dyDescent="0.2">
      <c r="A13" s="15">
        <v>11</v>
      </c>
      <c r="B13" s="43" t="s">
        <v>4101</v>
      </c>
      <c r="C13" s="15" t="s">
        <v>4045</v>
      </c>
      <c r="D13" s="4"/>
      <c r="E13" s="4"/>
      <c r="G13">
        <v>8</v>
      </c>
    </row>
    <row r="14" spans="1:7" ht="15" x14ac:dyDescent="0.2">
      <c r="A14" s="15">
        <v>12</v>
      </c>
      <c r="B14" s="43" t="s">
        <v>4102</v>
      </c>
      <c r="C14" s="15" t="s">
        <v>4046</v>
      </c>
      <c r="D14" s="4"/>
      <c r="E14" s="4"/>
      <c r="G14">
        <v>9</v>
      </c>
    </row>
    <row r="15" spans="1:7" ht="15" x14ac:dyDescent="0.2">
      <c r="A15" s="15">
        <v>13</v>
      </c>
      <c r="B15" s="43" t="s">
        <v>4103</v>
      </c>
      <c r="C15" s="15" t="s">
        <v>4100</v>
      </c>
      <c r="D15" s="4"/>
      <c r="E15" s="4"/>
      <c r="G15">
        <v>10</v>
      </c>
    </row>
    <row r="16" spans="1:7" ht="15" x14ac:dyDescent="0.2">
      <c r="A16" s="15">
        <v>14</v>
      </c>
      <c r="B16" s="16" t="s">
        <v>4099</v>
      </c>
      <c r="C16" s="15" t="s">
        <v>4104</v>
      </c>
      <c r="D16" s="4"/>
      <c r="E16" s="4"/>
      <c r="G16">
        <v>11</v>
      </c>
    </row>
    <row r="17" spans="1:7" ht="15" x14ac:dyDescent="0.2">
      <c r="A17" s="7">
        <v>15</v>
      </c>
      <c r="B17" s="21" t="s">
        <v>4072</v>
      </c>
      <c r="C17" s="7" t="s">
        <v>4069</v>
      </c>
      <c r="D17" s="4"/>
      <c r="E17" s="4"/>
      <c r="G17">
        <v>3</v>
      </c>
    </row>
    <row r="18" spans="1:7" ht="15" x14ac:dyDescent="0.2">
      <c r="A18" s="7">
        <v>16</v>
      </c>
      <c r="B18" s="8" t="s">
        <v>3926</v>
      </c>
      <c r="C18" s="7" t="s">
        <v>4043</v>
      </c>
      <c r="D18" s="4" t="s">
        <v>22</v>
      </c>
      <c r="E18" s="4" t="s">
        <v>22</v>
      </c>
      <c r="F18" t="b">
        <v>0</v>
      </c>
      <c r="G18">
        <v>4</v>
      </c>
    </row>
    <row r="19" spans="1:7" ht="15" x14ac:dyDescent="0.2">
      <c r="A19" s="7">
        <v>17</v>
      </c>
      <c r="B19" s="8" t="s">
        <v>3927</v>
      </c>
      <c r="C19" s="7"/>
      <c r="D19" s="4" t="s">
        <v>22</v>
      </c>
      <c r="E19" s="4" t="s">
        <v>22</v>
      </c>
      <c r="G19">
        <v>5</v>
      </c>
    </row>
    <row r="20" spans="1:7" ht="15" x14ac:dyDescent="0.2">
      <c r="A20" s="7">
        <v>18</v>
      </c>
      <c r="B20" s="8" t="s">
        <v>3928</v>
      </c>
      <c r="C20" s="7" t="s">
        <v>4040</v>
      </c>
      <c r="D20" s="4" t="s">
        <v>22</v>
      </c>
      <c r="E20" s="4"/>
      <c r="G20">
        <v>6</v>
      </c>
    </row>
    <row r="21" spans="1:7" ht="15" x14ac:dyDescent="0.2">
      <c r="A21" s="58">
        <v>19</v>
      </c>
      <c r="B21" s="57" t="s">
        <v>4073</v>
      </c>
      <c r="C21" s="58" t="s">
        <v>4070</v>
      </c>
      <c r="D21" s="4"/>
      <c r="E21" s="4"/>
      <c r="G21">
        <v>1</v>
      </c>
    </row>
    <row r="22" spans="1:7" ht="15" x14ac:dyDescent="0.2">
      <c r="A22" s="58">
        <v>20</v>
      </c>
      <c r="B22" s="59" t="s">
        <v>3925</v>
      </c>
      <c r="C22" s="58" t="s">
        <v>4042</v>
      </c>
      <c r="D22" s="4" t="s">
        <v>22</v>
      </c>
      <c r="E22" s="4"/>
      <c r="G22">
        <v>2</v>
      </c>
    </row>
    <row r="23" spans="1:7" ht="15" x14ac:dyDescent="0.2">
      <c r="A23" s="61">
        <v>21</v>
      </c>
      <c r="B23" s="60" t="s">
        <v>4074</v>
      </c>
      <c r="C23" s="61" t="s">
        <v>4071</v>
      </c>
      <c r="D23" s="4" t="s">
        <v>22</v>
      </c>
      <c r="E23" s="4"/>
      <c r="G23">
        <v>0</v>
      </c>
    </row>
    <row r="24" spans="1:7" ht="15" x14ac:dyDescent="0.2">
      <c r="B24" s="6"/>
      <c r="D24" s="4"/>
      <c r="E24" s="4"/>
    </row>
    <row r="25" spans="1:7" ht="15" x14ac:dyDescent="0.2">
      <c r="B25" s="6"/>
      <c r="D25" s="4"/>
      <c r="E25" s="4"/>
    </row>
  </sheetData>
  <sortState xmlns:xlrd2="http://schemas.microsoft.com/office/spreadsheetml/2017/richdata2" ref="A2:G23">
    <sortCondition ref="A1:A23"/>
  </sortState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05E8-85F6-4E6F-BB03-BCE389A5548A}">
  <dimension ref="A1:G26"/>
  <sheetViews>
    <sheetView workbookViewId="0"/>
  </sheetViews>
  <sheetFormatPr defaultRowHeight="14.25" x14ac:dyDescent="0.2"/>
  <cols>
    <col min="2" max="2" width="49.375" bestFit="1" customWidth="1"/>
    <col min="3" max="3" width="21.37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855</v>
      </c>
      <c r="C2" t="s">
        <v>4041</v>
      </c>
      <c r="D2" s="4" t="s">
        <v>22</v>
      </c>
      <c r="E2" s="4"/>
      <c r="G2">
        <v>8</v>
      </c>
    </row>
    <row r="3" spans="1:7" ht="15" x14ac:dyDescent="0.2">
      <c r="A3">
        <v>1</v>
      </c>
      <c r="B3" s="6" t="s">
        <v>4075</v>
      </c>
      <c r="C3" t="s">
        <v>4045</v>
      </c>
      <c r="D3" s="4"/>
      <c r="E3" s="4"/>
      <c r="G3">
        <v>9</v>
      </c>
    </row>
    <row r="4" spans="1:7" ht="15" x14ac:dyDescent="0.2">
      <c r="A4">
        <v>2</v>
      </c>
      <c r="B4" s="6" t="s">
        <v>4076</v>
      </c>
      <c r="C4" t="s">
        <v>4046</v>
      </c>
      <c r="D4" s="4"/>
      <c r="E4" s="4"/>
      <c r="G4">
        <v>10</v>
      </c>
    </row>
    <row r="5" spans="1:7" ht="15" x14ac:dyDescent="0.2">
      <c r="A5">
        <v>3</v>
      </c>
      <c r="B5" s="6" t="s">
        <v>4094</v>
      </c>
      <c r="C5" t="s">
        <v>4096</v>
      </c>
      <c r="D5" s="4"/>
      <c r="E5" s="4"/>
      <c r="G5">
        <v>7</v>
      </c>
    </row>
    <row r="6" spans="1:7" ht="15" x14ac:dyDescent="0.2">
      <c r="A6">
        <v>4</v>
      </c>
      <c r="B6" s="1" t="s">
        <v>3942</v>
      </c>
      <c r="C6" t="s">
        <v>3943</v>
      </c>
      <c r="D6" s="4" t="s">
        <v>22</v>
      </c>
      <c r="E6" s="4"/>
      <c r="G6">
        <v>11</v>
      </c>
    </row>
    <row r="7" spans="1:7" ht="15" x14ac:dyDescent="0.2">
      <c r="A7">
        <v>5</v>
      </c>
      <c r="B7" s="1" t="s">
        <v>3944</v>
      </c>
      <c r="C7" t="s">
        <v>3946</v>
      </c>
      <c r="D7" s="4" t="s">
        <v>22</v>
      </c>
      <c r="E7" s="4"/>
      <c r="G7">
        <v>15</v>
      </c>
    </row>
    <row r="8" spans="1:7" ht="15" x14ac:dyDescent="0.2">
      <c r="A8">
        <v>6</v>
      </c>
      <c r="B8" s="1" t="s">
        <v>3945</v>
      </c>
      <c r="C8" t="s">
        <v>3947</v>
      </c>
      <c r="D8" s="4" t="s">
        <v>22</v>
      </c>
      <c r="E8" s="4"/>
      <c r="G8">
        <v>12</v>
      </c>
    </row>
    <row r="9" spans="1:7" ht="15" x14ac:dyDescent="0.2">
      <c r="A9">
        <v>7</v>
      </c>
      <c r="B9" s="6" t="s">
        <v>3948</v>
      </c>
      <c r="C9" t="s">
        <v>3950</v>
      </c>
      <c r="D9" s="4"/>
      <c r="E9" s="4"/>
      <c r="G9">
        <v>13</v>
      </c>
    </row>
    <row r="10" spans="1:7" ht="15" x14ac:dyDescent="0.2">
      <c r="A10">
        <v>8</v>
      </c>
      <c r="B10" s="6" t="s">
        <v>3949</v>
      </c>
      <c r="C10" t="s">
        <v>3951</v>
      </c>
      <c r="D10" s="4"/>
      <c r="E10" s="4"/>
      <c r="G10">
        <v>14</v>
      </c>
    </row>
    <row r="11" spans="1:7" ht="15" x14ac:dyDescent="0.2">
      <c r="A11" s="2">
        <v>9</v>
      </c>
      <c r="B11" s="56" t="s">
        <v>4077</v>
      </c>
      <c r="C11" s="2" t="s">
        <v>4069</v>
      </c>
      <c r="D11" s="4"/>
      <c r="E11" s="4"/>
      <c r="G11">
        <v>3</v>
      </c>
    </row>
    <row r="12" spans="1:7" ht="15" x14ac:dyDescent="0.2">
      <c r="A12" s="2">
        <v>10</v>
      </c>
      <c r="B12" s="3" t="s">
        <v>3926</v>
      </c>
      <c r="C12" s="2" t="s">
        <v>4043</v>
      </c>
      <c r="D12" s="4" t="s">
        <v>22</v>
      </c>
      <c r="E12" s="4" t="s">
        <v>22</v>
      </c>
      <c r="F12" t="b">
        <v>0</v>
      </c>
      <c r="G12">
        <v>4</v>
      </c>
    </row>
    <row r="13" spans="1:7" ht="15" x14ac:dyDescent="0.2">
      <c r="A13" s="2">
        <v>11</v>
      </c>
      <c r="B13" s="3" t="s">
        <v>3927</v>
      </c>
      <c r="C13" s="2"/>
      <c r="D13" s="4" t="s">
        <v>22</v>
      </c>
      <c r="E13" s="4" t="s">
        <v>22</v>
      </c>
      <c r="G13">
        <v>5</v>
      </c>
    </row>
    <row r="14" spans="1:7" ht="15" x14ac:dyDescent="0.2">
      <c r="A14" s="2">
        <v>12</v>
      </c>
      <c r="B14" s="3" t="s">
        <v>3928</v>
      </c>
      <c r="C14" s="2" t="s">
        <v>4040</v>
      </c>
      <c r="D14" s="4" t="s">
        <v>22</v>
      </c>
      <c r="E14" s="4"/>
      <c r="G14">
        <v>6</v>
      </c>
    </row>
    <row r="15" spans="1:7" ht="15" x14ac:dyDescent="0.2">
      <c r="A15" s="15">
        <v>13</v>
      </c>
      <c r="B15" s="43" t="s">
        <v>4078</v>
      </c>
      <c r="C15" s="15" t="s">
        <v>4070</v>
      </c>
      <c r="D15" s="4"/>
      <c r="E15" s="4"/>
      <c r="G15">
        <v>1</v>
      </c>
    </row>
    <row r="16" spans="1:7" ht="15" x14ac:dyDescent="0.2">
      <c r="A16" s="15">
        <v>14</v>
      </c>
      <c r="B16" s="16" t="s">
        <v>3925</v>
      </c>
      <c r="C16" s="15" t="s">
        <v>4042</v>
      </c>
      <c r="D16" s="4" t="s">
        <v>22</v>
      </c>
      <c r="E16" s="4"/>
      <c r="G16">
        <v>2</v>
      </c>
    </row>
    <row r="17" spans="1:7" ht="15" x14ac:dyDescent="0.2">
      <c r="A17" s="7">
        <v>15</v>
      </c>
      <c r="B17" s="21" t="s">
        <v>4105</v>
      </c>
      <c r="C17" s="7" t="s">
        <v>4071</v>
      </c>
      <c r="G17">
        <v>0</v>
      </c>
    </row>
    <row r="18" spans="1:7" ht="15" x14ac:dyDescent="0.2">
      <c r="B18" s="6"/>
      <c r="D18" s="4"/>
      <c r="E18" s="4"/>
    </row>
    <row r="19" spans="1:7" ht="15" x14ac:dyDescent="0.2">
      <c r="B19" s="6"/>
      <c r="D19" s="4"/>
      <c r="E19" s="4"/>
    </row>
    <row r="20" spans="1:7" ht="15" x14ac:dyDescent="0.2">
      <c r="B20" s="6"/>
      <c r="D20" s="4"/>
      <c r="E20" s="4"/>
    </row>
    <row r="21" spans="1:7" ht="15" x14ac:dyDescent="0.2">
      <c r="B21" s="6"/>
      <c r="D21" s="4"/>
      <c r="E21" s="4"/>
    </row>
    <row r="22" spans="1:7" ht="15" x14ac:dyDescent="0.2">
      <c r="B22" s="6"/>
      <c r="D22" s="4"/>
      <c r="E22" s="4"/>
    </row>
    <row r="23" spans="1:7" ht="15" x14ac:dyDescent="0.2">
      <c r="B23" s="6"/>
      <c r="D23" s="4"/>
      <c r="E23" s="4"/>
    </row>
    <row r="24" spans="1:7" ht="15" x14ac:dyDescent="0.2">
      <c r="B24" s="6"/>
      <c r="D24" s="4"/>
      <c r="E24" s="4"/>
    </row>
    <row r="25" spans="1:7" ht="15" x14ac:dyDescent="0.2">
      <c r="B25" s="6"/>
      <c r="D25" s="4"/>
      <c r="E25" s="4"/>
    </row>
    <row r="26" spans="1:7" ht="15" x14ac:dyDescent="0.2">
      <c r="B26" s="6"/>
      <c r="D26" s="4"/>
      <c r="E26" s="4"/>
    </row>
  </sheetData>
  <sortState xmlns:xlrd2="http://schemas.microsoft.com/office/spreadsheetml/2017/richdata2" ref="A2:G17">
    <sortCondition ref="A1:A17"/>
  </sortState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11F9-13A5-4CF6-B8E3-E0A2C9AC1592}">
  <sheetPr codeName="Sheet37"/>
  <dimension ref="A1:G27"/>
  <sheetViews>
    <sheetView workbookViewId="0"/>
  </sheetViews>
  <sheetFormatPr defaultRowHeight="14.25" x14ac:dyDescent="0.2"/>
  <cols>
    <col min="2" max="2" width="41.625" bestFit="1" customWidth="1"/>
    <col min="3" max="3" width="26.37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3845</v>
      </c>
      <c r="C2" t="s">
        <v>3846</v>
      </c>
      <c r="D2" s="4"/>
      <c r="E2" s="4"/>
      <c r="G2">
        <v>0</v>
      </c>
    </row>
    <row r="3" spans="1:7" ht="15" x14ac:dyDescent="0.2">
      <c r="A3">
        <v>1</v>
      </c>
      <c r="B3" s="1" t="s">
        <v>3518</v>
      </c>
      <c r="C3" t="s">
        <v>3519</v>
      </c>
      <c r="D3" s="4" t="s">
        <v>3522</v>
      </c>
      <c r="E3" s="4"/>
      <c r="G3">
        <v>2</v>
      </c>
    </row>
    <row r="4" spans="1:7" ht="15" x14ac:dyDescent="0.2">
      <c r="A4">
        <v>2</v>
      </c>
      <c r="B4" s="1" t="s">
        <v>3514</v>
      </c>
      <c r="C4" t="s">
        <v>3515</v>
      </c>
      <c r="D4" s="4" t="s">
        <v>22</v>
      </c>
      <c r="E4" s="4"/>
      <c r="G4">
        <v>3</v>
      </c>
    </row>
    <row r="5" spans="1:7" ht="15" x14ac:dyDescent="0.2">
      <c r="A5">
        <v>3</v>
      </c>
      <c r="B5" s="1" t="s">
        <v>3520</v>
      </c>
      <c r="C5" t="s">
        <v>3521</v>
      </c>
      <c r="D5" s="4" t="s">
        <v>3522</v>
      </c>
      <c r="E5" s="4" t="s">
        <v>3522</v>
      </c>
      <c r="F5" t="b">
        <v>1</v>
      </c>
      <c r="G5">
        <v>4</v>
      </c>
    </row>
    <row r="6" spans="1:7" ht="15" x14ac:dyDescent="0.2">
      <c r="A6">
        <v>4</v>
      </c>
      <c r="B6" s="1" t="s">
        <v>3523</v>
      </c>
      <c r="C6" t="s">
        <v>3524</v>
      </c>
      <c r="D6" s="4" t="s">
        <v>3522</v>
      </c>
      <c r="E6" s="4" t="s">
        <v>3522</v>
      </c>
      <c r="G6">
        <v>12</v>
      </c>
    </row>
    <row r="7" spans="1:7" ht="15" x14ac:dyDescent="0.2">
      <c r="A7">
        <v>5</v>
      </c>
      <c r="B7" s="1" t="s">
        <v>3516</v>
      </c>
      <c r="C7" t="s">
        <v>3517</v>
      </c>
      <c r="D7" s="4" t="s">
        <v>22</v>
      </c>
      <c r="E7" s="4"/>
      <c r="G7">
        <v>5</v>
      </c>
    </row>
    <row r="8" spans="1:7" ht="15" x14ac:dyDescent="0.2">
      <c r="A8">
        <v>6</v>
      </c>
      <c r="B8" s="1" t="s">
        <v>3528</v>
      </c>
      <c r="C8" t="s">
        <v>3525</v>
      </c>
      <c r="D8" s="4" t="s">
        <v>3522</v>
      </c>
      <c r="E8" s="4" t="s">
        <v>3522</v>
      </c>
      <c r="G8">
        <v>21</v>
      </c>
    </row>
    <row r="9" spans="1:7" ht="15" x14ac:dyDescent="0.2">
      <c r="A9" s="2">
        <v>7</v>
      </c>
      <c r="B9" s="3" t="s">
        <v>3843</v>
      </c>
      <c r="C9" s="2" t="s">
        <v>3844</v>
      </c>
      <c r="D9" s="4"/>
      <c r="E9" s="4"/>
      <c r="G9">
        <v>1</v>
      </c>
    </row>
    <row r="10" spans="1:7" ht="15" x14ac:dyDescent="0.2">
      <c r="A10" s="2">
        <v>8</v>
      </c>
      <c r="B10" s="3" t="s">
        <v>3850</v>
      </c>
      <c r="C10" s="2" t="s">
        <v>3406</v>
      </c>
      <c r="D10" s="4" t="s">
        <v>22</v>
      </c>
      <c r="E10" s="4"/>
      <c r="G10">
        <v>6</v>
      </c>
    </row>
    <row r="11" spans="1:7" ht="15" x14ac:dyDescent="0.2">
      <c r="A11" s="2">
        <v>9</v>
      </c>
      <c r="B11" s="3" t="s">
        <v>3851</v>
      </c>
      <c r="C11" s="2" t="s">
        <v>3410</v>
      </c>
      <c r="D11" s="4" t="s">
        <v>22</v>
      </c>
      <c r="E11" s="4"/>
      <c r="G11">
        <v>9</v>
      </c>
    </row>
    <row r="12" spans="1:7" ht="15" x14ac:dyDescent="0.2">
      <c r="A12" s="2">
        <v>10</v>
      </c>
      <c r="B12" s="3" t="s">
        <v>3852</v>
      </c>
      <c r="C12" s="2" t="s">
        <v>2827</v>
      </c>
      <c r="D12" s="4" t="s">
        <v>22</v>
      </c>
      <c r="E12" s="4"/>
      <c r="G12">
        <v>13</v>
      </c>
    </row>
    <row r="13" spans="1:7" ht="15" x14ac:dyDescent="0.2">
      <c r="A13" s="2">
        <v>11</v>
      </c>
      <c r="B13" s="3" t="s">
        <v>3853</v>
      </c>
      <c r="C13" s="2" t="s">
        <v>1082</v>
      </c>
      <c r="D13" s="4" t="s">
        <v>22</v>
      </c>
      <c r="E13" s="4"/>
      <c r="G13">
        <v>16</v>
      </c>
    </row>
    <row r="14" spans="1:7" ht="15" x14ac:dyDescent="0.2">
      <c r="A14" s="2">
        <v>12</v>
      </c>
      <c r="B14" s="3" t="s">
        <v>3405</v>
      </c>
      <c r="C14" s="2" t="s">
        <v>3865</v>
      </c>
      <c r="D14" s="4" t="s">
        <v>22</v>
      </c>
      <c r="E14" s="4"/>
      <c r="G14">
        <v>24</v>
      </c>
    </row>
    <row r="15" spans="1:7" ht="15" x14ac:dyDescent="0.2">
      <c r="A15" s="2">
        <v>13</v>
      </c>
      <c r="B15" s="3" t="s">
        <v>3864</v>
      </c>
      <c r="C15" s="2" t="s">
        <v>3407</v>
      </c>
      <c r="D15" s="4" t="s">
        <v>22</v>
      </c>
      <c r="E15" s="4"/>
      <c r="G15">
        <v>25</v>
      </c>
    </row>
    <row r="16" spans="1:7" ht="15" x14ac:dyDescent="0.2">
      <c r="A16" s="2">
        <v>14</v>
      </c>
      <c r="B16" s="56" t="s">
        <v>3854</v>
      </c>
      <c r="C16" s="2" t="s">
        <v>3408</v>
      </c>
      <c r="G16">
        <v>7</v>
      </c>
    </row>
    <row r="17" spans="1:7" ht="15" x14ac:dyDescent="0.2">
      <c r="A17" s="2">
        <v>15</v>
      </c>
      <c r="B17" s="56" t="s">
        <v>3855</v>
      </c>
      <c r="C17" s="2" t="s">
        <v>3409</v>
      </c>
      <c r="G17">
        <v>8</v>
      </c>
    </row>
    <row r="18" spans="1:7" ht="15" x14ac:dyDescent="0.2">
      <c r="A18" s="2">
        <v>16</v>
      </c>
      <c r="B18" s="56" t="s">
        <v>3856</v>
      </c>
      <c r="C18" s="2" t="s">
        <v>3411</v>
      </c>
      <c r="G18">
        <v>10</v>
      </c>
    </row>
    <row r="19" spans="1:7" ht="15" x14ac:dyDescent="0.2">
      <c r="A19" s="2">
        <v>17</v>
      </c>
      <c r="B19" s="56" t="s">
        <v>3857</v>
      </c>
      <c r="C19" s="2" t="s">
        <v>3412</v>
      </c>
      <c r="G19">
        <v>11</v>
      </c>
    </row>
    <row r="20" spans="1:7" ht="15" x14ac:dyDescent="0.2">
      <c r="A20" s="2">
        <v>18</v>
      </c>
      <c r="B20" s="56" t="s">
        <v>3858</v>
      </c>
      <c r="C20" s="2" t="s">
        <v>1546</v>
      </c>
      <c r="G20">
        <v>14</v>
      </c>
    </row>
    <row r="21" spans="1:7" ht="15" x14ac:dyDescent="0.2">
      <c r="A21" s="2">
        <v>19</v>
      </c>
      <c r="B21" s="56" t="s">
        <v>3859</v>
      </c>
      <c r="C21" s="2" t="s">
        <v>1547</v>
      </c>
      <c r="G21">
        <v>15</v>
      </c>
    </row>
    <row r="22" spans="1:7" ht="15" x14ac:dyDescent="0.2">
      <c r="A22" s="2">
        <v>20</v>
      </c>
      <c r="B22" s="56" t="s">
        <v>3860</v>
      </c>
      <c r="C22" s="2" t="s">
        <v>1148</v>
      </c>
      <c r="G22">
        <v>17</v>
      </c>
    </row>
    <row r="23" spans="1:7" ht="15" x14ac:dyDescent="0.2">
      <c r="A23" s="2">
        <v>21</v>
      </c>
      <c r="B23" s="56" t="s">
        <v>3861</v>
      </c>
      <c r="C23" s="2" t="s">
        <v>1152</v>
      </c>
      <c r="G23">
        <v>19</v>
      </c>
    </row>
    <row r="24" spans="1:7" ht="15" x14ac:dyDescent="0.2">
      <c r="A24" s="2">
        <v>22</v>
      </c>
      <c r="B24" s="56" t="s">
        <v>3862</v>
      </c>
      <c r="C24" s="2" t="s">
        <v>3413</v>
      </c>
      <c r="G24">
        <v>18</v>
      </c>
    </row>
    <row r="25" spans="1:7" ht="15" x14ac:dyDescent="0.2">
      <c r="A25" s="2">
        <v>23</v>
      </c>
      <c r="B25" s="56" t="s">
        <v>3863</v>
      </c>
      <c r="C25" s="2" t="s">
        <v>3414</v>
      </c>
      <c r="G25">
        <v>20</v>
      </c>
    </row>
    <row r="26" spans="1:7" ht="15" x14ac:dyDescent="0.2">
      <c r="A26" s="15">
        <v>24</v>
      </c>
      <c r="B26" s="43" t="s">
        <v>3529</v>
      </c>
      <c r="C26" s="15" t="s">
        <v>3526</v>
      </c>
      <c r="G26">
        <v>22</v>
      </c>
    </row>
    <row r="27" spans="1:7" ht="15" x14ac:dyDescent="0.2">
      <c r="A27" s="15">
        <v>25</v>
      </c>
      <c r="B27" s="43" t="s">
        <v>3530</v>
      </c>
      <c r="C27" s="15" t="s">
        <v>3527</v>
      </c>
      <c r="G27">
        <v>23</v>
      </c>
    </row>
  </sheetData>
  <sortState xmlns:xlrd2="http://schemas.microsoft.com/office/spreadsheetml/2017/richdata2" ref="A2:G27">
    <sortCondition ref="A1:A27"/>
  </sortState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7A02-D889-420F-903D-96369FB191CB}">
  <dimension ref="A1:G23"/>
  <sheetViews>
    <sheetView workbookViewId="0"/>
  </sheetViews>
  <sheetFormatPr defaultRowHeight="14.25" x14ac:dyDescent="0.2"/>
  <cols>
    <col min="2" max="2" width="41.625" bestFit="1" customWidth="1"/>
    <col min="3" max="3" width="26.37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3845</v>
      </c>
      <c r="C2" t="s">
        <v>3846</v>
      </c>
      <c r="D2" s="4"/>
      <c r="E2" s="4"/>
      <c r="G2">
        <v>0</v>
      </c>
    </row>
    <row r="3" spans="1:7" ht="15" x14ac:dyDescent="0.2">
      <c r="A3">
        <v>1</v>
      </c>
      <c r="B3" s="1" t="s">
        <v>2635</v>
      </c>
      <c r="C3" t="s">
        <v>3519</v>
      </c>
      <c r="D3" s="4" t="s">
        <v>22</v>
      </c>
      <c r="E3" s="4"/>
      <c r="G3">
        <v>2</v>
      </c>
    </row>
    <row r="4" spans="1:7" ht="15" x14ac:dyDescent="0.2">
      <c r="A4">
        <v>2</v>
      </c>
      <c r="B4" s="1" t="s">
        <v>3847</v>
      </c>
      <c r="C4" t="s">
        <v>3849</v>
      </c>
      <c r="D4" s="4" t="s">
        <v>22</v>
      </c>
      <c r="E4" s="4"/>
      <c r="G4">
        <v>3</v>
      </c>
    </row>
    <row r="5" spans="1:7" ht="15" x14ac:dyDescent="0.2">
      <c r="A5">
        <v>3</v>
      </c>
      <c r="B5" s="1" t="s">
        <v>3516</v>
      </c>
      <c r="C5" t="s">
        <v>3517</v>
      </c>
      <c r="D5" s="4" t="s">
        <v>22</v>
      </c>
      <c r="E5" s="4"/>
      <c r="G5">
        <v>4</v>
      </c>
    </row>
    <row r="6" spans="1:7" ht="15" x14ac:dyDescent="0.2">
      <c r="A6">
        <v>4</v>
      </c>
      <c r="B6" s="1" t="s">
        <v>3480</v>
      </c>
      <c r="C6" t="s">
        <v>3848</v>
      </c>
      <c r="D6" s="4" t="s">
        <v>22</v>
      </c>
      <c r="E6" s="4"/>
      <c r="G6">
        <v>21</v>
      </c>
    </row>
    <row r="7" spans="1:7" ht="15" x14ac:dyDescent="0.2">
      <c r="A7" s="2">
        <v>5</v>
      </c>
      <c r="B7" s="3" t="s">
        <v>3843</v>
      </c>
      <c r="C7" s="2" t="s">
        <v>3844</v>
      </c>
      <c r="D7" s="4"/>
      <c r="E7" s="4"/>
      <c r="G7">
        <v>1</v>
      </c>
    </row>
    <row r="8" spans="1:7" ht="15" x14ac:dyDescent="0.2">
      <c r="A8" s="2">
        <v>6</v>
      </c>
      <c r="B8" s="3" t="s">
        <v>3850</v>
      </c>
      <c r="C8" s="2" t="s">
        <v>3406</v>
      </c>
      <c r="D8" s="4" t="s">
        <v>22</v>
      </c>
      <c r="E8" s="4"/>
      <c r="G8">
        <v>5</v>
      </c>
    </row>
    <row r="9" spans="1:7" ht="15" x14ac:dyDescent="0.2">
      <c r="A9" s="2">
        <v>7</v>
      </c>
      <c r="B9" s="3" t="s">
        <v>3851</v>
      </c>
      <c r="C9" s="2" t="s">
        <v>3410</v>
      </c>
      <c r="D9" s="4" t="s">
        <v>22</v>
      </c>
      <c r="E9" s="4"/>
      <c r="G9">
        <v>8</v>
      </c>
    </row>
    <row r="10" spans="1:7" ht="15" x14ac:dyDescent="0.2">
      <c r="A10" s="2">
        <v>8</v>
      </c>
      <c r="B10" s="3" t="s">
        <v>3852</v>
      </c>
      <c r="C10" s="2" t="s">
        <v>2827</v>
      </c>
      <c r="D10" s="4" t="s">
        <v>22</v>
      </c>
      <c r="E10" s="4"/>
      <c r="G10">
        <v>11</v>
      </c>
    </row>
    <row r="11" spans="1:7" ht="15" x14ac:dyDescent="0.2">
      <c r="A11" s="2">
        <v>9</v>
      </c>
      <c r="B11" s="3" t="s">
        <v>3853</v>
      </c>
      <c r="C11" s="2" t="s">
        <v>1082</v>
      </c>
      <c r="D11" s="4" t="s">
        <v>22</v>
      </c>
      <c r="E11" s="4"/>
      <c r="G11">
        <v>14</v>
      </c>
    </row>
    <row r="12" spans="1:7" ht="15" x14ac:dyDescent="0.2">
      <c r="A12" s="2">
        <v>10</v>
      </c>
      <c r="B12" s="3" t="s">
        <v>3405</v>
      </c>
      <c r="C12" s="2" t="s">
        <v>3865</v>
      </c>
      <c r="D12" s="4" t="s">
        <v>22</v>
      </c>
      <c r="E12" s="4"/>
      <c r="G12">
        <v>19</v>
      </c>
    </row>
    <row r="13" spans="1:7" ht="15" x14ac:dyDescent="0.2">
      <c r="A13" s="2">
        <v>11</v>
      </c>
      <c r="B13" s="3" t="s">
        <v>3864</v>
      </c>
      <c r="C13" s="2" t="s">
        <v>3407</v>
      </c>
      <c r="D13" s="4" t="s">
        <v>22</v>
      </c>
      <c r="E13" s="4"/>
      <c r="G13">
        <v>20</v>
      </c>
    </row>
    <row r="14" spans="1:7" ht="15" x14ac:dyDescent="0.2">
      <c r="A14" s="2">
        <v>12</v>
      </c>
      <c r="B14" s="56" t="s">
        <v>3854</v>
      </c>
      <c r="C14" s="2" t="s">
        <v>3408</v>
      </c>
      <c r="G14">
        <v>6</v>
      </c>
    </row>
    <row r="15" spans="1:7" ht="15" x14ac:dyDescent="0.2">
      <c r="A15" s="2">
        <v>13</v>
      </c>
      <c r="B15" s="56" t="s">
        <v>3855</v>
      </c>
      <c r="C15" s="2" t="s">
        <v>3409</v>
      </c>
      <c r="G15">
        <v>7</v>
      </c>
    </row>
    <row r="16" spans="1:7" ht="15" x14ac:dyDescent="0.2">
      <c r="A16" s="2">
        <v>14</v>
      </c>
      <c r="B16" s="56" t="s">
        <v>3856</v>
      </c>
      <c r="C16" s="2" t="s">
        <v>3411</v>
      </c>
      <c r="G16">
        <v>9</v>
      </c>
    </row>
    <row r="17" spans="1:7" ht="15" x14ac:dyDescent="0.2">
      <c r="A17" s="2">
        <v>15</v>
      </c>
      <c r="B17" s="56" t="s">
        <v>3857</v>
      </c>
      <c r="C17" s="2" t="s">
        <v>3412</v>
      </c>
      <c r="G17">
        <v>10</v>
      </c>
    </row>
    <row r="18" spans="1:7" ht="15" x14ac:dyDescent="0.2">
      <c r="A18" s="2">
        <v>16</v>
      </c>
      <c r="B18" s="56" t="s">
        <v>3858</v>
      </c>
      <c r="C18" s="2" t="s">
        <v>1546</v>
      </c>
      <c r="G18">
        <v>12</v>
      </c>
    </row>
    <row r="19" spans="1:7" ht="15" x14ac:dyDescent="0.2">
      <c r="A19" s="2">
        <v>17</v>
      </c>
      <c r="B19" s="56" t="s">
        <v>3859</v>
      </c>
      <c r="C19" s="2" t="s">
        <v>1547</v>
      </c>
      <c r="G19">
        <v>13</v>
      </c>
    </row>
    <row r="20" spans="1:7" ht="15" x14ac:dyDescent="0.2">
      <c r="A20" s="2">
        <v>18</v>
      </c>
      <c r="B20" s="56" t="s">
        <v>3860</v>
      </c>
      <c r="C20" s="2" t="s">
        <v>1148</v>
      </c>
      <c r="G20">
        <v>15</v>
      </c>
    </row>
    <row r="21" spans="1:7" ht="15" x14ac:dyDescent="0.2">
      <c r="A21" s="2">
        <v>19</v>
      </c>
      <c r="B21" s="56" t="s">
        <v>3861</v>
      </c>
      <c r="C21" s="2" t="s">
        <v>1152</v>
      </c>
      <c r="G21">
        <v>17</v>
      </c>
    </row>
    <row r="22" spans="1:7" ht="15" x14ac:dyDescent="0.2">
      <c r="A22" s="2">
        <v>20</v>
      </c>
      <c r="B22" s="56" t="s">
        <v>3862</v>
      </c>
      <c r="C22" s="2" t="s">
        <v>3413</v>
      </c>
      <c r="G22">
        <v>16</v>
      </c>
    </row>
    <row r="23" spans="1:7" ht="15" x14ac:dyDescent="0.2">
      <c r="A23" s="2">
        <v>21</v>
      </c>
      <c r="B23" s="56" t="s">
        <v>3863</v>
      </c>
      <c r="C23" s="2" t="s">
        <v>3414</v>
      </c>
      <c r="G23">
        <v>18</v>
      </c>
    </row>
  </sheetData>
  <sortState xmlns:xlrd2="http://schemas.microsoft.com/office/spreadsheetml/2017/richdata2" ref="A2:G23">
    <sortCondition ref="A1:A23"/>
  </sortState>
  <phoneticPr fontId="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066B-CAF0-4A5E-8BA4-5ACC1ECD3D32}">
  <sheetPr codeName="Sheet38"/>
  <dimension ref="A1:F16"/>
  <sheetViews>
    <sheetView workbookViewId="0"/>
  </sheetViews>
  <sheetFormatPr defaultRowHeight="14.25" x14ac:dyDescent="0.2"/>
  <cols>
    <col min="2" max="2" width="36.125" bestFit="1" customWidth="1"/>
    <col min="3" max="3" width="19.25" bestFit="1" customWidth="1"/>
    <col min="4" max="4" width="14.375" bestFit="1" customWidth="1"/>
  </cols>
  <sheetData>
    <row r="1" spans="1:6" x14ac:dyDescent="0.2">
      <c r="A1" t="s">
        <v>16</v>
      </c>
      <c r="B1" t="s">
        <v>18</v>
      </c>
      <c r="C1" t="s">
        <v>19</v>
      </c>
      <c r="D1" t="s">
        <v>20</v>
      </c>
      <c r="E1" t="s">
        <v>881</v>
      </c>
      <c r="F1" t="s">
        <v>21</v>
      </c>
    </row>
    <row r="2" spans="1:6" ht="15" x14ac:dyDescent="0.2">
      <c r="A2">
        <v>0</v>
      </c>
      <c r="B2" s="1" t="s">
        <v>0</v>
      </c>
      <c r="C2" t="s">
        <v>1</v>
      </c>
      <c r="D2" s="4" t="s">
        <v>22</v>
      </c>
      <c r="F2">
        <v>0</v>
      </c>
    </row>
    <row r="3" spans="1:6" ht="15" x14ac:dyDescent="0.2">
      <c r="A3">
        <v>1</v>
      </c>
      <c r="B3" s="1" t="s">
        <v>3544</v>
      </c>
      <c r="C3" t="s">
        <v>2070</v>
      </c>
      <c r="D3" s="4" t="s">
        <v>22</v>
      </c>
      <c r="F3">
        <v>1</v>
      </c>
    </row>
    <row r="4" spans="1:6" ht="15" x14ac:dyDescent="0.2">
      <c r="A4">
        <v>2</v>
      </c>
      <c r="B4" s="1" t="s">
        <v>3543</v>
      </c>
      <c r="C4" t="s">
        <v>3542</v>
      </c>
      <c r="D4" s="4" t="s">
        <v>22</v>
      </c>
    </row>
    <row r="5" spans="1:6" ht="15" x14ac:dyDescent="0.2">
      <c r="A5">
        <v>3</v>
      </c>
      <c r="B5" s="1" t="s">
        <v>447</v>
      </c>
      <c r="C5" t="s">
        <v>448</v>
      </c>
      <c r="D5" s="4" t="s">
        <v>22</v>
      </c>
      <c r="E5" t="b">
        <v>1</v>
      </c>
      <c r="F5">
        <v>2</v>
      </c>
    </row>
    <row r="6" spans="1:6" ht="15" x14ac:dyDescent="0.2">
      <c r="A6">
        <v>4</v>
      </c>
      <c r="B6" s="1" t="s">
        <v>3541</v>
      </c>
      <c r="C6" t="s">
        <v>3406</v>
      </c>
      <c r="D6" s="4" t="s">
        <v>22</v>
      </c>
      <c r="F6">
        <v>3</v>
      </c>
    </row>
    <row r="7" spans="1:6" ht="15" x14ac:dyDescent="0.2">
      <c r="A7">
        <v>5</v>
      </c>
      <c r="B7" s="1" t="s">
        <v>3540</v>
      </c>
      <c r="C7" t="s">
        <v>2827</v>
      </c>
      <c r="D7" s="4" t="s">
        <v>22</v>
      </c>
      <c r="F7">
        <v>6</v>
      </c>
    </row>
    <row r="8" spans="1:6" ht="15" x14ac:dyDescent="0.2">
      <c r="A8">
        <v>6</v>
      </c>
      <c r="B8" s="1" t="s">
        <v>3539</v>
      </c>
      <c r="C8" t="s">
        <v>1082</v>
      </c>
      <c r="D8" s="4" t="s">
        <v>22</v>
      </c>
      <c r="F8">
        <v>9</v>
      </c>
    </row>
    <row r="9" spans="1:6" ht="15" x14ac:dyDescent="0.2">
      <c r="A9">
        <v>7</v>
      </c>
      <c r="B9" s="6" t="s">
        <v>3538</v>
      </c>
      <c r="C9" t="s">
        <v>3408</v>
      </c>
      <c r="F9">
        <v>4</v>
      </c>
    </row>
    <row r="10" spans="1:6" ht="15" x14ac:dyDescent="0.2">
      <c r="A10">
        <v>8</v>
      </c>
      <c r="B10" s="6" t="s">
        <v>3537</v>
      </c>
      <c r="C10" t="s">
        <v>3409</v>
      </c>
      <c r="F10">
        <v>5</v>
      </c>
    </row>
    <row r="11" spans="1:6" ht="15" x14ac:dyDescent="0.2">
      <c r="A11">
        <v>9</v>
      </c>
      <c r="B11" s="6" t="s">
        <v>3536</v>
      </c>
      <c r="C11" t="s">
        <v>2844</v>
      </c>
      <c r="F11">
        <v>7</v>
      </c>
    </row>
    <row r="12" spans="1:6" ht="15" x14ac:dyDescent="0.2">
      <c r="A12">
        <v>10</v>
      </c>
      <c r="B12" s="6" t="s">
        <v>3535</v>
      </c>
      <c r="C12" t="s">
        <v>2845</v>
      </c>
      <c r="F12">
        <v>8</v>
      </c>
    </row>
    <row r="13" spans="1:6" ht="15" x14ac:dyDescent="0.2">
      <c r="A13">
        <v>11</v>
      </c>
      <c r="B13" s="6" t="s">
        <v>3534</v>
      </c>
      <c r="C13" t="s">
        <v>1148</v>
      </c>
      <c r="F13">
        <v>10</v>
      </c>
    </row>
    <row r="14" spans="1:6" ht="15" x14ac:dyDescent="0.2">
      <c r="A14">
        <v>12</v>
      </c>
      <c r="B14" s="6" t="s">
        <v>3533</v>
      </c>
      <c r="C14" t="s">
        <v>1152</v>
      </c>
      <c r="F14">
        <v>12</v>
      </c>
    </row>
    <row r="15" spans="1:6" ht="15" x14ac:dyDescent="0.2">
      <c r="A15">
        <v>13</v>
      </c>
      <c r="B15" s="6" t="s">
        <v>3532</v>
      </c>
      <c r="C15" t="s">
        <v>3413</v>
      </c>
      <c r="F15">
        <v>11</v>
      </c>
    </row>
    <row r="16" spans="1:6" ht="15" x14ac:dyDescent="0.2">
      <c r="A16">
        <v>14</v>
      </c>
      <c r="B16" s="6" t="s">
        <v>3531</v>
      </c>
      <c r="C16" t="s">
        <v>3414</v>
      </c>
      <c r="F16">
        <v>13</v>
      </c>
    </row>
  </sheetData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8A9EE-70FA-478F-A3B9-CC27898022D4}">
  <sheetPr codeName="Sheet39"/>
  <dimension ref="A1:F18"/>
  <sheetViews>
    <sheetView workbookViewId="0"/>
  </sheetViews>
  <sheetFormatPr defaultRowHeight="14.25" x14ac:dyDescent="0.2"/>
  <cols>
    <col min="2" max="2" width="36.125" bestFit="1" customWidth="1"/>
    <col min="3" max="3" width="19.25" bestFit="1" customWidth="1"/>
    <col min="4" max="4" width="14.375" bestFit="1" customWidth="1"/>
  </cols>
  <sheetData>
    <row r="1" spans="1:6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21</v>
      </c>
    </row>
    <row r="2" spans="1:6" ht="15" x14ac:dyDescent="0.2">
      <c r="A2">
        <v>0</v>
      </c>
      <c r="B2" s="1" t="s">
        <v>855</v>
      </c>
      <c r="C2" t="s">
        <v>3486</v>
      </c>
      <c r="D2" s="4" t="s">
        <v>22</v>
      </c>
      <c r="E2" s="4"/>
      <c r="F2">
        <v>0</v>
      </c>
    </row>
    <row r="3" spans="1:6" ht="15" x14ac:dyDescent="0.2">
      <c r="A3">
        <v>1</v>
      </c>
      <c r="B3" s="1" t="s">
        <v>3491</v>
      </c>
      <c r="C3" t="s">
        <v>630</v>
      </c>
      <c r="D3" s="4" t="s">
        <v>22</v>
      </c>
      <c r="E3" s="4"/>
    </row>
    <row r="4" spans="1:6" ht="15" x14ac:dyDescent="0.2">
      <c r="A4" s="2">
        <v>2</v>
      </c>
      <c r="B4" s="3" t="s">
        <v>3487</v>
      </c>
      <c r="C4" s="2" t="s">
        <v>3489</v>
      </c>
      <c r="D4" s="4" t="s">
        <v>22</v>
      </c>
      <c r="E4" s="4"/>
      <c r="F4">
        <v>1</v>
      </c>
    </row>
    <row r="5" spans="1:6" ht="15" x14ac:dyDescent="0.2">
      <c r="A5" s="2">
        <v>3</v>
      </c>
      <c r="B5" s="3" t="s">
        <v>3488</v>
      </c>
      <c r="C5" s="2" t="s">
        <v>3490</v>
      </c>
      <c r="D5" s="4" t="s">
        <v>22</v>
      </c>
      <c r="E5" s="4"/>
      <c r="F5">
        <v>2</v>
      </c>
    </row>
    <row r="6" spans="1:6" ht="15" x14ac:dyDescent="0.2">
      <c r="A6" s="2">
        <v>4</v>
      </c>
      <c r="B6" s="56" t="s">
        <v>3492</v>
      </c>
      <c r="C6" s="2" t="s">
        <v>3494</v>
      </c>
      <c r="D6" s="4"/>
      <c r="E6" s="4"/>
      <c r="F6">
        <v>3</v>
      </c>
    </row>
    <row r="7" spans="1:6" ht="15" x14ac:dyDescent="0.2">
      <c r="A7" s="2">
        <v>5</v>
      </c>
      <c r="B7" s="56" t="s">
        <v>3493</v>
      </c>
      <c r="C7" s="2" t="s">
        <v>3495</v>
      </c>
      <c r="D7" s="4"/>
      <c r="E7" s="4"/>
      <c r="F7">
        <v>4</v>
      </c>
    </row>
    <row r="8" spans="1:6" ht="15" x14ac:dyDescent="0.2">
      <c r="B8" s="1"/>
      <c r="D8" s="4"/>
      <c r="E8" s="4"/>
    </row>
    <row r="9" spans="1:6" ht="15" x14ac:dyDescent="0.2">
      <c r="B9" s="6"/>
    </row>
    <row r="10" spans="1:6" ht="15" x14ac:dyDescent="0.2">
      <c r="B10" s="6"/>
    </row>
    <row r="11" spans="1:6" ht="15" x14ac:dyDescent="0.2">
      <c r="B11" s="6"/>
    </row>
    <row r="12" spans="1:6" ht="15" x14ac:dyDescent="0.2">
      <c r="B12" s="6"/>
    </row>
    <row r="13" spans="1:6" ht="15" x14ac:dyDescent="0.2">
      <c r="B13" s="6"/>
    </row>
    <row r="14" spans="1:6" ht="15" x14ac:dyDescent="0.2">
      <c r="B14" s="6"/>
    </row>
    <row r="15" spans="1:6" ht="15" x14ac:dyDescent="0.2">
      <c r="B15" s="6"/>
    </row>
    <row r="16" spans="1:6" ht="15" x14ac:dyDescent="0.2">
      <c r="B16" s="6"/>
    </row>
    <row r="17" spans="2:2" ht="15" x14ac:dyDescent="0.2">
      <c r="B17" s="6"/>
    </row>
    <row r="18" spans="2:2" ht="15" x14ac:dyDescent="0.2">
      <c r="B18" s="6"/>
    </row>
  </sheetData>
  <phoneticPr fontId="2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5B4D1-ED3B-471D-986E-326D93CEBEDE}">
  <sheetPr codeName="Sheet40"/>
  <dimension ref="A1:F16"/>
  <sheetViews>
    <sheetView workbookViewId="0"/>
  </sheetViews>
  <sheetFormatPr defaultRowHeight="14.25" x14ac:dyDescent="0.2"/>
  <cols>
    <col min="2" max="2" width="36.125" bestFit="1" customWidth="1"/>
    <col min="3" max="3" width="19.25" bestFit="1" customWidth="1"/>
    <col min="4" max="4" width="14.375" bestFit="1" customWidth="1"/>
  </cols>
  <sheetData>
    <row r="1" spans="1:6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21</v>
      </c>
    </row>
    <row r="2" spans="1:6" ht="15" x14ac:dyDescent="0.2">
      <c r="A2">
        <v>0</v>
      </c>
      <c r="B2" s="1" t="s">
        <v>855</v>
      </c>
      <c r="C2" t="s">
        <v>856</v>
      </c>
      <c r="D2" s="4" t="s">
        <v>22</v>
      </c>
      <c r="E2" s="4"/>
      <c r="F2">
        <v>0</v>
      </c>
    </row>
    <row r="3" spans="1:6" ht="15" x14ac:dyDescent="0.2">
      <c r="A3">
        <v>1</v>
      </c>
      <c r="B3" s="1" t="s">
        <v>3508</v>
      </c>
      <c r="C3" t="s">
        <v>3509</v>
      </c>
      <c r="D3" s="4" t="s">
        <v>22</v>
      </c>
      <c r="E3" s="4"/>
      <c r="F3">
        <v>1</v>
      </c>
    </row>
    <row r="4" spans="1:6" ht="15" x14ac:dyDescent="0.2">
      <c r="A4">
        <v>2</v>
      </c>
      <c r="B4" s="6" t="s">
        <v>3510</v>
      </c>
      <c r="C4" t="s">
        <v>3511</v>
      </c>
      <c r="D4" s="4" t="s">
        <v>22</v>
      </c>
      <c r="E4" s="4"/>
      <c r="F4">
        <v>2</v>
      </c>
    </row>
    <row r="5" spans="1:6" ht="15" x14ac:dyDescent="0.2">
      <c r="A5">
        <v>3</v>
      </c>
      <c r="B5" s="6" t="s">
        <v>3512</v>
      </c>
      <c r="C5" t="s">
        <v>3513</v>
      </c>
      <c r="D5" s="4" t="s">
        <v>22</v>
      </c>
      <c r="E5" s="4"/>
      <c r="F5">
        <v>3</v>
      </c>
    </row>
    <row r="6" spans="1:6" ht="15" x14ac:dyDescent="0.2">
      <c r="B6" s="1"/>
      <c r="D6" s="4"/>
      <c r="E6" s="4"/>
    </row>
    <row r="7" spans="1:6" ht="15" x14ac:dyDescent="0.2">
      <c r="B7" s="6"/>
    </row>
    <row r="8" spans="1:6" ht="15" x14ac:dyDescent="0.2">
      <c r="B8" s="6"/>
    </row>
    <row r="9" spans="1:6" ht="15" x14ac:dyDescent="0.2">
      <c r="B9" s="6"/>
    </row>
    <row r="10" spans="1:6" ht="15" x14ac:dyDescent="0.2">
      <c r="B10" s="6"/>
    </row>
    <row r="11" spans="1:6" ht="15" x14ac:dyDescent="0.2">
      <c r="B11" s="6"/>
    </row>
    <row r="12" spans="1:6" ht="15" x14ac:dyDescent="0.2">
      <c r="B12" s="6"/>
    </row>
    <row r="13" spans="1:6" ht="15" x14ac:dyDescent="0.2">
      <c r="B13" s="6"/>
    </row>
    <row r="14" spans="1:6" ht="15" x14ac:dyDescent="0.2">
      <c r="B14" s="6"/>
    </row>
    <row r="15" spans="1:6" ht="15" x14ac:dyDescent="0.2">
      <c r="B15" s="6"/>
    </row>
    <row r="16" spans="1:6" ht="15" x14ac:dyDescent="0.2">
      <c r="B16" s="6"/>
    </row>
  </sheetData>
  <phoneticPr fontId="2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B8D1A-71B4-46F4-B386-907D3EE40FC6}">
  <sheetPr codeName="Sheet41"/>
  <dimension ref="A1:F20"/>
  <sheetViews>
    <sheetView workbookViewId="0"/>
  </sheetViews>
  <sheetFormatPr defaultRowHeight="14.25" x14ac:dyDescent="0.2"/>
  <cols>
    <col min="2" max="2" width="36.125" bestFit="1" customWidth="1"/>
    <col min="3" max="3" width="25.5" bestFit="1" customWidth="1"/>
    <col min="4" max="4" width="14.375" style="4" bestFit="1" customWidth="1"/>
    <col min="5" max="5" width="9" style="4"/>
  </cols>
  <sheetData>
    <row r="1" spans="1:6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21</v>
      </c>
    </row>
    <row r="2" spans="1:6" ht="15" x14ac:dyDescent="0.2">
      <c r="A2">
        <v>0</v>
      </c>
      <c r="B2" s="1" t="s">
        <v>855</v>
      </c>
      <c r="C2" t="s">
        <v>856</v>
      </c>
      <c r="D2" s="4" t="s">
        <v>22</v>
      </c>
      <c r="F2">
        <v>0</v>
      </c>
    </row>
    <row r="3" spans="1:6" ht="15" x14ac:dyDescent="0.2">
      <c r="A3">
        <v>1</v>
      </c>
      <c r="B3" s="1" t="s">
        <v>3496</v>
      </c>
      <c r="C3" t="s">
        <v>3504</v>
      </c>
      <c r="D3" s="4" t="s">
        <v>22</v>
      </c>
      <c r="E3" s="4" t="s">
        <v>22</v>
      </c>
      <c r="F3">
        <v>4</v>
      </c>
    </row>
    <row r="4" spans="1:6" ht="15" x14ac:dyDescent="0.2">
      <c r="A4">
        <v>2</v>
      </c>
      <c r="B4" s="1" t="s">
        <v>3497</v>
      </c>
      <c r="C4" t="s">
        <v>867</v>
      </c>
      <c r="D4" s="4" t="s">
        <v>22</v>
      </c>
      <c r="F4">
        <v>1</v>
      </c>
    </row>
    <row r="5" spans="1:6" ht="15" x14ac:dyDescent="0.2">
      <c r="A5">
        <v>3</v>
      </c>
      <c r="B5" s="1" t="s">
        <v>3498</v>
      </c>
      <c r="C5" t="s">
        <v>3503</v>
      </c>
      <c r="D5" s="4" t="s">
        <v>22</v>
      </c>
      <c r="F5">
        <v>11</v>
      </c>
    </row>
    <row r="6" spans="1:6" ht="15" x14ac:dyDescent="0.2">
      <c r="A6">
        <v>4</v>
      </c>
      <c r="B6" s="1" t="s">
        <v>3499</v>
      </c>
      <c r="C6" t="s">
        <v>3832</v>
      </c>
      <c r="D6" s="4" t="s">
        <v>22</v>
      </c>
      <c r="F6">
        <v>12</v>
      </c>
    </row>
    <row r="7" spans="1:6" ht="15" x14ac:dyDescent="0.2">
      <c r="A7">
        <v>5</v>
      </c>
      <c r="B7" s="1" t="s">
        <v>3500</v>
      </c>
      <c r="C7" t="s">
        <v>3833</v>
      </c>
      <c r="D7" s="4" t="s">
        <v>22</v>
      </c>
      <c r="F7">
        <v>13</v>
      </c>
    </row>
    <row r="8" spans="1:6" ht="15" x14ac:dyDescent="0.2">
      <c r="A8">
        <v>6</v>
      </c>
      <c r="B8" s="6" t="s">
        <v>3501</v>
      </c>
      <c r="C8" t="s">
        <v>868</v>
      </c>
      <c r="F8">
        <v>2</v>
      </c>
    </row>
    <row r="9" spans="1:6" ht="15" x14ac:dyDescent="0.2">
      <c r="A9">
        <v>7</v>
      </c>
      <c r="B9" s="6" t="s">
        <v>3502</v>
      </c>
      <c r="C9" t="s">
        <v>869</v>
      </c>
      <c r="F9">
        <v>3</v>
      </c>
    </row>
    <row r="10" spans="1:6" ht="15" x14ac:dyDescent="0.2">
      <c r="A10" s="2">
        <v>8</v>
      </c>
      <c r="B10" s="3" t="s">
        <v>3820</v>
      </c>
      <c r="C10" s="2" t="s">
        <v>3834</v>
      </c>
      <c r="D10" s="4" t="s">
        <v>22</v>
      </c>
      <c r="F10">
        <v>5</v>
      </c>
    </row>
    <row r="11" spans="1:6" ht="15" x14ac:dyDescent="0.2">
      <c r="A11" s="2">
        <v>9</v>
      </c>
      <c r="B11" s="3" t="s">
        <v>3821</v>
      </c>
      <c r="C11" s="2" t="s">
        <v>3835</v>
      </c>
      <c r="D11" s="4" t="s">
        <v>22</v>
      </c>
      <c r="E11" s="4" t="s">
        <v>22</v>
      </c>
      <c r="F11">
        <v>6</v>
      </c>
    </row>
    <row r="12" spans="1:6" ht="15" x14ac:dyDescent="0.2">
      <c r="A12" s="2">
        <v>10</v>
      </c>
      <c r="B12" s="3" t="s">
        <v>3822</v>
      </c>
      <c r="C12" s="2" t="s">
        <v>3836</v>
      </c>
      <c r="D12" s="4" t="s">
        <v>22</v>
      </c>
      <c r="F12">
        <v>7</v>
      </c>
    </row>
    <row r="13" spans="1:6" ht="15" x14ac:dyDescent="0.2">
      <c r="A13" s="2">
        <v>11</v>
      </c>
      <c r="B13" s="3" t="s">
        <v>3823</v>
      </c>
      <c r="C13" s="2" t="s">
        <v>3505</v>
      </c>
      <c r="D13" s="4" t="s">
        <v>22</v>
      </c>
      <c r="E13" s="4" t="s">
        <v>22</v>
      </c>
      <c r="F13">
        <v>8</v>
      </c>
    </row>
    <row r="14" spans="1:6" ht="15" x14ac:dyDescent="0.2">
      <c r="A14" s="2">
        <v>12</v>
      </c>
      <c r="B14" s="3" t="s">
        <v>3824</v>
      </c>
      <c r="C14" s="2" t="s">
        <v>3506</v>
      </c>
      <c r="D14" s="4" t="s">
        <v>22</v>
      </c>
      <c r="E14" s="4" t="s">
        <v>22</v>
      </c>
      <c r="F14">
        <v>9</v>
      </c>
    </row>
    <row r="15" spans="1:6" ht="15" x14ac:dyDescent="0.2">
      <c r="A15" s="2">
        <v>13</v>
      </c>
      <c r="B15" s="3" t="s">
        <v>3825</v>
      </c>
      <c r="C15" s="2" t="s">
        <v>3507</v>
      </c>
      <c r="D15" s="4" t="s">
        <v>22</v>
      </c>
      <c r="E15" s="4" t="s">
        <v>22</v>
      </c>
      <c r="F15">
        <v>10</v>
      </c>
    </row>
    <row r="16" spans="1:6" ht="15" x14ac:dyDescent="0.2">
      <c r="B16" s="6"/>
    </row>
    <row r="17" spans="2:2" ht="15" x14ac:dyDescent="0.2">
      <c r="B17" s="6"/>
    </row>
    <row r="18" spans="2:2" ht="15" x14ac:dyDescent="0.2">
      <c r="B18" s="6"/>
    </row>
    <row r="19" spans="2:2" ht="15" x14ac:dyDescent="0.2">
      <c r="B19" s="6"/>
    </row>
    <row r="20" spans="2:2" ht="15" x14ac:dyDescent="0.2">
      <c r="B20" s="6"/>
    </row>
  </sheetData>
  <sortState xmlns:xlrd2="http://schemas.microsoft.com/office/spreadsheetml/2017/richdata2" ref="A2:F15">
    <sortCondition ref="A1:A15"/>
  </sortState>
  <phoneticPr fontId="2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327F-E23E-4092-9DB1-A75A9B2D0F69}">
  <sheetPr codeName="Sheet50"/>
  <dimension ref="A1:F20"/>
  <sheetViews>
    <sheetView workbookViewId="0"/>
  </sheetViews>
  <sheetFormatPr defaultRowHeight="14.25" x14ac:dyDescent="0.2"/>
  <cols>
    <col min="2" max="2" width="36.125" bestFit="1" customWidth="1"/>
    <col min="3" max="3" width="25.5" bestFit="1" customWidth="1"/>
    <col min="4" max="4" width="14.375" bestFit="1" customWidth="1"/>
  </cols>
  <sheetData>
    <row r="1" spans="1:6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21</v>
      </c>
    </row>
    <row r="2" spans="1:6" ht="15" x14ac:dyDescent="0.2">
      <c r="A2">
        <v>0</v>
      </c>
      <c r="B2" s="1" t="s">
        <v>855</v>
      </c>
      <c r="C2" t="s">
        <v>3486</v>
      </c>
      <c r="D2" s="4" t="s">
        <v>22</v>
      </c>
      <c r="E2" s="4"/>
      <c r="F2">
        <v>0</v>
      </c>
    </row>
    <row r="3" spans="1:6" ht="15" x14ac:dyDescent="0.2">
      <c r="A3">
        <v>1</v>
      </c>
      <c r="B3" s="1" t="s">
        <v>3491</v>
      </c>
      <c r="C3" t="s">
        <v>630</v>
      </c>
      <c r="D3" s="4" t="s">
        <v>22</v>
      </c>
      <c r="E3" s="4"/>
    </row>
    <row r="4" spans="1:6" ht="15" x14ac:dyDescent="0.2">
      <c r="A4" s="2">
        <v>2</v>
      </c>
      <c r="B4" s="3" t="s">
        <v>3487</v>
      </c>
      <c r="C4" s="2" t="s">
        <v>3489</v>
      </c>
      <c r="D4" s="4" t="s">
        <v>22</v>
      </c>
      <c r="E4" s="4"/>
      <c r="F4">
        <v>1</v>
      </c>
    </row>
    <row r="5" spans="1:6" ht="15" x14ac:dyDescent="0.2">
      <c r="A5" s="2">
        <v>3</v>
      </c>
      <c r="B5" s="3" t="s">
        <v>3488</v>
      </c>
      <c r="C5" s="2" t="s">
        <v>3490</v>
      </c>
      <c r="D5" s="4" t="s">
        <v>22</v>
      </c>
      <c r="E5" s="4"/>
      <c r="F5">
        <v>2</v>
      </c>
    </row>
    <row r="6" spans="1:6" ht="15" x14ac:dyDescent="0.2">
      <c r="A6" s="7">
        <v>4</v>
      </c>
      <c r="B6" s="8" t="s">
        <v>3807</v>
      </c>
      <c r="C6" s="7" t="s">
        <v>3811</v>
      </c>
      <c r="D6" s="4"/>
      <c r="E6" s="4"/>
      <c r="F6">
        <v>3</v>
      </c>
    </row>
    <row r="7" spans="1:6" ht="15" x14ac:dyDescent="0.2">
      <c r="A7" s="7">
        <v>5</v>
      </c>
      <c r="B7" s="8" t="s">
        <v>3808</v>
      </c>
      <c r="C7" s="7" t="s">
        <v>3812</v>
      </c>
      <c r="D7" s="4"/>
      <c r="E7" s="4"/>
      <c r="F7">
        <v>4</v>
      </c>
    </row>
    <row r="8" spans="1:6" ht="15" x14ac:dyDescent="0.2">
      <c r="A8" s="7">
        <v>6</v>
      </c>
      <c r="B8" s="8" t="s">
        <v>3496</v>
      </c>
      <c r="C8" s="7" t="s">
        <v>3504</v>
      </c>
      <c r="D8" s="4" t="s">
        <v>22</v>
      </c>
      <c r="E8" s="4" t="s">
        <v>22</v>
      </c>
      <c r="F8">
        <v>8</v>
      </c>
    </row>
    <row r="9" spans="1:6" ht="15" x14ac:dyDescent="0.2">
      <c r="A9" s="7">
        <v>7</v>
      </c>
      <c r="B9" s="8" t="s">
        <v>3497</v>
      </c>
      <c r="C9" s="7" t="s">
        <v>3813</v>
      </c>
      <c r="D9" s="4"/>
      <c r="E9" s="4"/>
      <c r="F9">
        <v>5</v>
      </c>
    </row>
    <row r="10" spans="1:6" ht="15" x14ac:dyDescent="0.2">
      <c r="A10" s="7">
        <v>8</v>
      </c>
      <c r="B10" s="8" t="s">
        <v>3498</v>
      </c>
      <c r="C10" s="7" t="s">
        <v>3814</v>
      </c>
      <c r="F10">
        <v>15</v>
      </c>
    </row>
    <row r="11" spans="1:6" ht="15" x14ac:dyDescent="0.2">
      <c r="A11" s="7">
        <v>9</v>
      </c>
      <c r="B11" s="8" t="s">
        <v>3499</v>
      </c>
      <c r="C11" s="7" t="s">
        <v>3832</v>
      </c>
      <c r="F11">
        <v>16</v>
      </c>
    </row>
    <row r="12" spans="1:6" ht="15" x14ac:dyDescent="0.2">
      <c r="A12" s="7">
        <v>10</v>
      </c>
      <c r="B12" s="8" t="s">
        <v>3500</v>
      </c>
      <c r="C12" s="7" t="s">
        <v>3833</v>
      </c>
      <c r="F12">
        <v>17</v>
      </c>
    </row>
    <row r="13" spans="1:6" ht="15" x14ac:dyDescent="0.2">
      <c r="A13" s="7">
        <v>11</v>
      </c>
      <c r="B13" s="21" t="s">
        <v>3809</v>
      </c>
      <c r="C13" s="7" t="s">
        <v>3815</v>
      </c>
      <c r="F13">
        <v>6</v>
      </c>
    </row>
    <row r="14" spans="1:6" ht="15" x14ac:dyDescent="0.2">
      <c r="A14" s="7">
        <v>12</v>
      </c>
      <c r="B14" s="21" t="s">
        <v>3810</v>
      </c>
      <c r="C14" s="7" t="s">
        <v>3816</v>
      </c>
      <c r="F14">
        <v>7</v>
      </c>
    </row>
    <row r="15" spans="1:6" ht="15" x14ac:dyDescent="0.2">
      <c r="A15" s="15">
        <v>13</v>
      </c>
      <c r="B15" s="16" t="s">
        <v>3826</v>
      </c>
      <c r="C15" s="15" t="s">
        <v>3834</v>
      </c>
      <c r="F15">
        <v>9</v>
      </c>
    </row>
    <row r="16" spans="1:6" ht="15" x14ac:dyDescent="0.2">
      <c r="A16" s="15">
        <v>14</v>
      </c>
      <c r="B16" s="16" t="s">
        <v>3827</v>
      </c>
      <c r="C16" s="15" t="s">
        <v>3835</v>
      </c>
      <c r="F16">
        <v>10</v>
      </c>
    </row>
    <row r="17" spans="1:6" ht="15" x14ac:dyDescent="0.2">
      <c r="A17" s="15">
        <v>15</v>
      </c>
      <c r="B17" s="16" t="s">
        <v>3828</v>
      </c>
      <c r="C17" s="15" t="s">
        <v>3836</v>
      </c>
      <c r="F17">
        <v>11</v>
      </c>
    </row>
    <row r="18" spans="1:6" ht="15" x14ac:dyDescent="0.2">
      <c r="A18" s="15">
        <v>16</v>
      </c>
      <c r="B18" s="16" t="s">
        <v>3829</v>
      </c>
      <c r="C18" s="15" t="s">
        <v>3817</v>
      </c>
      <c r="F18">
        <v>12</v>
      </c>
    </row>
    <row r="19" spans="1:6" ht="15" x14ac:dyDescent="0.2">
      <c r="A19" s="15">
        <v>17</v>
      </c>
      <c r="B19" s="16" t="s">
        <v>3830</v>
      </c>
      <c r="C19" s="15" t="s">
        <v>3818</v>
      </c>
      <c r="F19">
        <v>13</v>
      </c>
    </row>
    <row r="20" spans="1:6" ht="15" x14ac:dyDescent="0.2">
      <c r="A20" s="15">
        <v>18</v>
      </c>
      <c r="B20" s="16" t="s">
        <v>3831</v>
      </c>
      <c r="C20" s="15" t="s">
        <v>3819</v>
      </c>
      <c r="F20">
        <v>14</v>
      </c>
    </row>
  </sheetData>
  <sortState xmlns:xlrd2="http://schemas.microsoft.com/office/spreadsheetml/2017/richdata2" ref="A2:F20">
    <sortCondition ref="A1:A20"/>
  </sortState>
  <phoneticPr fontId="2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968F-E5DF-4CBD-ADFB-08FA8A3F4044}">
  <sheetPr codeName="Sheet9"/>
  <dimension ref="A1:G299"/>
  <sheetViews>
    <sheetView zoomScaleNormal="100" workbookViewId="0"/>
  </sheetViews>
  <sheetFormatPr defaultRowHeight="14.25" x14ac:dyDescent="0.2"/>
  <cols>
    <col min="2" max="2" width="104.875" bestFit="1" customWidth="1"/>
    <col min="3" max="3" width="58.75" bestFit="1" customWidth="1"/>
    <col min="4" max="4" width="14.375" style="4" bestFit="1" customWidth="1"/>
    <col min="5" max="5" width="9" style="4"/>
  </cols>
  <sheetData>
    <row r="1" spans="1:7" x14ac:dyDescent="0.2">
      <c r="A1" t="s">
        <v>16</v>
      </c>
      <c r="B1" t="s">
        <v>18</v>
      </c>
      <c r="C1" t="s">
        <v>19</v>
      </c>
      <c r="D1" s="4" t="s">
        <v>20</v>
      </c>
      <c r="E1" s="4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G2">
        <v>0</v>
      </c>
    </row>
    <row r="3" spans="1:7" ht="15" x14ac:dyDescent="0.2">
      <c r="A3">
        <v>1</v>
      </c>
      <c r="B3" s="1" t="s">
        <v>523</v>
      </c>
      <c r="C3" t="s">
        <v>2124</v>
      </c>
      <c r="D3" s="4" t="s">
        <v>22</v>
      </c>
      <c r="G3">
        <v>1</v>
      </c>
    </row>
    <row r="4" spans="1:7" ht="15" x14ac:dyDescent="0.2">
      <c r="A4">
        <v>2</v>
      </c>
      <c r="B4" s="1" t="s">
        <v>2075</v>
      </c>
      <c r="C4" t="s">
        <v>2125</v>
      </c>
      <c r="D4" s="4" t="s">
        <v>22</v>
      </c>
      <c r="G4">
        <v>2</v>
      </c>
    </row>
    <row r="5" spans="1:7" ht="15" x14ac:dyDescent="0.2">
      <c r="A5">
        <v>3</v>
      </c>
      <c r="B5" s="1" t="s">
        <v>2076</v>
      </c>
      <c r="C5" t="s">
        <v>867</v>
      </c>
      <c r="D5" s="4" t="s">
        <v>22</v>
      </c>
      <c r="G5">
        <v>4</v>
      </c>
    </row>
    <row r="6" spans="1:7" ht="15" x14ac:dyDescent="0.2">
      <c r="A6">
        <v>4</v>
      </c>
      <c r="B6" s="1" t="s">
        <v>2077</v>
      </c>
      <c r="C6" t="s">
        <v>2128</v>
      </c>
      <c r="D6" s="4" t="s">
        <v>22</v>
      </c>
      <c r="E6" s="4" t="s">
        <v>22</v>
      </c>
      <c r="G6">
        <v>7</v>
      </c>
    </row>
    <row r="7" spans="1:7" ht="15" x14ac:dyDescent="0.2">
      <c r="A7">
        <v>5</v>
      </c>
      <c r="B7" s="1" t="s">
        <v>2078</v>
      </c>
      <c r="C7" t="s">
        <v>2129</v>
      </c>
      <c r="D7" s="4" t="s">
        <v>22</v>
      </c>
      <c r="E7" s="4" t="s">
        <v>22</v>
      </c>
      <c r="G7">
        <v>3</v>
      </c>
    </row>
    <row r="8" spans="1:7" ht="15" x14ac:dyDescent="0.2">
      <c r="A8">
        <v>6</v>
      </c>
      <c r="B8" s="1" t="s">
        <v>2079</v>
      </c>
      <c r="C8" t="s">
        <v>2130</v>
      </c>
      <c r="D8" s="4" t="s">
        <v>22</v>
      </c>
      <c r="G8">
        <v>220</v>
      </c>
    </row>
    <row r="9" spans="1:7" ht="15" x14ac:dyDescent="0.2">
      <c r="A9">
        <v>7</v>
      </c>
      <c r="B9" s="1" t="s">
        <v>2080</v>
      </c>
      <c r="C9" t="s">
        <v>2131</v>
      </c>
      <c r="D9" s="4" t="s">
        <v>22</v>
      </c>
      <c r="G9">
        <v>221</v>
      </c>
    </row>
    <row r="10" spans="1:7" ht="15" x14ac:dyDescent="0.2">
      <c r="A10">
        <v>8</v>
      </c>
      <c r="B10" s="1" t="s">
        <v>2081</v>
      </c>
      <c r="D10" s="4" t="s">
        <v>22</v>
      </c>
      <c r="G10">
        <v>236</v>
      </c>
    </row>
    <row r="11" spans="1:7" ht="15" x14ac:dyDescent="0.2">
      <c r="A11">
        <v>9</v>
      </c>
      <c r="B11" s="1" t="s">
        <v>2082</v>
      </c>
      <c r="D11" s="4" t="s">
        <v>22</v>
      </c>
      <c r="E11" s="4" t="s">
        <v>22</v>
      </c>
      <c r="G11">
        <v>237</v>
      </c>
    </row>
    <row r="12" spans="1:7" ht="15" x14ac:dyDescent="0.2">
      <c r="A12">
        <v>10</v>
      </c>
      <c r="B12" s="1" t="s">
        <v>2083</v>
      </c>
      <c r="C12" t="s">
        <v>2132</v>
      </c>
      <c r="D12" s="4" t="s">
        <v>22</v>
      </c>
      <c r="E12" s="4" t="s">
        <v>22</v>
      </c>
      <c r="G12">
        <v>9</v>
      </c>
    </row>
    <row r="13" spans="1:7" ht="15" x14ac:dyDescent="0.2">
      <c r="A13">
        <v>11</v>
      </c>
      <c r="B13" s="1" t="s">
        <v>2084</v>
      </c>
      <c r="C13" t="s">
        <v>2133</v>
      </c>
      <c r="D13" s="4" t="s">
        <v>22</v>
      </c>
      <c r="E13" s="4" t="s">
        <v>22</v>
      </c>
      <c r="G13">
        <v>11</v>
      </c>
    </row>
    <row r="14" spans="1:7" ht="15" x14ac:dyDescent="0.2">
      <c r="A14">
        <v>12</v>
      </c>
      <c r="B14" s="1" t="s">
        <v>2085</v>
      </c>
      <c r="C14" t="s">
        <v>2134</v>
      </c>
      <c r="D14" s="4" t="s">
        <v>22</v>
      </c>
      <c r="G14">
        <v>13</v>
      </c>
    </row>
    <row r="15" spans="1:7" ht="15" x14ac:dyDescent="0.2">
      <c r="A15">
        <v>13</v>
      </c>
      <c r="B15" s="1" t="s">
        <v>41</v>
      </c>
      <c r="C15" t="s">
        <v>2135</v>
      </c>
      <c r="D15" s="4" t="s">
        <v>22</v>
      </c>
      <c r="E15" s="4" t="s">
        <v>22</v>
      </c>
      <c r="G15">
        <v>15</v>
      </c>
    </row>
    <row r="16" spans="1:7" ht="15" x14ac:dyDescent="0.2">
      <c r="A16">
        <v>14</v>
      </c>
      <c r="B16" s="1" t="s">
        <v>2086</v>
      </c>
      <c r="C16" t="s">
        <v>2136</v>
      </c>
      <c r="D16" s="4" t="s">
        <v>22</v>
      </c>
      <c r="E16" s="4" t="s">
        <v>22</v>
      </c>
      <c r="G16">
        <v>20</v>
      </c>
    </row>
    <row r="17" spans="1:7" ht="15" x14ac:dyDescent="0.2">
      <c r="A17">
        <v>15</v>
      </c>
      <c r="B17" s="1" t="s">
        <v>2087</v>
      </c>
      <c r="C17" t="s">
        <v>2143</v>
      </c>
      <c r="D17" s="4" t="s">
        <v>22</v>
      </c>
      <c r="E17" s="4" t="s">
        <v>22</v>
      </c>
      <c r="G17">
        <v>21</v>
      </c>
    </row>
    <row r="18" spans="1:7" ht="15" x14ac:dyDescent="0.2">
      <c r="A18">
        <v>16</v>
      </c>
      <c r="B18" s="1" t="s">
        <v>2088</v>
      </c>
      <c r="C18" t="s">
        <v>2146</v>
      </c>
      <c r="D18" s="4" t="s">
        <v>22</v>
      </c>
      <c r="E18" s="4" t="s">
        <v>22</v>
      </c>
      <c r="G18">
        <v>25</v>
      </c>
    </row>
    <row r="19" spans="1:7" ht="15" x14ac:dyDescent="0.2">
      <c r="A19">
        <v>17</v>
      </c>
      <c r="B19" s="1" t="s">
        <v>2089</v>
      </c>
      <c r="C19" t="s">
        <v>2149</v>
      </c>
      <c r="D19" s="4" t="s">
        <v>22</v>
      </c>
      <c r="G19">
        <v>27</v>
      </c>
    </row>
    <row r="20" spans="1:7" ht="15" x14ac:dyDescent="0.2">
      <c r="A20">
        <v>18</v>
      </c>
      <c r="B20" s="1" t="s">
        <v>2090</v>
      </c>
      <c r="C20" t="s">
        <v>2152</v>
      </c>
      <c r="D20" s="4" t="s">
        <v>22</v>
      </c>
      <c r="E20" s="4" t="s">
        <v>22</v>
      </c>
      <c r="G20">
        <v>33</v>
      </c>
    </row>
    <row r="21" spans="1:7" ht="15" x14ac:dyDescent="0.2">
      <c r="A21">
        <v>19</v>
      </c>
      <c r="B21" s="1" t="s">
        <v>2091</v>
      </c>
      <c r="C21" t="s">
        <v>2153</v>
      </c>
      <c r="D21" s="4" t="s">
        <v>22</v>
      </c>
      <c r="E21" s="4" t="s">
        <v>22</v>
      </c>
      <c r="G21">
        <v>31</v>
      </c>
    </row>
    <row r="22" spans="1:7" ht="15" x14ac:dyDescent="0.2">
      <c r="A22">
        <v>20</v>
      </c>
      <c r="B22" s="1" t="s">
        <v>3900</v>
      </c>
      <c r="C22" t="s">
        <v>2155</v>
      </c>
      <c r="D22" s="4" t="s">
        <v>22</v>
      </c>
      <c r="E22" s="4" t="s">
        <v>22</v>
      </c>
      <c r="G22">
        <v>171</v>
      </c>
    </row>
    <row r="23" spans="1:7" ht="15" x14ac:dyDescent="0.2">
      <c r="A23">
        <v>21</v>
      </c>
      <c r="B23" s="1" t="s">
        <v>2092</v>
      </c>
      <c r="C23" t="s">
        <v>2156</v>
      </c>
      <c r="D23" s="4" t="s">
        <v>22</v>
      </c>
      <c r="E23" s="4" t="s">
        <v>22</v>
      </c>
      <c r="G23">
        <v>153</v>
      </c>
    </row>
    <row r="24" spans="1:7" ht="15" x14ac:dyDescent="0.2">
      <c r="A24">
        <v>22</v>
      </c>
      <c r="B24" s="1" t="s">
        <v>2093</v>
      </c>
      <c r="C24" t="s">
        <v>2159</v>
      </c>
      <c r="D24" s="4" t="s">
        <v>22</v>
      </c>
      <c r="E24" s="4" t="s">
        <v>22</v>
      </c>
      <c r="G24">
        <v>34</v>
      </c>
    </row>
    <row r="25" spans="1:7" ht="15" x14ac:dyDescent="0.2">
      <c r="A25">
        <v>23</v>
      </c>
      <c r="B25" s="1" t="s">
        <v>2094</v>
      </c>
      <c r="D25" s="4" t="s">
        <v>22</v>
      </c>
      <c r="E25" s="4" t="s">
        <v>22</v>
      </c>
      <c r="G25">
        <v>238</v>
      </c>
    </row>
    <row r="26" spans="1:7" ht="15" x14ac:dyDescent="0.2">
      <c r="A26">
        <v>24</v>
      </c>
      <c r="B26" s="1" t="s">
        <v>2095</v>
      </c>
      <c r="C26" t="s">
        <v>2160</v>
      </c>
      <c r="D26" s="4" t="s">
        <v>22</v>
      </c>
      <c r="E26" s="4" t="s">
        <v>22</v>
      </c>
      <c r="G26">
        <v>36</v>
      </c>
    </row>
    <row r="27" spans="1:7" ht="15" x14ac:dyDescent="0.2">
      <c r="A27">
        <v>25</v>
      </c>
      <c r="B27" s="1" t="s">
        <v>3876</v>
      </c>
      <c r="C27" t="s">
        <v>2161</v>
      </c>
      <c r="D27" s="4" t="s">
        <v>22</v>
      </c>
      <c r="E27" s="4" t="s">
        <v>22</v>
      </c>
      <c r="G27">
        <v>69</v>
      </c>
    </row>
    <row r="28" spans="1:7" ht="15" x14ac:dyDescent="0.2">
      <c r="A28">
        <v>26</v>
      </c>
      <c r="B28" s="1" t="s">
        <v>2096</v>
      </c>
      <c r="C28" t="s">
        <v>2163</v>
      </c>
      <c r="D28" s="4" t="s">
        <v>22</v>
      </c>
      <c r="E28" s="4" t="s">
        <v>22</v>
      </c>
      <c r="G28">
        <v>37</v>
      </c>
    </row>
    <row r="29" spans="1:7" ht="15" x14ac:dyDescent="0.2">
      <c r="A29">
        <v>27</v>
      </c>
      <c r="B29" s="1" t="s">
        <v>2097</v>
      </c>
      <c r="C29" t="s">
        <v>2164</v>
      </c>
      <c r="D29" s="4" t="s">
        <v>22</v>
      </c>
      <c r="E29" s="4" t="s">
        <v>22</v>
      </c>
      <c r="G29">
        <v>73</v>
      </c>
    </row>
    <row r="30" spans="1:7" ht="15" x14ac:dyDescent="0.2">
      <c r="A30">
        <v>28</v>
      </c>
      <c r="B30" s="1" t="s">
        <v>2098</v>
      </c>
      <c r="D30" s="4" t="s">
        <v>22</v>
      </c>
      <c r="E30" s="4" t="s">
        <v>22</v>
      </c>
      <c r="G30">
        <v>239</v>
      </c>
    </row>
    <row r="31" spans="1:7" ht="15" x14ac:dyDescent="0.2">
      <c r="A31">
        <v>29</v>
      </c>
      <c r="B31" s="1" t="s">
        <v>2099</v>
      </c>
      <c r="C31" t="s">
        <v>2177</v>
      </c>
      <c r="D31" s="4" t="s">
        <v>22</v>
      </c>
      <c r="E31" s="4" t="s">
        <v>22</v>
      </c>
      <c r="G31">
        <v>154</v>
      </c>
    </row>
    <row r="32" spans="1:7" ht="15" x14ac:dyDescent="0.2">
      <c r="A32">
        <v>30</v>
      </c>
      <c r="B32" s="1" t="s">
        <v>2100</v>
      </c>
      <c r="C32" t="s">
        <v>2165</v>
      </c>
      <c r="D32" s="4" t="s">
        <v>22</v>
      </c>
      <c r="E32" s="4" t="s">
        <v>22</v>
      </c>
      <c r="G32">
        <v>16</v>
      </c>
    </row>
    <row r="33" spans="1:7" ht="15" x14ac:dyDescent="0.2">
      <c r="A33">
        <v>31</v>
      </c>
      <c r="B33" s="1" t="s">
        <v>2101</v>
      </c>
      <c r="C33" t="s">
        <v>2170</v>
      </c>
      <c r="D33" s="4" t="s">
        <v>22</v>
      </c>
      <c r="E33" s="4" t="s">
        <v>22</v>
      </c>
      <c r="G33">
        <v>216</v>
      </c>
    </row>
    <row r="34" spans="1:7" ht="15" x14ac:dyDescent="0.2">
      <c r="A34">
        <v>32</v>
      </c>
      <c r="B34" s="1" t="s">
        <v>2102</v>
      </c>
      <c r="C34" t="s">
        <v>2171</v>
      </c>
      <c r="D34" s="4" t="s">
        <v>22</v>
      </c>
      <c r="E34" s="4" t="s">
        <v>22</v>
      </c>
      <c r="G34">
        <v>218</v>
      </c>
    </row>
    <row r="35" spans="1:7" ht="15" x14ac:dyDescent="0.2">
      <c r="A35">
        <v>33</v>
      </c>
      <c r="B35" s="1" t="s">
        <v>2103</v>
      </c>
      <c r="C35" t="s">
        <v>2176</v>
      </c>
      <c r="D35" s="4" t="s">
        <v>22</v>
      </c>
      <c r="E35" s="4" t="s">
        <v>22</v>
      </c>
      <c r="G35">
        <v>235</v>
      </c>
    </row>
    <row r="36" spans="1:7" ht="15" x14ac:dyDescent="0.2">
      <c r="A36">
        <v>34</v>
      </c>
      <c r="B36" s="1" t="s">
        <v>3887</v>
      </c>
      <c r="C36" t="s">
        <v>2178</v>
      </c>
      <c r="D36" s="4" t="s">
        <v>22</v>
      </c>
      <c r="E36" s="4" t="s">
        <v>22</v>
      </c>
      <c r="G36">
        <v>155</v>
      </c>
    </row>
    <row r="37" spans="1:7" ht="15" x14ac:dyDescent="0.2">
      <c r="A37">
        <v>35</v>
      </c>
      <c r="B37" s="1" t="s">
        <v>2104</v>
      </c>
      <c r="C37" t="s">
        <v>2179</v>
      </c>
      <c r="D37" s="4" t="s">
        <v>22</v>
      </c>
      <c r="E37" s="4" t="s">
        <v>22</v>
      </c>
      <c r="G37">
        <v>168</v>
      </c>
    </row>
    <row r="38" spans="1:7" ht="15" x14ac:dyDescent="0.2">
      <c r="A38">
        <v>36</v>
      </c>
      <c r="B38" s="1" t="s">
        <v>3874</v>
      </c>
      <c r="C38" t="s">
        <v>2380</v>
      </c>
      <c r="D38" s="4" t="s">
        <v>22</v>
      </c>
      <c r="E38" s="4" t="s">
        <v>22</v>
      </c>
      <c r="G38">
        <v>169</v>
      </c>
    </row>
    <row r="39" spans="1:7" ht="15" x14ac:dyDescent="0.2">
      <c r="A39">
        <v>37</v>
      </c>
      <c r="B39" s="1" t="s">
        <v>2193</v>
      </c>
      <c r="C39" t="s">
        <v>2195</v>
      </c>
      <c r="D39" s="4" t="s">
        <v>22</v>
      </c>
      <c r="E39" s="4" t="s">
        <v>22</v>
      </c>
      <c r="G39">
        <v>177</v>
      </c>
    </row>
    <row r="40" spans="1:7" ht="15" x14ac:dyDescent="0.2">
      <c r="A40">
        <v>38</v>
      </c>
      <c r="B40" s="1" t="s">
        <v>2194</v>
      </c>
      <c r="C40" t="s">
        <v>2196</v>
      </c>
      <c r="D40" s="4" t="s">
        <v>22</v>
      </c>
      <c r="E40" s="4" t="s">
        <v>22</v>
      </c>
      <c r="G40">
        <v>180</v>
      </c>
    </row>
    <row r="41" spans="1:7" ht="15" x14ac:dyDescent="0.2">
      <c r="A41">
        <v>39</v>
      </c>
      <c r="B41" s="1" t="s">
        <v>2332</v>
      </c>
      <c r="C41" t="s">
        <v>2340</v>
      </c>
      <c r="E41" s="4" t="s">
        <v>22</v>
      </c>
      <c r="G41">
        <v>185</v>
      </c>
    </row>
    <row r="42" spans="1:7" ht="15" x14ac:dyDescent="0.2">
      <c r="A42">
        <v>40</v>
      </c>
      <c r="B42" s="1" t="s">
        <v>2333</v>
      </c>
      <c r="C42" t="s">
        <v>2341</v>
      </c>
      <c r="E42" s="4" t="s">
        <v>22</v>
      </c>
      <c r="G42">
        <v>188</v>
      </c>
    </row>
    <row r="43" spans="1:7" ht="15" x14ac:dyDescent="0.2">
      <c r="A43">
        <v>41</v>
      </c>
      <c r="B43" s="1" t="s">
        <v>2334</v>
      </c>
      <c r="C43" t="s">
        <v>2342</v>
      </c>
      <c r="E43" s="4" t="s">
        <v>22</v>
      </c>
      <c r="G43">
        <v>189</v>
      </c>
    </row>
    <row r="44" spans="1:7" ht="15" x14ac:dyDescent="0.2">
      <c r="A44">
        <v>42</v>
      </c>
      <c r="B44" s="1" t="s">
        <v>2335</v>
      </c>
      <c r="C44" t="s">
        <v>2343</v>
      </c>
      <c r="E44" s="4" t="s">
        <v>22</v>
      </c>
      <c r="G44">
        <v>192</v>
      </c>
    </row>
    <row r="45" spans="1:7" ht="15" x14ac:dyDescent="0.2">
      <c r="A45">
        <v>43</v>
      </c>
      <c r="B45" s="1" t="s">
        <v>2336</v>
      </c>
      <c r="C45" t="s">
        <v>2344</v>
      </c>
      <c r="E45" s="4" t="s">
        <v>22</v>
      </c>
      <c r="G45">
        <v>197</v>
      </c>
    </row>
    <row r="46" spans="1:7" ht="15" x14ac:dyDescent="0.2">
      <c r="A46">
        <v>44</v>
      </c>
      <c r="B46" s="1" t="s">
        <v>2337</v>
      </c>
      <c r="C46" t="s">
        <v>2345</v>
      </c>
      <c r="E46" s="4" t="s">
        <v>22</v>
      </c>
      <c r="G46">
        <v>200</v>
      </c>
    </row>
    <row r="47" spans="1:7" ht="15" x14ac:dyDescent="0.2">
      <c r="A47">
        <v>45</v>
      </c>
      <c r="B47" s="1" t="s">
        <v>2338</v>
      </c>
      <c r="C47" t="s">
        <v>2346</v>
      </c>
      <c r="E47" s="4" t="s">
        <v>22</v>
      </c>
      <c r="G47">
        <v>205</v>
      </c>
    </row>
    <row r="48" spans="1:7" ht="15" x14ac:dyDescent="0.2">
      <c r="A48">
        <v>46</v>
      </c>
      <c r="B48" s="1" t="s">
        <v>2339</v>
      </c>
      <c r="C48" t="s">
        <v>2347</v>
      </c>
      <c r="G48">
        <v>176</v>
      </c>
    </row>
    <row r="49" spans="1:7" ht="15" x14ac:dyDescent="0.2">
      <c r="A49">
        <v>47</v>
      </c>
      <c r="B49" s="1" t="s">
        <v>2105</v>
      </c>
      <c r="C49" t="s">
        <v>2209</v>
      </c>
      <c r="D49" s="4" t="s">
        <v>22</v>
      </c>
      <c r="E49" s="4" t="s">
        <v>22</v>
      </c>
      <c r="G49">
        <v>207</v>
      </c>
    </row>
    <row r="50" spans="1:7" ht="15" x14ac:dyDescent="0.2">
      <c r="A50">
        <v>48</v>
      </c>
      <c r="B50" s="1" t="s">
        <v>2210</v>
      </c>
      <c r="C50" t="s">
        <v>2212</v>
      </c>
      <c r="D50" s="4" t="s">
        <v>22</v>
      </c>
      <c r="E50" s="4" t="s">
        <v>22</v>
      </c>
      <c r="G50">
        <v>222</v>
      </c>
    </row>
    <row r="51" spans="1:7" ht="15" x14ac:dyDescent="0.2">
      <c r="A51">
        <v>49</v>
      </c>
      <c r="B51" s="1" t="s">
        <v>2211</v>
      </c>
      <c r="C51" t="s">
        <v>2213</v>
      </c>
      <c r="D51" s="4" t="s">
        <v>22</v>
      </c>
      <c r="E51" s="4" t="s">
        <v>22</v>
      </c>
      <c r="G51">
        <v>223</v>
      </c>
    </row>
    <row r="52" spans="1:7" ht="15" x14ac:dyDescent="0.2">
      <c r="A52">
        <v>50</v>
      </c>
      <c r="B52" s="1" t="s">
        <v>2215</v>
      </c>
      <c r="C52" t="s">
        <v>2217</v>
      </c>
      <c r="D52" s="4" t="s">
        <v>22</v>
      </c>
      <c r="E52" s="4" t="s">
        <v>22</v>
      </c>
      <c r="G52">
        <v>224</v>
      </c>
    </row>
    <row r="53" spans="1:7" ht="15" x14ac:dyDescent="0.2">
      <c r="A53">
        <v>51</v>
      </c>
      <c r="B53" s="1" t="s">
        <v>2216</v>
      </c>
      <c r="C53" t="s">
        <v>2218</v>
      </c>
      <c r="D53" s="4" t="s">
        <v>22</v>
      </c>
      <c r="E53" s="4" t="s">
        <v>22</v>
      </c>
      <c r="G53">
        <v>225</v>
      </c>
    </row>
    <row r="54" spans="1:7" ht="15" x14ac:dyDescent="0.2">
      <c r="A54">
        <v>52</v>
      </c>
      <c r="B54" s="1" t="s">
        <v>2219</v>
      </c>
      <c r="D54" s="4" t="s">
        <v>22</v>
      </c>
      <c r="E54" s="4" t="s">
        <v>22</v>
      </c>
      <c r="G54">
        <v>226</v>
      </c>
    </row>
    <row r="55" spans="1:7" ht="15" x14ac:dyDescent="0.2">
      <c r="A55">
        <v>53</v>
      </c>
      <c r="B55" s="1" t="s">
        <v>2220</v>
      </c>
      <c r="D55" s="4" t="s">
        <v>22</v>
      </c>
      <c r="E55" s="4" t="s">
        <v>22</v>
      </c>
      <c r="G55">
        <v>227</v>
      </c>
    </row>
    <row r="56" spans="1:7" ht="15" x14ac:dyDescent="0.2">
      <c r="A56">
        <v>54</v>
      </c>
      <c r="B56" s="1" t="s">
        <v>2221</v>
      </c>
      <c r="D56" s="4" t="s">
        <v>22</v>
      </c>
      <c r="E56" s="4" t="s">
        <v>22</v>
      </c>
      <c r="G56">
        <v>228</v>
      </c>
    </row>
    <row r="57" spans="1:7" ht="15" x14ac:dyDescent="0.2">
      <c r="A57">
        <v>55</v>
      </c>
      <c r="B57" s="1" t="s">
        <v>2222</v>
      </c>
      <c r="D57" s="4" t="s">
        <v>22</v>
      </c>
      <c r="E57" s="4" t="s">
        <v>22</v>
      </c>
      <c r="G57">
        <v>229</v>
      </c>
    </row>
    <row r="58" spans="1:7" ht="15" x14ac:dyDescent="0.2">
      <c r="A58">
        <v>56</v>
      </c>
      <c r="B58" s="1" t="s">
        <v>2223</v>
      </c>
      <c r="D58" s="4" t="s">
        <v>22</v>
      </c>
      <c r="E58" s="4" t="s">
        <v>22</v>
      </c>
      <c r="G58">
        <v>230</v>
      </c>
    </row>
    <row r="59" spans="1:7" ht="15" x14ac:dyDescent="0.2">
      <c r="A59">
        <v>57</v>
      </c>
      <c r="B59" s="1" t="s">
        <v>2224</v>
      </c>
      <c r="D59" s="4" t="s">
        <v>22</v>
      </c>
      <c r="E59" s="4" t="s">
        <v>22</v>
      </c>
      <c r="G59">
        <v>231</v>
      </c>
    </row>
    <row r="60" spans="1:7" ht="15" x14ac:dyDescent="0.2">
      <c r="A60">
        <v>58</v>
      </c>
      <c r="B60" s="1" t="s">
        <v>2225</v>
      </c>
      <c r="D60" s="4" t="s">
        <v>22</v>
      </c>
      <c r="E60" s="4" t="s">
        <v>22</v>
      </c>
      <c r="G60">
        <v>240</v>
      </c>
    </row>
    <row r="61" spans="1:7" ht="15" x14ac:dyDescent="0.2">
      <c r="A61">
        <v>59</v>
      </c>
      <c r="B61" s="1" t="s">
        <v>2226</v>
      </c>
      <c r="D61" s="4" t="s">
        <v>22</v>
      </c>
      <c r="E61" s="4" t="s">
        <v>22</v>
      </c>
      <c r="F61" t="b">
        <v>1</v>
      </c>
      <c r="G61">
        <v>241</v>
      </c>
    </row>
    <row r="62" spans="1:7" ht="15" x14ac:dyDescent="0.2">
      <c r="A62">
        <v>60</v>
      </c>
      <c r="B62" s="1" t="s">
        <v>2227</v>
      </c>
      <c r="D62" s="4" t="s">
        <v>22</v>
      </c>
      <c r="E62" s="4" t="s">
        <v>22</v>
      </c>
      <c r="G62">
        <v>242</v>
      </c>
    </row>
    <row r="63" spans="1:7" ht="15" x14ac:dyDescent="0.2">
      <c r="A63">
        <v>61</v>
      </c>
      <c r="B63" s="1" t="s">
        <v>3901</v>
      </c>
      <c r="D63" s="4" t="s">
        <v>22</v>
      </c>
      <c r="E63" s="4" t="s">
        <v>22</v>
      </c>
      <c r="G63">
        <v>38</v>
      </c>
    </row>
    <row r="64" spans="1:7" ht="15" x14ac:dyDescent="0.2">
      <c r="A64">
        <v>62</v>
      </c>
      <c r="B64" s="1" t="s">
        <v>3902</v>
      </c>
      <c r="D64" s="4" t="s">
        <v>22</v>
      </c>
      <c r="G64">
        <v>41</v>
      </c>
    </row>
    <row r="65" spans="1:7" ht="15" x14ac:dyDescent="0.2">
      <c r="A65">
        <v>63</v>
      </c>
      <c r="B65" s="1" t="s">
        <v>3903</v>
      </c>
      <c r="D65" s="4" t="s">
        <v>22</v>
      </c>
      <c r="G65">
        <v>44</v>
      </c>
    </row>
    <row r="66" spans="1:7" ht="15" x14ac:dyDescent="0.2">
      <c r="A66">
        <v>64</v>
      </c>
      <c r="B66" s="1" t="s">
        <v>3904</v>
      </c>
      <c r="D66" s="4" t="s">
        <v>22</v>
      </c>
      <c r="G66">
        <v>47</v>
      </c>
    </row>
    <row r="67" spans="1:7" ht="15" x14ac:dyDescent="0.2">
      <c r="A67">
        <v>65</v>
      </c>
      <c r="B67" s="1" t="s">
        <v>3905</v>
      </c>
      <c r="D67" s="4" t="s">
        <v>22</v>
      </c>
      <c r="G67">
        <v>50</v>
      </c>
    </row>
    <row r="68" spans="1:7" ht="15" x14ac:dyDescent="0.2">
      <c r="A68">
        <v>66</v>
      </c>
      <c r="B68" s="1" t="s">
        <v>3906</v>
      </c>
      <c r="D68" s="4" t="s">
        <v>22</v>
      </c>
      <c r="G68">
        <v>53</v>
      </c>
    </row>
    <row r="69" spans="1:7" ht="15" x14ac:dyDescent="0.2">
      <c r="A69">
        <v>67</v>
      </c>
      <c r="B69" s="1" t="s">
        <v>3907</v>
      </c>
      <c r="D69" s="4" t="s">
        <v>22</v>
      </c>
      <c r="G69">
        <v>56</v>
      </c>
    </row>
    <row r="70" spans="1:7" ht="15" x14ac:dyDescent="0.2">
      <c r="A70">
        <v>68</v>
      </c>
      <c r="B70" s="1" t="s">
        <v>3908</v>
      </c>
      <c r="D70" s="4" t="s">
        <v>22</v>
      </c>
      <c r="G70">
        <v>59</v>
      </c>
    </row>
    <row r="71" spans="1:7" ht="15" x14ac:dyDescent="0.2">
      <c r="A71">
        <v>69</v>
      </c>
      <c r="B71" s="1" t="s">
        <v>2106</v>
      </c>
      <c r="C71" t="s">
        <v>2228</v>
      </c>
      <c r="D71" s="4" t="s">
        <v>22</v>
      </c>
      <c r="E71" s="4" t="s">
        <v>22</v>
      </c>
      <c r="G71">
        <v>172</v>
      </c>
    </row>
    <row r="72" spans="1:7" ht="15" x14ac:dyDescent="0.2">
      <c r="A72">
        <v>70</v>
      </c>
      <c r="B72" s="1" t="s">
        <v>2107</v>
      </c>
      <c r="C72" t="s">
        <v>2565</v>
      </c>
      <c r="D72" s="4" t="s">
        <v>22</v>
      </c>
      <c r="E72" s="4" t="s">
        <v>22</v>
      </c>
      <c r="G72">
        <v>152</v>
      </c>
    </row>
    <row r="73" spans="1:7" ht="15" x14ac:dyDescent="0.2">
      <c r="A73">
        <v>71</v>
      </c>
      <c r="B73" s="1" t="s">
        <v>2108</v>
      </c>
      <c r="C73" t="s">
        <v>2237</v>
      </c>
      <c r="D73" s="4" t="s">
        <v>22</v>
      </c>
      <c r="E73" s="4" t="s">
        <v>22</v>
      </c>
      <c r="G73">
        <v>232</v>
      </c>
    </row>
    <row r="74" spans="1:7" ht="15" x14ac:dyDescent="0.2">
      <c r="A74">
        <v>72</v>
      </c>
      <c r="B74" s="1" t="s">
        <v>2109</v>
      </c>
      <c r="C74" t="s">
        <v>2240</v>
      </c>
      <c r="D74" s="4" t="s">
        <v>22</v>
      </c>
      <c r="E74" s="4" t="s">
        <v>22</v>
      </c>
      <c r="G74">
        <v>26</v>
      </c>
    </row>
    <row r="75" spans="1:7" ht="15" x14ac:dyDescent="0.2">
      <c r="A75">
        <v>73</v>
      </c>
      <c r="B75" s="1" t="s">
        <v>2110</v>
      </c>
      <c r="D75" s="4" t="s">
        <v>22</v>
      </c>
      <c r="E75" s="4" t="s">
        <v>22</v>
      </c>
      <c r="G75">
        <v>243</v>
      </c>
    </row>
    <row r="76" spans="1:7" ht="15" x14ac:dyDescent="0.2">
      <c r="A76">
        <v>74</v>
      </c>
      <c r="B76" s="1" t="s">
        <v>3880</v>
      </c>
      <c r="C76" t="s">
        <v>2241</v>
      </c>
      <c r="D76" s="4" t="s">
        <v>22</v>
      </c>
      <c r="E76" s="4" t="s">
        <v>22</v>
      </c>
      <c r="G76">
        <v>62</v>
      </c>
    </row>
    <row r="77" spans="1:7" ht="15" x14ac:dyDescent="0.2">
      <c r="A77">
        <v>75</v>
      </c>
      <c r="B77" s="1" t="s">
        <v>2111</v>
      </c>
      <c r="D77" s="4" t="s">
        <v>22</v>
      </c>
      <c r="E77" s="4" t="s">
        <v>22</v>
      </c>
      <c r="G77">
        <v>244</v>
      </c>
    </row>
    <row r="78" spans="1:7" ht="15" x14ac:dyDescent="0.2">
      <c r="A78">
        <v>76</v>
      </c>
      <c r="B78" s="1" t="s">
        <v>2112</v>
      </c>
      <c r="C78" t="s">
        <v>2243</v>
      </c>
      <c r="D78" s="4" t="s">
        <v>22</v>
      </c>
      <c r="E78" s="4" t="s">
        <v>22</v>
      </c>
      <c r="G78">
        <v>215</v>
      </c>
    </row>
    <row r="79" spans="1:7" ht="15" x14ac:dyDescent="0.2">
      <c r="A79">
        <v>77</v>
      </c>
      <c r="B79" s="1" t="s">
        <v>2113</v>
      </c>
      <c r="C79" t="s">
        <v>2244</v>
      </c>
      <c r="D79" s="4" t="s">
        <v>22</v>
      </c>
      <c r="E79" s="4" t="s">
        <v>22</v>
      </c>
      <c r="G79">
        <v>208</v>
      </c>
    </row>
    <row r="80" spans="1:7" ht="15" x14ac:dyDescent="0.2">
      <c r="A80">
        <v>78</v>
      </c>
      <c r="B80" s="1" t="s">
        <v>2114</v>
      </c>
      <c r="C80" t="s">
        <v>2245</v>
      </c>
      <c r="D80" s="4" t="s">
        <v>22</v>
      </c>
      <c r="E80" s="4" t="s">
        <v>22</v>
      </c>
      <c r="G80">
        <v>209</v>
      </c>
    </row>
    <row r="81" spans="1:7" ht="15" x14ac:dyDescent="0.2">
      <c r="A81">
        <v>79</v>
      </c>
      <c r="B81" s="1" t="s">
        <v>2115</v>
      </c>
      <c r="C81" t="s">
        <v>2247</v>
      </c>
      <c r="D81" s="4" t="s">
        <v>22</v>
      </c>
      <c r="E81" s="4" t="s">
        <v>22</v>
      </c>
      <c r="G81">
        <v>206</v>
      </c>
    </row>
    <row r="82" spans="1:7" ht="15" x14ac:dyDescent="0.2">
      <c r="A82">
        <v>80</v>
      </c>
      <c r="B82" s="1" t="s">
        <v>2116</v>
      </c>
      <c r="D82" s="4" t="s">
        <v>22</v>
      </c>
      <c r="E82" s="4" t="s">
        <v>22</v>
      </c>
      <c r="F82" t="b">
        <v>1</v>
      </c>
      <c r="G82">
        <v>245</v>
      </c>
    </row>
    <row r="83" spans="1:7" ht="15" x14ac:dyDescent="0.2">
      <c r="A83">
        <v>81</v>
      </c>
      <c r="B83" s="1" t="s">
        <v>2117</v>
      </c>
      <c r="C83" t="s">
        <v>2248</v>
      </c>
      <c r="D83" s="4" t="s">
        <v>22</v>
      </c>
      <c r="E83" s="4" t="s">
        <v>22</v>
      </c>
      <c r="G83">
        <v>173</v>
      </c>
    </row>
    <row r="84" spans="1:7" ht="15" x14ac:dyDescent="0.2">
      <c r="A84">
        <v>82</v>
      </c>
      <c r="B84" s="1" t="s">
        <v>2118</v>
      </c>
      <c r="C84" t="s">
        <v>2253</v>
      </c>
      <c r="D84" s="4" t="s">
        <v>22</v>
      </c>
      <c r="E84" s="4" t="s">
        <v>22</v>
      </c>
      <c r="G84">
        <v>23</v>
      </c>
    </row>
    <row r="85" spans="1:7" ht="15" x14ac:dyDescent="0.2">
      <c r="A85">
        <v>83</v>
      </c>
      <c r="B85" s="1" t="s">
        <v>2119</v>
      </c>
      <c r="C85" t="s">
        <v>2255</v>
      </c>
      <c r="D85" s="4" t="s">
        <v>22</v>
      </c>
      <c r="E85" s="4" t="s">
        <v>22</v>
      </c>
      <c r="G85">
        <v>76</v>
      </c>
    </row>
    <row r="86" spans="1:7" ht="15" x14ac:dyDescent="0.2">
      <c r="A86">
        <v>84</v>
      </c>
      <c r="B86" s="1" t="s">
        <v>3870</v>
      </c>
      <c r="C86" t="s">
        <v>2326</v>
      </c>
      <c r="D86" s="4" t="s">
        <v>22</v>
      </c>
      <c r="E86" s="4" t="s">
        <v>22</v>
      </c>
      <c r="G86">
        <v>211</v>
      </c>
    </row>
    <row r="87" spans="1:7" ht="15" x14ac:dyDescent="0.2">
      <c r="A87">
        <v>85</v>
      </c>
      <c r="B87" s="1" t="s">
        <v>2120</v>
      </c>
      <c r="C87" t="s">
        <v>2330</v>
      </c>
      <c r="D87" s="4" t="s">
        <v>22</v>
      </c>
      <c r="E87" s="4" t="s">
        <v>22</v>
      </c>
      <c r="G87">
        <v>8</v>
      </c>
    </row>
    <row r="88" spans="1:7" ht="15" x14ac:dyDescent="0.2">
      <c r="A88">
        <v>86</v>
      </c>
      <c r="B88" s="1" t="s">
        <v>2121</v>
      </c>
      <c r="D88" s="4" t="s">
        <v>22</v>
      </c>
      <c r="E88" s="4" t="s">
        <v>22</v>
      </c>
      <c r="G88">
        <v>246</v>
      </c>
    </row>
    <row r="89" spans="1:7" ht="15" x14ac:dyDescent="0.2">
      <c r="A89">
        <v>87</v>
      </c>
      <c r="B89" s="1" t="s">
        <v>2122</v>
      </c>
      <c r="D89" s="4" t="s">
        <v>22</v>
      </c>
      <c r="E89" s="4" t="s">
        <v>22</v>
      </c>
      <c r="G89">
        <v>247</v>
      </c>
    </row>
    <row r="90" spans="1:7" ht="15" x14ac:dyDescent="0.2">
      <c r="A90">
        <v>88</v>
      </c>
      <c r="B90" s="1" t="s">
        <v>2123</v>
      </c>
      <c r="C90" t="s">
        <v>2331</v>
      </c>
      <c r="D90" s="4" t="s">
        <v>22</v>
      </c>
      <c r="E90" s="4" t="s">
        <v>22</v>
      </c>
      <c r="G90">
        <v>234</v>
      </c>
    </row>
    <row r="91" spans="1:7" ht="15" x14ac:dyDescent="0.2">
      <c r="A91">
        <v>89</v>
      </c>
      <c r="B91" s="6" t="s">
        <v>2126</v>
      </c>
      <c r="C91" t="s">
        <v>868</v>
      </c>
      <c r="E91" s="4" t="s">
        <v>22</v>
      </c>
      <c r="G91">
        <v>5</v>
      </c>
    </row>
    <row r="92" spans="1:7" ht="15" x14ac:dyDescent="0.2">
      <c r="A92">
        <v>90</v>
      </c>
      <c r="B92" s="6" t="s">
        <v>2127</v>
      </c>
      <c r="C92" t="s">
        <v>869</v>
      </c>
      <c r="E92" s="4" t="s">
        <v>22</v>
      </c>
      <c r="G92">
        <v>6</v>
      </c>
    </row>
    <row r="93" spans="1:7" ht="15" x14ac:dyDescent="0.2">
      <c r="A93">
        <v>91</v>
      </c>
      <c r="B93" s="6" t="s">
        <v>2197</v>
      </c>
      <c r="C93" t="s">
        <v>2203</v>
      </c>
      <c r="E93" s="4" t="s">
        <v>22</v>
      </c>
      <c r="G93">
        <v>178</v>
      </c>
    </row>
    <row r="94" spans="1:7" ht="15" x14ac:dyDescent="0.2">
      <c r="A94">
        <v>92</v>
      </c>
      <c r="B94" s="6" t="s">
        <v>2198</v>
      </c>
      <c r="C94" t="s">
        <v>2204</v>
      </c>
      <c r="E94" s="4" t="s">
        <v>22</v>
      </c>
      <c r="G94">
        <v>179</v>
      </c>
    </row>
    <row r="95" spans="1:7" ht="15" x14ac:dyDescent="0.2">
      <c r="A95">
        <v>93</v>
      </c>
      <c r="B95" s="6" t="s">
        <v>2199</v>
      </c>
      <c r="C95" t="s">
        <v>2205</v>
      </c>
      <c r="E95" s="4" t="s">
        <v>22</v>
      </c>
      <c r="G95">
        <v>181</v>
      </c>
    </row>
    <row r="96" spans="1:7" ht="15" x14ac:dyDescent="0.2">
      <c r="A96">
        <v>94</v>
      </c>
      <c r="B96" s="6" t="s">
        <v>2200</v>
      </c>
      <c r="C96" t="s">
        <v>2206</v>
      </c>
      <c r="E96" s="4" t="s">
        <v>22</v>
      </c>
      <c r="G96">
        <v>183</v>
      </c>
    </row>
    <row r="97" spans="1:7" ht="15" x14ac:dyDescent="0.2">
      <c r="A97">
        <v>95</v>
      </c>
      <c r="B97" s="6" t="s">
        <v>2201</v>
      </c>
      <c r="C97" t="s">
        <v>2207</v>
      </c>
      <c r="E97" s="4" t="s">
        <v>22</v>
      </c>
      <c r="G97">
        <v>182</v>
      </c>
    </row>
    <row r="98" spans="1:7" ht="15" x14ac:dyDescent="0.2">
      <c r="A98">
        <v>96</v>
      </c>
      <c r="B98" s="6" t="s">
        <v>2202</v>
      </c>
      <c r="C98" t="s">
        <v>2208</v>
      </c>
      <c r="E98" s="4" t="s">
        <v>22</v>
      </c>
      <c r="G98">
        <v>184</v>
      </c>
    </row>
    <row r="99" spans="1:7" ht="15" x14ac:dyDescent="0.2">
      <c r="A99">
        <v>97</v>
      </c>
      <c r="B99" s="6" t="s">
        <v>2348</v>
      </c>
      <c r="C99" t="s">
        <v>2358</v>
      </c>
      <c r="E99" s="4" t="s">
        <v>22</v>
      </c>
      <c r="G99">
        <v>186</v>
      </c>
    </row>
    <row r="100" spans="1:7" ht="15" x14ac:dyDescent="0.2">
      <c r="A100">
        <v>98</v>
      </c>
      <c r="B100" s="6" t="s">
        <v>2349</v>
      </c>
      <c r="C100" t="s">
        <v>2359</v>
      </c>
      <c r="E100" s="4" t="s">
        <v>22</v>
      </c>
      <c r="G100">
        <v>187</v>
      </c>
    </row>
    <row r="101" spans="1:7" ht="15" x14ac:dyDescent="0.2">
      <c r="A101">
        <v>99</v>
      </c>
      <c r="B101" s="6" t="s">
        <v>2350</v>
      </c>
      <c r="C101" t="s">
        <v>2360</v>
      </c>
      <c r="E101" s="4" t="s">
        <v>22</v>
      </c>
      <c r="G101">
        <v>190</v>
      </c>
    </row>
    <row r="102" spans="1:7" ht="15" x14ac:dyDescent="0.2">
      <c r="A102">
        <v>100</v>
      </c>
      <c r="B102" s="6" t="s">
        <v>2354</v>
      </c>
      <c r="C102" t="s">
        <v>2364</v>
      </c>
      <c r="E102" s="4" t="s">
        <v>22</v>
      </c>
      <c r="G102">
        <v>191</v>
      </c>
    </row>
    <row r="103" spans="1:7" ht="15" x14ac:dyDescent="0.2">
      <c r="A103">
        <v>101</v>
      </c>
      <c r="B103" s="6" t="s">
        <v>2351</v>
      </c>
      <c r="C103" t="s">
        <v>2361</v>
      </c>
      <c r="E103" s="4" t="s">
        <v>22</v>
      </c>
      <c r="G103">
        <v>193</v>
      </c>
    </row>
    <row r="104" spans="1:7" ht="15" x14ac:dyDescent="0.2">
      <c r="A104">
        <v>102</v>
      </c>
      <c r="B104" s="6" t="s">
        <v>2355</v>
      </c>
      <c r="C104" t="s">
        <v>2365</v>
      </c>
      <c r="E104" s="4" t="s">
        <v>22</v>
      </c>
      <c r="G104">
        <v>195</v>
      </c>
    </row>
    <row r="105" spans="1:7" ht="15" x14ac:dyDescent="0.2">
      <c r="A105">
        <v>103</v>
      </c>
      <c r="B105" s="6" t="s">
        <v>2804</v>
      </c>
      <c r="C105" t="s">
        <v>2806</v>
      </c>
      <c r="G105">
        <v>194</v>
      </c>
    </row>
    <row r="106" spans="1:7" ht="15" x14ac:dyDescent="0.2">
      <c r="A106">
        <v>104</v>
      </c>
      <c r="B106" s="6" t="s">
        <v>2805</v>
      </c>
      <c r="C106" t="s">
        <v>2807</v>
      </c>
      <c r="G106">
        <v>196</v>
      </c>
    </row>
    <row r="107" spans="1:7" ht="15" x14ac:dyDescent="0.2">
      <c r="A107">
        <v>105</v>
      </c>
      <c r="B107" s="6" t="s">
        <v>2352</v>
      </c>
      <c r="C107" t="s">
        <v>2362</v>
      </c>
      <c r="E107" s="4" t="s">
        <v>22</v>
      </c>
      <c r="G107">
        <v>198</v>
      </c>
    </row>
    <row r="108" spans="1:7" ht="15" x14ac:dyDescent="0.2">
      <c r="A108">
        <v>106</v>
      </c>
      <c r="B108" s="6" t="s">
        <v>2356</v>
      </c>
      <c r="C108" t="s">
        <v>2366</v>
      </c>
      <c r="E108" s="4" t="s">
        <v>22</v>
      </c>
      <c r="G108">
        <v>199</v>
      </c>
    </row>
    <row r="109" spans="1:7" ht="15" x14ac:dyDescent="0.2">
      <c r="A109">
        <v>107</v>
      </c>
      <c r="B109" s="6" t="s">
        <v>2353</v>
      </c>
      <c r="C109" t="s">
        <v>2363</v>
      </c>
      <c r="E109" s="4" t="s">
        <v>22</v>
      </c>
      <c r="G109">
        <v>201</v>
      </c>
    </row>
    <row r="110" spans="1:7" ht="15" x14ac:dyDescent="0.2">
      <c r="A110">
        <v>108</v>
      </c>
      <c r="B110" s="6" t="s">
        <v>2357</v>
      </c>
      <c r="C110" t="s">
        <v>2367</v>
      </c>
      <c r="E110" s="4" t="s">
        <v>22</v>
      </c>
      <c r="G110">
        <v>203</v>
      </c>
    </row>
    <row r="111" spans="1:7" ht="15" x14ac:dyDescent="0.2">
      <c r="A111">
        <v>109</v>
      </c>
      <c r="B111" s="6" t="s">
        <v>2808</v>
      </c>
      <c r="C111" t="s">
        <v>2810</v>
      </c>
      <c r="G111">
        <v>202</v>
      </c>
    </row>
    <row r="112" spans="1:7" ht="15" x14ac:dyDescent="0.2">
      <c r="A112">
        <v>110</v>
      </c>
      <c r="B112" s="6" t="s">
        <v>2809</v>
      </c>
      <c r="C112" t="s">
        <v>2811</v>
      </c>
      <c r="G112">
        <v>204</v>
      </c>
    </row>
    <row r="113" spans="1:7" ht="15" x14ac:dyDescent="0.2">
      <c r="A113">
        <v>111</v>
      </c>
      <c r="B113" s="6" t="s">
        <v>3909</v>
      </c>
      <c r="G113">
        <v>39</v>
      </c>
    </row>
    <row r="114" spans="1:7" ht="15" x14ac:dyDescent="0.2">
      <c r="A114">
        <v>112</v>
      </c>
      <c r="B114" s="6" t="s">
        <v>3910</v>
      </c>
      <c r="G114">
        <v>40</v>
      </c>
    </row>
    <row r="115" spans="1:7" ht="15" x14ac:dyDescent="0.2">
      <c r="A115">
        <v>113</v>
      </c>
      <c r="B115" s="6" t="s">
        <v>3911</v>
      </c>
      <c r="G115">
        <v>42</v>
      </c>
    </row>
    <row r="116" spans="1:7" ht="15" x14ac:dyDescent="0.2">
      <c r="A116">
        <v>114</v>
      </c>
      <c r="B116" s="6" t="s">
        <v>3912</v>
      </c>
      <c r="G116">
        <v>43</v>
      </c>
    </row>
    <row r="117" spans="1:7" ht="15" x14ac:dyDescent="0.2">
      <c r="A117">
        <v>115</v>
      </c>
      <c r="B117" s="6" t="s">
        <v>3913</v>
      </c>
      <c r="G117">
        <v>45</v>
      </c>
    </row>
    <row r="118" spans="1:7" ht="15" x14ac:dyDescent="0.2">
      <c r="A118">
        <v>116</v>
      </c>
      <c r="B118" s="6" t="s">
        <v>3914</v>
      </c>
      <c r="G118">
        <v>46</v>
      </c>
    </row>
    <row r="119" spans="1:7" ht="15" x14ac:dyDescent="0.2">
      <c r="A119">
        <v>117</v>
      </c>
      <c r="B119" s="6" t="s">
        <v>3915</v>
      </c>
      <c r="G119">
        <v>48</v>
      </c>
    </row>
    <row r="120" spans="1:7" ht="15" x14ac:dyDescent="0.2">
      <c r="A120">
        <v>118</v>
      </c>
      <c r="B120" s="6" t="s">
        <v>3916</v>
      </c>
      <c r="G120">
        <v>49</v>
      </c>
    </row>
    <row r="121" spans="1:7" ht="15" x14ac:dyDescent="0.2">
      <c r="A121">
        <v>119</v>
      </c>
      <c r="B121" s="6" t="s">
        <v>3917</v>
      </c>
      <c r="G121">
        <v>51</v>
      </c>
    </row>
    <row r="122" spans="1:7" ht="15" x14ac:dyDescent="0.2">
      <c r="A122">
        <v>120</v>
      </c>
      <c r="B122" s="6" t="s">
        <v>3918</v>
      </c>
      <c r="G122">
        <v>52</v>
      </c>
    </row>
    <row r="123" spans="1:7" ht="15" x14ac:dyDescent="0.2">
      <c r="A123">
        <v>121</v>
      </c>
      <c r="B123" s="6" t="s">
        <v>3919</v>
      </c>
      <c r="G123">
        <v>54</v>
      </c>
    </row>
    <row r="124" spans="1:7" ht="15" x14ac:dyDescent="0.2">
      <c r="A124">
        <v>122</v>
      </c>
      <c r="B124" s="6" t="s">
        <v>3920</v>
      </c>
      <c r="G124">
        <v>55</v>
      </c>
    </row>
    <row r="125" spans="1:7" ht="15" x14ac:dyDescent="0.2">
      <c r="A125">
        <v>123</v>
      </c>
      <c r="B125" s="6" t="s">
        <v>3921</v>
      </c>
      <c r="G125">
        <v>57</v>
      </c>
    </row>
    <row r="126" spans="1:7" ht="15" x14ac:dyDescent="0.2">
      <c r="A126">
        <v>124</v>
      </c>
      <c r="B126" s="6" t="s">
        <v>3922</v>
      </c>
      <c r="G126">
        <v>58</v>
      </c>
    </row>
    <row r="127" spans="1:7" ht="15" x14ac:dyDescent="0.2">
      <c r="A127">
        <v>125</v>
      </c>
      <c r="B127" s="6" t="s">
        <v>3923</v>
      </c>
      <c r="G127">
        <v>60</v>
      </c>
    </row>
    <row r="128" spans="1:7" ht="15" x14ac:dyDescent="0.2">
      <c r="A128">
        <v>126</v>
      </c>
      <c r="B128" s="6" t="s">
        <v>3924</v>
      </c>
      <c r="G128">
        <v>61</v>
      </c>
    </row>
    <row r="129" spans="1:7" ht="15" x14ac:dyDescent="0.2">
      <c r="A129">
        <v>127</v>
      </c>
      <c r="B129" s="6" t="s">
        <v>2238</v>
      </c>
      <c r="C129" t="s">
        <v>2239</v>
      </c>
      <c r="D129" s="4" t="s">
        <v>22</v>
      </c>
      <c r="E129" s="4" t="s">
        <v>22</v>
      </c>
      <c r="G129">
        <v>233</v>
      </c>
    </row>
    <row r="130" spans="1:7" ht="15" x14ac:dyDescent="0.2">
      <c r="A130">
        <v>128</v>
      </c>
      <c r="B130" s="6" t="s">
        <v>2368</v>
      </c>
      <c r="C130" t="s">
        <v>2246</v>
      </c>
      <c r="E130" s="4" t="s">
        <v>22</v>
      </c>
      <c r="G130">
        <v>210</v>
      </c>
    </row>
    <row r="131" spans="1:7" ht="15" x14ac:dyDescent="0.2">
      <c r="A131">
        <v>129</v>
      </c>
      <c r="B131" s="6" t="s">
        <v>2249</v>
      </c>
      <c r="C131" t="s">
        <v>2251</v>
      </c>
      <c r="E131" s="4" t="s">
        <v>22</v>
      </c>
      <c r="G131">
        <v>174</v>
      </c>
    </row>
    <row r="132" spans="1:7" ht="15" x14ac:dyDescent="0.2">
      <c r="A132">
        <v>130</v>
      </c>
      <c r="B132" s="6" t="s">
        <v>2250</v>
      </c>
      <c r="C132" t="s">
        <v>2252</v>
      </c>
      <c r="E132" s="4" t="s">
        <v>22</v>
      </c>
      <c r="G132">
        <v>175</v>
      </c>
    </row>
    <row r="133" spans="1:7" ht="15" x14ac:dyDescent="0.2">
      <c r="A133" s="24">
        <v>131</v>
      </c>
      <c r="B133" s="25" t="s">
        <v>2137</v>
      </c>
      <c r="C133" s="24" t="s">
        <v>2138</v>
      </c>
      <c r="D133" s="4" t="s">
        <v>22</v>
      </c>
      <c r="G133">
        <v>10</v>
      </c>
    </row>
    <row r="134" spans="1:7" ht="15" x14ac:dyDescent="0.2">
      <c r="A134" s="26">
        <v>132</v>
      </c>
      <c r="B134" s="27" t="s">
        <v>2139</v>
      </c>
      <c r="C134" s="26" t="s">
        <v>2141</v>
      </c>
      <c r="D134" s="4" t="s">
        <v>22</v>
      </c>
      <c r="G134">
        <v>12</v>
      </c>
    </row>
    <row r="135" spans="1:7" ht="15" x14ac:dyDescent="0.2">
      <c r="A135" s="28">
        <v>133</v>
      </c>
      <c r="B135" s="29" t="s">
        <v>2140</v>
      </c>
      <c r="C135" s="28" t="s">
        <v>2142</v>
      </c>
      <c r="D135" s="4" t="s">
        <v>22</v>
      </c>
      <c r="G135">
        <v>14</v>
      </c>
    </row>
    <row r="136" spans="1:7" ht="15" x14ac:dyDescent="0.2">
      <c r="A136" s="30">
        <v>134</v>
      </c>
      <c r="B136" s="31" t="s">
        <v>2144</v>
      </c>
      <c r="C136" s="30" t="s">
        <v>2145</v>
      </c>
      <c r="D136" s="4" t="s">
        <v>22</v>
      </c>
      <c r="G136">
        <v>22</v>
      </c>
    </row>
    <row r="137" spans="1:7" ht="15" x14ac:dyDescent="0.2">
      <c r="A137" s="7">
        <v>135</v>
      </c>
      <c r="B137" s="21" t="s">
        <v>2147</v>
      </c>
      <c r="C137" s="7" t="s">
        <v>2148</v>
      </c>
      <c r="D137" s="4" t="s">
        <v>22</v>
      </c>
      <c r="G137">
        <v>28</v>
      </c>
    </row>
    <row r="138" spans="1:7" ht="15" x14ac:dyDescent="0.2">
      <c r="A138" s="7">
        <v>136</v>
      </c>
      <c r="B138" s="21" t="s">
        <v>2938</v>
      </c>
      <c r="C138" s="7" t="s">
        <v>2150</v>
      </c>
      <c r="D138" s="4" t="s">
        <v>22</v>
      </c>
      <c r="G138">
        <v>29</v>
      </c>
    </row>
    <row r="139" spans="1:7" ht="15" x14ac:dyDescent="0.2">
      <c r="A139" s="7">
        <v>137</v>
      </c>
      <c r="B139" s="21" t="s">
        <v>2939</v>
      </c>
      <c r="C139" s="7" t="s">
        <v>2151</v>
      </c>
      <c r="D139" s="4" t="s">
        <v>22</v>
      </c>
      <c r="G139">
        <v>30</v>
      </c>
    </row>
    <row r="140" spans="1:7" ht="15" x14ac:dyDescent="0.2">
      <c r="A140" s="32">
        <v>138</v>
      </c>
      <c r="B140" s="33" t="s">
        <v>2154</v>
      </c>
      <c r="C140" s="32" t="s">
        <v>2214</v>
      </c>
      <c r="D140" s="4" t="s">
        <v>22</v>
      </c>
      <c r="E140" s="4" t="s">
        <v>22</v>
      </c>
      <c r="G140">
        <v>32</v>
      </c>
    </row>
    <row r="141" spans="1:7" ht="15" x14ac:dyDescent="0.2">
      <c r="A141" s="34">
        <v>139</v>
      </c>
      <c r="B141" s="35" t="s">
        <v>2157</v>
      </c>
      <c r="C141" s="34" t="s">
        <v>2158</v>
      </c>
      <c r="D141" s="4" t="s">
        <v>22</v>
      </c>
      <c r="G141">
        <v>35</v>
      </c>
    </row>
    <row r="142" spans="1:7" ht="15" x14ac:dyDescent="0.2">
      <c r="A142" s="9">
        <v>140</v>
      </c>
      <c r="B142" s="53" t="s">
        <v>3877</v>
      </c>
      <c r="C142" s="9" t="s">
        <v>2940</v>
      </c>
      <c r="D142" s="4" t="s">
        <v>22</v>
      </c>
      <c r="G142">
        <v>70</v>
      </c>
    </row>
    <row r="143" spans="1:7" ht="15" x14ac:dyDescent="0.2">
      <c r="A143" s="9">
        <v>141</v>
      </c>
      <c r="B143" s="53" t="s">
        <v>3878</v>
      </c>
      <c r="C143" s="9" t="s">
        <v>2941</v>
      </c>
      <c r="G143">
        <v>71</v>
      </c>
    </row>
    <row r="144" spans="1:7" ht="15" x14ac:dyDescent="0.2">
      <c r="A144" s="9">
        <v>142</v>
      </c>
      <c r="B144" s="10" t="s">
        <v>3879</v>
      </c>
      <c r="C144" s="9" t="s">
        <v>2162</v>
      </c>
      <c r="D144" s="4" t="s">
        <v>22</v>
      </c>
      <c r="G144">
        <v>72</v>
      </c>
    </row>
    <row r="145" spans="1:7" ht="15" x14ac:dyDescent="0.2">
      <c r="A145" s="36">
        <v>143</v>
      </c>
      <c r="B145" s="54" t="s">
        <v>3841</v>
      </c>
      <c r="C145" s="36" t="s">
        <v>2943</v>
      </c>
      <c r="D145" s="4" t="s">
        <v>22</v>
      </c>
      <c r="G145">
        <v>74</v>
      </c>
    </row>
    <row r="146" spans="1:7" ht="15" x14ac:dyDescent="0.2">
      <c r="A146" s="36">
        <v>144</v>
      </c>
      <c r="B146" s="54" t="s">
        <v>2942</v>
      </c>
      <c r="C146" s="36" t="s">
        <v>2944</v>
      </c>
      <c r="D146" s="4" t="s">
        <v>22</v>
      </c>
      <c r="G146">
        <v>75</v>
      </c>
    </row>
    <row r="147" spans="1:7" ht="15" x14ac:dyDescent="0.2">
      <c r="A147" s="37">
        <v>145</v>
      </c>
      <c r="B147" s="38" t="s">
        <v>2166</v>
      </c>
      <c r="C147" s="37" t="s">
        <v>2167</v>
      </c>
      <c r="G147">
        <v>17</v>
      </c>
    </row>
    <row r="148" spans="1:7" ht="15" x14ac:dyDescent="0.2">
      <c r="A148" s="37">
        <v>146</v>
      </c>
      <c r="B148" s="44" t="s">
        <v>2878</v>
      </c>
      <c r="C148" s="37" t="s">
        <v>2168</v>
      </c>
      <c r="G148">
        <v>18</v>
      </c>
    </row>
    <row r="149" spans="1:7" ht="15" x14ac:dyDescent="0.2">
      <c r="A149" s="37">
        <v>147</v>
      </c>
      <c r="B149" s="44" t="s">
        <v>2879</v>
      </c>
      <c r="C149" s="37" t="s">
        <v>2169</v>
      </c>
      <c r="G149">
        <v>19</v>
      </c>
    </row>
    <row r="150" spans="1:7" ht="15" x14ac:dyDescent="0.2">
      <c r="A150" s="39">
        <v>148</v>
      </c>
      <c r="B150" s="40" t="s">
        <v>2172</v>
      </c>
      <c r="C150" s="39" t="s">
        <v>2173</v>
      </c>
      <c r="D150" s="4" t="s">
        <v>22</v>
      </c>
      <c r="E150" s="4" t="s">
        <v>22</v>
      </c>
      <c r="G150">
        <v>217</v>
      </c>
    </row>
    <row r="151" spans="1:7" ht="15" x14ac:dyDescent="0.2">
      <c r="A151" s="50">
        <v>149</v>
      </c>
      <c r="B151" s="51" t="s">
        <v>2174</v>
      </c>
      <c r="C151" s="50" t="s">
        <v>2175</v>
      </c>
      <c r="D151" s="4" t="s">
        <v>22</v>
      </c>
      <c r="E151" s="4" t="s">
        <v>22</v>
      </c>
      <c r="G151">
        <v>219</v>
      </c>
    </row>
    <row r="152" spans="1:7" ht="15" x14ac:dyDescent="0.2">
      <c r="A152" s="15">
        <v>150</v>
      </c>
      <c r="B152" s="16" t="s">
        <v>3888</v>
      </c>
      <c r="C152" s="15" t="s">
        <v>2180</v>
      </c>
      <c r="D152" s="4" t="s">
        <v>22</v>
      </c>
      <c r="G152">
        <v>156</v>
      </c>
    </row>
    <row r="153" spans="1:7" ht="15" x14ac:dyDescent="0.2">
      <c r="A153" s="15">
        <v>151</v>
      </c>
      <c r="B153" s="16" t="s">
        <v>3889</v>
      </c>
      <c r="C153" s="15" t="s">
        <v>2181</v>
      </c>
      <c r="D153" s="4" t="s">
        <v>22</v>
      </c>
      <c r="G153">
        <v>157</v>
      </c>
    </row>
    <row r="154" spans="1:7" ht="15" x14ac:dyDescent="0.2">
      <c r="A154" s="15">
        <v>152</v>
      </c>
      <c r="B154" s="16" t="s">
        <v>3890</v>
      </c>
      <c r="C154" s="15" t="s">
        <v>2182</v>
      </c>
      <c r="D154" s="4" t="s">
        <v>22</v>
      </c>
      <c r="E154" s="4" t="s">
        <v>22</v>
      </c>
      <c r="G154">
        <v>160</v>
      </c>
    </row>
    <row r="155" spans="1:7" ht="15" x14ac:dyDescent="0.2">
      <c r="A155" s="15">
        <v>153</v>
      </c>
      <c r="B155" s="16" t="s">
        <v>3891</v>
      </c>
      <c r="C155" s="15" t="s">
        <v>2183</v>
      </c>
      <c r="G155">
        <v>163</v>
      </c>
    </row>
    <row r="156" spans="1:7" ht="15" x14ac:dyDescent="0.2">
      <c r="A156" s="15">
        <v>154</v>
      </c>
      <c r="B156" s="43" t="s">
        <v>3892</v>
      </c>
      <c r="C156" s="15" t="s">
        <v>2184</v>
      </c>
      <c r="G156">
        <v>158</v>
      </c>
    </row>
    <row r="157" spans="1:7" ht="15" x14ac:dyDescent="0.2">
      <c r="A157" s="15">
        <v>155</v>
      </c>
      <c r="B157" s="43" t="s">
        <v>3893</v>
      </c>
      <c r="C157" s="15" t="s">
        <v>2185</v>
      </c>
      <c r="G157">
        <v>159</v>
      </c>
    </row>
    <row r="158" spans="1:7" ht="15" x14ac:dyDescent="0.2">
      <c r="A158" s="15">
        <v>156</v>
      </c>
      <c r="B158" s="43" t="s">
        <v>3894</v>
      </c>
      <c r="C158" s="15" t="s">
        <v>2186</v>
      </c>
      <c r="E158" s="4" t="s">
        <v>22</v>
      </c>
      <c r="G158">
        <v>161</v>
      </c>
    </row>
    <row r="159" spans="1:7" ht="15" x14ac:dyDescent="0.2">
      <c r="A159" s="15">
        <v>157</v>
      </c>
      <c r="B159" s="43" t="s">
        <v>3895</v>
      </c>
      <c r="C159" s="15" t="s">
        <v>2187</v>
      </c>
      <c r="E159" s="4" t="s">
        <v>22</v>
      </c>
      <c r="G159">
        <v>162</v>
      </c>
    </row>
    <row r="160" spans="1:7" ht="15" x14ac:dyDescent="0.2">
      <c r="A160" s="15">
        <v>158</v>
      </c>
      <c r="B160" s="43" t="s">
        <v>3896</v>
      </c>
      <c r="C160" s="15" t="s">
        <v>2188</v>
      </c>
      <c r="G160">
        <v>164</v>
      </c>
    </row>
    <row r="161" spans="1:7" ht="15" x14ac:dyDescent="0.2">
      <c r="A161" s="15">
        <v>159</v>
      </c>
      <c r="B161" s="43" t="s">
        <v>3897</v>
      </c>
      <c r="C161" s="15" t="s">
        <v>2189</v>
      </c>
      <c r="G161">
        <v>166</v>
      </c>
    </row>
    <row r="162" spans="1:7" ht="15" x14ac:dyDescent="0.2">
      <c r="A162" s="15">
        <v>160</v>
      </c>
      <c r="B162" s="43" t="s">
        <v>3898</v>
      </c>
      <c r="C162" s="15" t="s">
        <v>2190</v>
      </c>
      <c r="G162">
        <v>165</v>
      </c>
    </row>
    <row r="163" spans="1:7" ht="15" x14ac:dyDescent="0.2">
      <c r="A163" s="15">
        <v>161</v>
      </c>
      <c r="B163" s="43" t="s">
        <v>3899</v>
      </c>
      <c r="C163" s="15" t="s">
        <v>2191</v>
      </c>
      <c r="G163">
        <v>167</v>
      </c>
    </row>
    <row r="164" spans="1:7" ht="15" x14ac:dyDescent="0.2">
      <c r="A164" s="41">
        <v>162</v>
      </c>
      <c r="B164" s="42" t="s">
        <v>3875</v>
      </c>
      <c r="C164" s="41" t="s">
        <v>2192</v>
      </c>
      <c r="D164" s="4" t="s">
        <v>22</v>
      </c>
      <c r="G164">
        <v>170</v>
      </c>
    </row>
    <row r="165" spans="1:7" ht="15" x14ac:dyDescent="0.2">
      <c r="A165" s="2">
        <v>163</v>
      </c>
      <c r="B165" s="3" t="s">
        <v>3881</v>
      </c>
      <c r="C165" s="2" t="s">
        <v>2242</v>
      </c>
      <c r="D165" s="4" t="s">
        <v>22</v>
      </c>
      <c r="G165">
        <v>63</v>
      </c>
    </row>
    <row r="166" spans="1:7" ht="15" x14ac:dyDescent="0.2">
      <c r="A166" s="2">
        <v>164</v>
      </c>
      <c r="B166" s="3" t="s">
        <v>3882</v>
      </c>
      <c r="C166" s="2" t="s">
        <v>2385</v>
      </c>
      <c r="D166" s="4" t="s">
        <v>22</v>
      </c>
      <c r="G166">
        <v>64</v>
      </c>
    </row>
    <row r="167" spans="1:7" ht="15" x14ac:dyDescent="0.2">
      <c r="A167" s="2">
        <v>165</v>
      </c>
      <c r="B167" s="3" t="s">
        <v>3883</v>
      </c>
      <c r="C167" s="2" t="s">
        <v>2384</v>
      </c>
      <c r="D167" s="4" t="s">
        <v>22</v>
      </c>
      <c r="G167">
        <v>65</v>
      </c>
    </row>
    <row r="168" spans="1:7" ht="15" x14ac:dyDescent="0.2">
      <c r="A168" s="2">
        <v>166</v>
      </c>
      <c r="B168" s="3" t="s">
        <v>3884</v>
      </c>
      <c r="C168" s="2" t="s">
        <v>2383</v>
      </c>
      <c r="D168" s="4" t="s">
        <v>22</v>
      </c>
      <c r="E168" s="4" t="s">
        <v>22</v>
      </c>
      <c r="G168">
        <v>66</v>
      </c>
    </row>
    <row r="169" spans="1:7" ht="15" x14ac:dyDescent="0.2">
      <c r="A169" s="2">
        <v>167</v>
      </c>
      <c r="B169" s="3" t="s">
        <v>3885</v>
      </c>
      <c r="C169" s="2" t="s">
        <v>2382</v>
      </c>
      <c r="D169" s="4" t="s">
        <v>22</v>
      </c>
      <c r="E169" s="4" t="s">
        <v>22</v>
      </c>
      <c r="G169">
        <v>67</v>
      </c>
    </row>
    <row r="170" spans="1:7" ht="15" x14ac:dyDescent="0.2">
      <c r="A170" s="2">
        <v>168</v>
      </c>
      <c r="B170" s="3" t="s">
        <v>3886</v>
      </c>
      <c r="C170" s="2" t="s">
        <v>2381</v>
      </c>
      <c r="D170" s="4" t="s">
        <v>22</v>
      </c>
      <c r="E170" s="4" t="s">
        <v>22</v>
      </c>
      <c r="G170">
        <v>68</v>
      </c>
    </row>
    <row r="171" spans="1:7" ht="15" x14ac:dyDescent="0.2">
      <c r="A171" s="24">
        <v>169</v>
      </c>
      <c r="B171" s="25" t="s">
        <v>3842</v>
      </c>
      <c r="C171" s="24" t="s">
        <v>2254</v>
      </c>
      <c r="D171" s="4" t="s">
        <v>22</v>
      </c>
      <c r="G171">
        <v>24</v>
      </c>
    </row>
    <row r="172" spans="1:7" ht="15" x14ac:dyDescent="0.2">
      <c r="A172" s="45">
        <v>170</v>
      </c>
      <c r="B172" s="46" t="s">
        <v>2256</v>
      </c>
      <c r="C172" s="45" t="s">
        <v>2257</v>
      </c>
      <c r="D172" s="4" t="s">
        <v>22</v>
      </c>
      <c r="G172">
        <v>77</v>
      </c>
    </row>
    <row r="173" spans="1:7" ht="15" x14ac:dyDescent="0.2">
      <c r="A173" s="45">
        <v>171</v>
      </c>
      <c r="B173" s="46" t="s">
        <v>2258</v>
      </c>
      <c r="C173" s="45"/>
      <c r="D173" s="4" t="s">
        <v>22</v>
      </c>
      <c r="G173">
        <v>78</v>
      </c>
    </row>
    <row r="174" spans="1:7" ht="15" x14ac:dyDescent="0.2">
      <c r="A174" s="45">
        <v>172</v>
      </c>
      <c r="B174" s="46" t="s">
        <v>2259</v>
      </c>
      <c r="C174" s="45"/>
      <c r="D174" s="4" t="s">
        <v>22</v>
      </c>
      <c r="G174">
        <v>79</v>
      </c>
    </row>
    <row r="175" spans="1:7" ht="15" x14ac:dyDescent="0.2">
      <c r="A175" s="45">
        <v>173</v>
      </c>
      <c r="B175" s="46" t="s">
        <v>2260</v>
      </c>
      <c r="C175" s="45" t="s">
        <v>2284</v>
      </c>
      <c r="D175" s="4" t="s">
        <v>22</v>
      </c>
      <c r="G175">
        <v>80</v>
      </c>
    </row>
    <row r="176" spans="1:7" ht="15" x14ac:dyDescent="0.2">
      <c r="A176" s="45">
        <v>174</v>
      </c>
      <c r="B176" s="46" t="s">
        <v>2261</v>
      </c>
      <c r="C176" s="45"/>
      <c r="D176" s="4" t="s">
        <v>22</v>
      </c>
      <c r="G176">
        <v>81</v>
      </c>
    </row>
    <row r="177" spans="1:7" ht="15" x14ac:dyDescent="0.2">
      <c r="A177" s="45">
        <v>175</v>
      </c>
      <c r="B177" s="46" t="s">
        <v>2262</v>
      </c>
      <c r="C177" s="45"/>
      <c r="D177" s="4" t="s">
        <v>22</v>
      </c>
      <c r="G177">
        <v>82</v>
      </c>
    </row>
    <row r="178" spans="1:7" ht="15" x14ac:dyDescent="0.2">
      <c r="A178" s="45">
        <v>176</v>
      </c>
      <c r="B178" s="46" t="s">
        <v>2263</v>
      </c>
      <c r="C178" s="45" t="s">
        <v>2285</v>
      </c>
      <c r="D178" s="4" t="s">
        <v>22</v>
      </c>
      <c r="G178">
        <v>83</v>
      </c>
    </row>
    <row r="179" spans="1:7" ht="15" x14ac:dyDescent="0.2">
      <c r="A179" s="45">
        <v>177</v>
      </c>
      <c r="B179" s="46" t="s">
        <v>2264</v>
      </c>
      <c r="C179" s="45" t="s">
        <v>2286</v>
      </c>
      <c r="D179" s="4" t="s">
        <v>22</v>
      </c>
      <c r="G179">
        <v>84</v>
      </c>
    </row>
    <row r="180" spans="1:7" ht="15" x14ac:dyDescent="0.2">
      <c r="A180" s="45">
        <v>178</v>
      </c>
      <c r="B180" s="46" t="s">
        <v>2265</v>
      </c>
      <c r="C180" s="45" t="s">
        <v>2287</v>
      </c>
      <c r="D180" s="4" t="s">
        <v>22</v>
      </c>
      <c r="G180">
        <v>85</v>
      </c>
    </row>
    <row r="181" spans="1:7" ht="15" x14ac:dyDescent="0.2">
      <c r="A181" s="45">
        <v>179</v>
      </c>
      <c r="B181" s="46" t="s">
        <v>2266</v>
      </c>
      <c r="C181" s="45" t="s">
        <v>2288</v>
      </c>
      <c r="D181" s="4" t="s">
        <v>22</v>
      </c>
      <c r="G181">
        <v>86</v>
      </c>
    </row>
    <row r="182" spans="1:7" ht="15" x14ac:dyDescent="0.2">
      <c r="A182" s="45">
        <v>180</v>
      </c>
      <c r="B182" s="46" t="s">
        <v>2267</v>
      </c>
      <c r="C182" s="45" t="s">
        <v>2289</v>
      </c>
      <c r="D182" s="4" t="s">
        <v>22</v>
      </c>
      <c r="G182">
        <v>87</v>
      </c>
    </row>
    <row r="183" spans="1:7" ht="15" x14ac:dyDescent="0.2">
      <c r="A183" s="45">
        <v>181</v>
      </c>
      <c r="B183" s="46" t="s">
        <v>2268</v>
      </c>
      <c r="C183" s="45" t="s">
        <v>2306</v>
      </c>
      <c r="D183" s="4" t="s">
        <v>22</v>
      </c>
      <c r="G183">
        <v>88</v>
      </c>
    </row>
    <row r="184" spans="1:7" ht="15" x14ac:dyDescent="0.2">
      <c r="A184" s="45">
        <v>182</v>
      </c>
      <c r="B184" s="46" t="s">
        <v>2269</v>
      </c>
      <c r="C184" s="45" t="s">
        <v>2290</v>
      </c>
      <c r="D184" s="4" t="s">
        <v>22</v>
      </c>
      <c r="G184">
        <v>89</v>
      </c>
    </row>
    <row r="185" spans="1:7" ht="15" x14ac:dyDescent="0.2">
      <c r="A185" s="45">
        <v>183</v>
      </c>
      <c r="B185" s="46" t="s">
        <v>2270</v>
      </c>
      <c r="C185" s="45" t="s">
        <v>2291</v>
      </c>
      <c r="D185" s="4" t="s">
        <v>22</v>
      </c>
      <c r="G185">
        <v>90</v>
      </c>
    </row>
    <row r="186" spans="1:7" ht="15" x14ac:dyDescent="0.2">
      <c r="A186" s="45">
        <v>184</v>
      </c>
      <c r="B186" s="46" t="s">
        <v>2271</v>
      </c>
      <c r="C186" s="45" t="s">
        <v>2292</v>
      </c>
      <c r="D186" s="4" t="s">
        <v>22</v>
      </c>
      <c r="G186">
        <v>91</v>
      </c>
    </row>
    <row r="187" spans="1:7" ht="15" x14ac:dyDescent="0.2">
      <c r="A187" s="45">
        <v>185</v>
      </c>
      <c r="B187" s="46" t="s">
        <v>2272</v>
      </c>
      <c r="C187" s="45" t="s">
        <v>2293</v>
      </c>
      <c r="D187" s="4" t="s">
        <v>22</v>
      </c>
      <c r="G187">
        <v>92</v>
      </c>
    </row>
    <row r="188" spans="1:7" ht="15" x14ac:dyDescent="0.2">
      <c r="A188" s="45">
        <v>186</v>
      </c>
      <c r="B188" s="46" t="s">
        <v>2273</v>
      </c>
      <c r="C188" s="45" t="s">
        <v>2294</v>
      </c>
      <c r="D188" s="4" t="s">
        <v>22</v>
      </c>
      <c r="G188">
        <v>93</v>
      </c>
    </row>
    <row r="189" spans="1:7" ht="15" x14ac:dyDescent="0.2">
      <c r="A189" s="45">
        <v>187</v>
      </c>
      <c r="B189" s="46" t="s">
        <v>2274</v>
      </c>
      <c r="C189" s="45" t="s">
        <v>2295</v>
      </c>
      <c r="D189" s="4" t="s">
        <v>22</v>
      </c>
      <c r="G189">
        <v>94</v>
      </c>
    </row>
    <row r="190" spans="1:7" ht="15" x14ac:dyDescent="0.2">
      <c r="A190" s="45">
        <v>188</v>
      </c>
      <c r="B190" s="46" t="s">
        <v>2275</v>
      </c>
      <c r="C190" s="45" t="s">
        <v>2307</v>
      </c>
      <c r="D190" s="4" t="s">
        <v>22</v>
      </c>
      <c r="G190">
        <v>95</v>
      </c>
    </row>
    <row r="191" spans="1:7" ht="15" x14ac:dyDescent="0.2">
      <c r="A191" s="45">
        <v>189</v>
      </c>
      <c r="B191" s="46" t="s">
        <v>2276</v>
      </c>
      <c r="C191" s="45" t="s">
        <v>2308</v>
      </c>
      <c r="D191" s="4" t="s">
        <v>22</v>
      </c>
      <c r="G191">
        <v>98</v>
      </c>
    </row>
    <row r="192" spans="1:7" ht="15" x14ac:dyDescent="0.2">
      <c r="A192" s="45">
        <v>190</v>
      </c>
      <c r="B192" s="46" t="s">
        <v>2296</v>
      </c>
      <c r="C192" s="45" t="s">
        <v>2309</v>
      </c>
      <c r="D192" s="4" t="s">
        <v>22</v>
      </c>
      <c r="G192">
        <v>101</v>
      </c>
    </row>
    <row r="193" spans="1:7" ht="15" x14ac:dyDescent="0.2">
      <c r="A193" s="45">
        <v>191</v>
      </c>
      <c r="B193" s="46" t="s">
        <v>2297</v>
      </c>
      <c r="C193" s="45" t="s">
        <v>2310</v>
      </c>
      <c r="D193" s="4" t="s">
        <v>22</v>
      </c>
      <c r="G193">
        <v>104</v>
      </c>
    </row>
    <row r="194" spans="1:7" ht="15" x14ac:dyDescent="0.2">
      <c r="A194" s="45">
        <v>192</v>
      </c>
      <c r="B194" s="46" t="s">
        <v>2298</v>
      </c>
      <c r="C194" s="45" t="s">
        <v>2311</v>
      </c>
      <c r="D194" s="4" t="s">
        <v>22</v>
      </c>
      <c r="G194">
        <v>107</v>
      </c>
    </row>
    <row r="195" spans="1:7" ht="15" x14ac:dyDescent="0.2">
      <c r="A195" s="45">
        <v>193</v>
      </c>
      <c r="B195" s="46" t="s">
        <v>2299</v>
      </c>
      <c r="C195" s="45" t="s">
        <v>2312</v>
      </c>
      <c r="D195" s="4" t="s">
        <v>22</v>
      </c>
      <c r="G195">
        <v>110</v>
      </c>
    </row>
    <row r="196" spans="1:7" ht="15" x14ac:dyDescent="0.2">
      <c r="A196" s="45">
        <v>194</v>
      </c>
      <c r="B196" s="46" t="s">
        <v>2300</v>
      </c>
      <c r="C196" s="45" t="s">
        <v>2313</v>
      </c>
      <c r="D196" s="4" t="s">
        <v>22</v>
      </c>
      <c r="G196">
        <v>113</v>
      </c>
    </row>
    <row r="197" spans="1:7" ht="15" x14ac:dyDescent="0.2">
      <c r="A197" s="45">
        <v>195</v>
      </c>
      <c r="B197" s="46" t="s">
        <v>2301</v>
      </c>
      <c r="C197" s="45" t="s">
        <v>2314</v>
      </c>
      <c r="D197" s="4" t="s">
        <v>22</v>
      </c>
      <c r="G197">
        <v>116</v>
      </c>
    </row>
    <row r="198" spans="1:7" ht="15" x14ac:dyDescent="0.2">
      <c r="A198" s="45">
        <v>196</v>
      </c>
      <c r="B198" s="46" t="s">
        <v>2277</v>
      </c>
      <c r="C198" s="45" t="s">
        <v>2315</v>
      </c>
      <c r="D198" s="4" t="s">
        <v>22</v>
      </c>
      <c r="G198">
        <v>119</v>
      </c>
    </row>
    <row r="199" spans="1:7" ht="15" x14ac:dyDescent="0.2">
      <c r="A199" s="45">
        <v>197</v>
      </c>
      <c r="B199" s="46" t="s">
        <v>2278</v>
      </c>
      <c r="C199" s="45" t="s">
        <v>2316</v>
      </c>
      <c r="D199" s="4" t="s">
        <v>22</v>
      </c>
      <c r="G199">
        <v>122</v>
      </c>
    </row>
    <row r="200" spans="1:7" ht="15" x14ac:dyDescent="0.2">
      <c r="A200" s="45">
        <v>198</v>
      </c>
      <c r="B200" s="46" t="s">
        <v>2302</v>
      </c>
      <c r="C200" s="45" t="s">
        <v>2317</v>
      </c>
      <c r="D200" s="4" t="s">
        <v>22</v>
      </c>
      <c r="G200">
        <v>125</v>
      </c>
    </row>
    <row r="201" spans="1:7" ht="15" x14ac:dyDescent="0.2">
      <c r="A201" s="45">
        <v>199</v>
      </c>
      <c r="B201" s="46" t="s">
        <v>2279</v>
      </c>
      <c r="C201" s="45" t="s">
        <v>2318</v>
      </c>
      <c r="D201" s="4" t="s">
        <v>22</v>
      </c>
      <c r="G201">
        <v>128</v>
      </c>
    </row>
    <row r="202" spans="1:7" ht="15" x14ac:dyDescent="0.2">
      <c r="A202" s="45">
        <v>200</v>
      </c>
      <c r="B202" s="46" t="s">
        <v>2280</v>
      </c>
      <c r="C202" s="45" t="s">
        <v>2319</v>
      </c>
      <c r="D202" s="4" t="s">
        <v>22</v>
      </c>
      <c r="G202">
        <v>131</v>
      </c>
    </row>
    <row r="203" spans="1:7" ht="15" x14ac:dyDescent="0.2">
      <c r="A203" s="45">
        <v>201</v>
      </c>
      <c r="B203" s="46" t="s">
        <v>2303</v>
      </c>
      <c r="C203" s="45" t="s">
        <v>2320</v>
      </c>
      <c r="D203" s="4" t="s">
        <v>22</v>
      </c>
      <c r="G203">
        <v>134</v>
      </c>
    </row>
    <row r="204" spans="1:7" ht="15" x14ac:dyDescent="0.2">
      <c r="A204" s="45">
        <v>202</v>
      </c>
      <c r="B204" s="46" t="s">
        <v>2281</v>
      </c>
      <c r="C204" s="45" t="s">
        <v>2321</v>
      </c>
      <c r="D204" s="4" t="s">
        <v>22</v>
      </c>
      <c r="G204">
        <v>137</v>
      </c>
    </row>
    <row r="205" spans="1:7" ht="15" x14ac:dyDescent="0.2">
      <c r="A205" s="45">
        <v>203</v>
      </c>
      <c r="B205" s="46" t="s">
        <v>2282</v>
      </c>
      <c r="C205" s="45" t="s">
        <v>2322</v>
      </c>
      <c r="D205" s="4" t="s">
        <v>22</v>
      </c>
      <c r="G205">
        <v>140</v>
      </c>
    </row>
    <row r="206" spans="1:7" ht="15" x14ac:dyDescent="0.2">
      <c r="A206" s="45">
        <v>204</v>
      </c>
      <c r="B206" s="46" t="s">
        <v>2283</v>
      </c>
      <c r="C206" s="45" t="s">
        <v>2323</v>
      </c>
      <c r="D206" s="4" t="s">
        <v>22</v>
      </c>
      <c r="G206">
        <v>143</v>
      </c>
    </row>
    <row r="207" spans="1:7" ht="15" x14ac:dyDescent="0.2">
      <c r="A207" s="45">
        <v>205</v>
      </c>
      <c r="B207" s="46" t="s">
        <v>2304</v>
      </c>
      <c r="C207" s="45" t="s">
        <v>2324</v>
      </c>
      <c r="D207" s="4" t="s">
        <v>22</v>
      </c>
      <c r="G207">
        <v>146</v>
      </c>
    </row>
    <row r="208" spans="1:7" ht="15" x14ac:dyDescent="0.2">
      <c r="A208" s="45">
        <v>206</v>
      </c>
      <c r="B208" s="46" t="s">
        <v>2305</v>
      </c>
      <c r="C208" s="45" t="s">
        <v>2325</v>
      </c>
      <c r="D208" s="4" t="s">
        <v>22</v>
      </c>
      <c r="G208">
        <v>149</v>
      </c>
    </row>
    <row r="209" spans="1:7" ht="15" x14ac:dyDescent="0.2">
      <c r="A209" s="45">
        <v>207</v>
      </c>
      <c r="B209" s="52" t="s">
        <v>2386</v>
      </c>
      <c r="C209" s="45" t="s">
        <v>2387</v>
      </c>
      <c r="G209">
        <v>96</v>
      </c>
    </row>
    <row r="210" spans="1:7" ht="15" x14ac:dyDescent="0.2">
      <c r="A210" s="45">
        <v>208</v>
      </c>
      <c r="B210" s="52" t="s">
        <v>2388</v>
      </c>
      <c r="C210" s="45" t="s">
        <v>2389</v>
      </c>
      <c r="G210">
        <v>97</v>
      </c>
    </row>
    <row r="211" spans="1:7" ht="15" x14ac:dyDescent="0.2">
      <c r="A211" s="45">
        <v>209</v>
      </c>
      <c r="B211" s="52" t="s">
        <v>2390</v>
      </c>
      <c r="C211" s="45" t="s">
        <v>2426</v>
      </c>
      <c r="G211">
        <v>99</v>
      </c>
    </row>
    <row r="212" spans="1:7" ht="15" x14ac:dyDescent="0.2">
      <c r="A212" s="45">
        <v>210</v>
      </c>
      <c r="B212" s="52" t="s">
        <v>2391</v>
      </c>
      <c r="C212" s="45" t="s">
        <v>2427</v>
      </c>
      <c r="G212">
        <v>100</v>
      </c>
    </row>
    <row r="213" spans="1:7" ht="15" x14ac:dyDescent="0.2">
      <c r="A213" s="45">
        <v>211</v>
      </c>
      <c r="B213" s="52" t="s">
        <v>2392</v>
      </c>
      <c r="C213" s="45" t="s">
        <v>2428</v>
      </c>
      <c r="G213">
        <v>102</v>
      </c>
    </row>
    <row r="214" spans="1:7" ht="15" x14ac:dyDescent="0.2">
      <c r="A214" s="45">
        <v>212</v>
      </c>
      <c r="B214" s="52" t="s">
        <v>2393</v>
      </c>
      <c r="C214" s="45" t="s">
        <v>2429</v>
      </c>
      <c r="G214">
        <v>103</v>
      </c>
    </row>
    <row r="215" spans="1:7" ht="15" x14ac:dyDescent="0.2">
      <c r="A215" s="45">
        <v>213</v>
      </c>
      <c r="B215" s="52" t="s">
        <v>2394</v>
      </c>
      <c r="C215" s="45" t="s">
        <v>2430</v>
      </c>
      <c r="G215">
        <v>105</v>
      </c>
    </row>
    <row r="216" spans="1:7" ht="15" x14ac:dyDescent="0.2">
      <c r="A216" s="45">
        <v>214</v>
      </c>
      <c r="B216" s="52" t="s">
        <v>2395</v>
      </c>
      <c r="C216" s="45" t="s">
        <v>2431</v>
      </c>
      <c r="G216">
        <v>106</v>
      </c>
    </row>
    <row r="217" spans="1:7" ht="15" x14ac:dyDescent="0.2">
      <c r="A217" s="45">
        <v>215</v>
      </c>
      <c r="B217" s="52" t="s">
        <v>2396</v>
      </c>
      <c r="C217" s="45" t="s">
        <v>2432</v>
      </c>
      <c r="G217">
        <v>108</v>
      </c>
    </row>
    <row r="218" spans="1:7" ht="15" x14ac:dyDescent="0.2">
      <c r="A218" s="45">
        <v>216</v>
      </c>
      <c r="B218" s="52" t="s">
        <v>2397</v>
      </c>
      <c r="C218" s="45" t="s">
        <v>2433</v>
      </c>
      <c r="G218">
        <v>109</v>
      </c>
    </row>
    <row r="219" spans="1:7" ht="15" x14ac:dyDescent="0.2">
      <c r="A219" s="45">
        <v>217</v>
      </c>
      <c r="B219" s="52" t="s">
        <v>2398</v>
      </c>
      <c r="C219" s="45" t="s">
        <v>2434</v>
      </c>
      <c r="G219">
        <v>111</v>
      </c>
    </row>
    <row r="220" spans="1:7" ht="15" x14ac:dyDescent="0.2">
      <c r="A220" s="45">
        <v>218</v>
      </c>
      <c r="B220" s="52" t="s">
        <v>2399</v>
      </c>
      <c r="C220" s="45" t="s">
        <v>2435</v>
      </c>
      <c r="G220">
        <v>112</v>
      </c>
    </row>
    <row r="221" spans="1:7" ht="15" x14ac:dyDescent="0.2">
      <c r="A221" s="45">
        <v>219</v>
      </c>
      <c r="B221" s="52" t="s">
        <v>2400</v>
      </c>
      <c r="C221" s="45" t="s">
        <v>2436</v>
      </c>
      <c r="G221">
        <v>114</v>
      </c>
    </row>
    <row r="222" spans="1:7" ht="15" x14ac:dyDescent="0.2">
      <c r="A222" s="45">
        <v>220</v>
      </c>
      <c r="B222" s="52" t="s">
        <v>2401</v>
      </c>
      <c r="C222" s="45" t="s">
        <v>2437</v>
      </c>
      <c r="G222">
        <v>115</v>
      </c>
    </row>
    <row r="223" spans="1:7" ht="15" x14ac:dyDescent="0.2">
      <c r="A223" s="45">
        <v>221</v>
      </c>
      <c r="B223" s="52" t="s">
        <v>2402</v>
      </c>
      <c r="C223" s="45" t="s">
        <v>2438</v>
      </c>
      <c r="G223">
        <v>117</v>
      </c>
    </row>
    <row r="224" spans="1:7" ht="15" x14ac:dyDescent="0.2">
      <c r="A224" s="45">
        <v>222</v>
      </c>
      <c r="B224" s="52" t="s">
        <v>2403</v>
      </c>
      <c r="C224" s="45" t="s">
        <v>2439</v>
      </c>
      <c r="G224">
        <v>118</v>
      </c>
    </row>
    <row r="225" spans="1:7" ht="15" x14ac:dyDescent="0.2">
      <c r="A225" s="45">
        <v>223</v>
      </c>
      <c r="B225" s="52" t="s">
        <v>2404</v>
      </c>
      <c r="C225" s="45" t="s">
        <v>2440</v>
      </c>
      <c r="G225">
        <v>120</v>
      </c>
    </row>
    <row r="226" spans="1:7" ht="15" x14ac:dyDescent="0.2">
      <c r="A226" s="45">
        <v>224</v>
      </c>
      <c r="B226" s="52" t="s">
        <v>2405</v>
      </c>
      <c r="C226" s="45" t="s">
        <v>2441</v>
      </c>
      <c r="G226">
        <v>121</v>
      </c>
    </row>
    <row r="227" spans="1:7" ht="15" x14ac:dyDescent="0.2">
      <c r="A227" s="45">
        <v>225</v>
      </c>
      <c r="B227" s="52" t="s">
        <v>2406</v>
      </c>
      <c r="C227" s="45" t="s">
        <v>2442</v>
      </c>
      <c r="G227">
        <v>123</v>
      </c>
    </row>
    <row r="228" spans="1:7" ht="15" x14ac:dyDescent="0.2">
      <c r="A228" s="45">
        <v>226</v>
      </c>
      <c r="B228" s="52" t="s">
        <v>2407</v>
      </c>
      <c r="C228" s="45" t="s">
        <v>2443</v>
      </c>
      <c r="G228">
        <v>124</v>
      </c>
    </row>
    <row r="229" spans="1:7" ht="15" x14ac:dyDescent="0.2">
      <c r="A229" s="45">
        <v>227</v>
      </c>
      <c r="B229" s="52" t="s">
        <v>2408</v>
      </c>
      <c r="C229" s="45" t="s">
        <v>2444</v>
      </c>
      <c r="G229">
        <v>126</v>
      </c>
    </row>
    <row r="230" spans="1:7" ht="15" x14ac:dyDescent="0.2">
      <c r="A230" s="45">
        <v>228</v>
      </c>
      <c r="B230" s="52" t="s">
        <v>2409</v>
      </c>
      <c r="C230" s="45" t="s">
        <v>2445</v>
      </c>
      <c r="G230">
        <v>127</v>
      </c>
    </row>
    <row r="231" spans="1:7" ht="15" x14ac:dyDescent="0.2">
      <c r="A231" s="45">
        <v>229</v>
      </c>
      <c r="B231" s="52" t="s">
        <v>2410</v>
      </c>
      <c r="C231" s="45" t="s">
        <v>2446</v>
      </c>
      <c r="G231">
        <v>129</v>
      </c>
    </row>
    <row r="232" spans="1:7" ht="15" x14ac:dyDescent="0.2">
      <c r="A232" s="45">
        <v>230</v>
      </c>
      <c r="B232" s="52" t="s">
        <v>2411</v>
      </c>
      <c r="C232" s="45" t="s">
        <v>2447</v>
      </c>
      <c r="G232">
        <v>130</v>
      </c>
    </row>
    <row r="233" spans="1:7" ht="15" x14ac:dyDescent="0.2">
      <c r="A233" s="45">
        <v>231</v>
      </c>
      <c r="B233" s="52" t="s">
        <v>2412</v>
      </c>
      <c r="C233" s="45" t="s">
        <v>2448</v>
      </c>
      <c r="G233">
        <v>132</v>
      </c>
    </row>
    <row r="234" spans="1:7" ht="15" x14ac:dyDescent="0.2">
      <c r="A234" s="45">
        <v>232</v>
      </c>
      <c r="B234" s="52" t="s">
        <v>2413</v>
      </c>
      <c r="C234" s="45" t="s">
        <v>2449</v>
      </c>
      <c r="G234">
        <v>133</v>
      </c>
    </row>
    <row r="235" spans="1:7" ht="15" x14ac:dyDescent="0.2">
      <c r="A235" s="45">
        <v>233</v>
      </c>
      <c r="B235" s="52" t="s">
        <v>2414</v>
      </c>
      <c r="C235" s="45" t="s">
        <v>2450</v>
      </c>
      <c r="G235">
        <v>135</v>
      </c>
    </row>
    <row r="236" spans="1:7" ht="15" x14ac:dyDescent="0.2">
      <c r="A236" s="45">
        <v>234</v>
      </c>
      <c r="B236" s="52" t="s">
        <v>2415</v>
      </c>
      <c r="C236" s="45" t="s">
        <v>2451</v>
      </c>
      <c r="G236">
        <v>136</v>
      </c>
    </row>
    <row r="237" spans="1:7" ht="15" x14ac:dyDescent="0.2">
      <c r="A237" s="45">
        <v>235</v>
      </c>
      <c r="B237" s="52" t="s">
        <v>2416</v>
      </c>
      <c r="C237" s="45" t="s">
        <v>2452</v>
      </c>
      <c r="G237">
        <v>138</v>
      </c>
    </row>
    <row r="238" spans="1:7" ht="15" x14ac:dyDescent="0.2">
      <c r="A238" s="45">
        <v>236</v>
      </c>
      <c r="B238" s="52" t="s">
        <v>2417</v>
      </c>
      <c r="C238" s="45" t="s">
        <v>2453</v>
      </c>
      <c r="G238">
        <v>139</v>
      </c>
    </row>
    <row r="239" spans="1:7" ht="15" x14ac:dyDescent="0.2">
      <c r="A239" s="45">
        <v>237</v>
      </c>
      <c r="B239" s="52" t="s">
        <v>2418</v>
      </c>
      <c r="C239" s="45" t="s">
        <v>2454</v>
      </c>
      <c r="G239">
        <v>141</v>
      </c>
    </row>
    <row r="240" spans="1:7" ht="15" x14ac:dyDescent="0.2">
      <c r="A240" s="45">
        <v>238</v>
      </c>
      <c r="B240" s="52" t="s">
        <v>2419</v>
      </c>
      <c r="C240" s="45" t="s">
        <v>2455</v>
      </c>
      <c r="G240">
        <v>142</v>
      </c>
    </row>
    <row r="241" spans="1:7" ht="15" x14ac:dyDescent="0.2">
      <c r="A241" s="45">
        <v>239</v>
      </c>
      <c r="B241" s="52" t="s">
        <v>2420</v>
      </c>
      <c r="C241" s="45" t="s">
        <v>2456</v>
      </c>
      <c r="G241">
        <v>144</v>
      </c>
    </row>
    <row r="242" spans="1:7" ht="15" x14ac:dyDescent="0.2">
      <c r="A242" s="45">
        <v>240</v>
      </c>
      <c r="B242" s="52" t="s">
        <v>2421</v>
      </c>
      <c r="C242" s="45" t="s">
        <v>2457</v>
      </c>
      <c r="G242">
        <v>145</v>
      </c>
    </row>
    <row r="243" spans="1:7" ht="15" x14ac:dyDescent="0.2">
      <c r="A243" s="45">
        <v>241</v>
      </c>
      <c r="B243" s="52" t="s">
        <v>2422</v>
      </c>
      <c r="C243" s="45" t="s">
        <v>2458</v>
      </c>
      <c r="G243">
        <v>147</v>
      </c>
    </row>
    <row r="244" spans="1:7" ht="15" x14ac:dyDescent="0.2">
      <c r="A244" s="45">
        <v>242</v>
      </c>
      <c r="B244" s="52" t="s">
        <v>2423</v>
      </c>
      <c r="C244" s="45" t="s">
        <v>2459</v>
      </c>
      <c r="G244">
        <v>148</v>
      </c>
    </row>
    <row r="245" spans="1:7" ht="15" x14ac:dyDescent="0.2">
      <c r="A245" s="45">
        <v>243</v>
      </c>
      <c r="B245" s="52" t="s">
        <v>2424</v>
      </c>
      <c r="C245" s="45" t="s">
        <v>2460</v>
      </c>
      <c r="G245">
        <v>150</v>
      </c>
    </row>
    <row r="246" spans="1:7" ht="15" x14ac:dyDescent="0.2">
      <c r="A246" s="45">
        <v>244</v>
      </c>
      <c r="B246" s="52" t="s">
        <v>2425</v>
      </c>
      <c r="C246" s="45" t="s">
        <v>2461</v>
      </c>
      <c r="G246">
        <v>151</v>
      </c>
    </row>
    <row r="247" spans="1:7" ht="15" x14ac:dyDescent="0.2">
      <c r="A247" s="47">
        <v>245</v>
      </c>
      <c r="B247" s="48" t="s">
        <v>3871</v>
      </c>
      <c r="C247" s="47" t="s">
        <v>2327</v>
      </c>
      <c r="D247" s="4" t="s">
        <v>22</v>
      </c>
      <c r="G247">
        <v>212</v>
      </c>
    </row>
    <row r="248" spans="1:7" ht="15" x14ac:dyDescent="0.2">
      <c r="A248" s="47">
        <v>246</v>
      </c>
      <c r="B248" s="48" t="s">
        <v>3872</v>
      </c>
      <c r="C248" s="47" t="s">
        <v>2329</v>
      </c>
      <c r="D248" s="4" t="s">
        <v>22</v>
      </c>
      <c r="G248">
        <v>214</v>
      </c>
    </row>
    <row r="249" spans="1:7" ht="15" x14ac:dyDescent="0.2">
      <c r="A249" s="47">
        <v>247</v>
      </c>
      <c r="B249" s="49" t="s">
        <v>3873</v>
      </c>
      <c r="C249" s="47" t="s">
        <v>2328</v>
      </c>
      <c r="G249">
        <v>213</v>
      </c>
    </row>
    <row r="250" spans="1:7" ht="15" x14ac:dyDescent="0.2">
      <c r="B250" s="1"/>
    </row>
    <row r="251" spans="1:7" ht="15" x14ac:dyDescent="0.2">
      <c r="B251" s="1"/>
    </row>
    <row r="252" spans="1:7" ht="15" x14ac:dyDescent="0.2">
      <c r="B252" s="1"/>
    </row>
    <row r="253" spans="1:7" ht="15" x14ac:dyDescent="0.2">
      <c r="B253" s="1"/>
    </row>
    <row r="254" spans="1:7" ht="15" x14ac:dyDescent="0.2">
      <c r="B254" s="1"/>
    </row>
    <row r="255" spans="1:7" ht="15" x14ac:dyDescent="0.2">
      <c r="B255" s="1"/>
    </row>
    <row r="256" spans="1:7" ht="15" x14ac:dyDescent="0.2">
      <c r="B256" s="1"/>
    </row>
    <row r="257" spans="2:2" ht="15" x14ac:dyDescent="0.2">
      <c r="B257" s="1"/>
    </row>
    <row r="258" spans="2:2" ht="15" x14ac:dyDescent="0.2">
      <c r="B258" s="1"/>
    </row>
    <row r="259" spans="2:2" ht="15" x14ac:dyDescent="0.2">
      <c r="B259" s="1"/>
    </row>
    <row r="260" spans="2:2" ht="15" x14ac:dyDescent="0.2">
      <c r="B260" s="1"/>
    </row>
    <row r="261" spans="2:2" ht="15" x14ac:dyDescent="0.2">
      <c r="B261" s="1"/>
    </row>
    <row r="262" spans="2:2" ht="15" x14ac:dyDescent="0.2">
      <c r="B262" s="1"/>
    </row>
    <row r="263" spans="2:2" ht="15" x14ac:dyDescent="0.2">
      <c r="B263" s="1"/>
    </row>
    <row r="264" spans="2:2" ht="15" x14ac:dyDescent="0.2">
      <c r="B264" s="1"/>
    </row>
    <row r="265" spans="2:2" ht="15" x14ac:dyDescent="0.2">
      <c r="B265" s="1"/>
    </row>
    <row r="266" spans="2:2" ht="15" x14ac:dyDescent="0.2">
      <c r="B266" s="1"/>
    </row>
    <row r="267" spans="2:2" ht="15" x14ac:dyDescent="0.2">
      <c r="B267" s="1"/>
    </row>
    <row r="268" spans="2:2" ht="15" x14ac:dyDescent="0.2">
      <c r="B268" s="1"/>
    </row>
    <row r="269" spans="2:2" ht="15" x14ac:dyDescent="0.2">
      <c r="B269" s="1"/>
    </row>
    <row r="270" spans="2:2" ht="15" x14ac:dyDescent="0.2">
      <c r="B270" s="1"/>
    </row>
    <row r="271" spans="2:2" ht="15" x14ac:dyDescent="0.2">
      <c r="B271" s="1"/>
    </row>
    <row r="272" spans="2:2" ht="15" x14ac:dyDescent="0.2">
      <c r="B272" s="1"/>
    </row>
    <row r="273" spans="2:2" ht="15" x14ac:dyDescent="0.2">
      <c r="B273" s="1"/>
    </row>
    <row r="274" spans="2:2" ht="15" x14ac:dyDescent="0.2">
      <c r="B274" s="1"/>
    </row>
    <row r="275" spans="2:2" ht="15" x14ac:dyDescent="0.2">
      <c r="B275" s="1"/>
    </row>
    <row r="276" spans="2:2" ht="15" x14ac:dyDescent="0.2">
      <c r="B276" s="1"/>
    </row>
    <row r="277" spans="2:2" ht="15" x14ac:dyDescent="0.2">
      <c r="B277" s="1"/>
    </row>
    <row r="278" spans="2:2" ht="15" x14ac:dyDescent="0.2">
      <c r="B278" s="1"/>
    </row>
    <row r="279" spans="2:2" ht="15" x14ac:dyDescent="0.2">
      <c r="B279" s="1"/>
    </row>
    <row r="280" spans="2:2" ht="15" x14ac:dyDescent="0.2">
      <c r="B280" s="1"/>
    </row>
    <row r="281" spans="2:2" ht="15" x14ac:dyDescent="0.2">
      <c r="B281" s="1"/>
    </row>
    <row r="282" spans="2:2" ht="15" x14ac:dyDescent="0.2">
      <c r="B282" s="1"/>
    </row>
    <row r="283" spans="2:2" ht="15" x14ac:dyDescent="0.2">
      <c r="B283" s="1"/>
    </row>
    <row r="284" spans="2:2" ht="15" x14ac:dyDescent="0.2">
      <c r="B284" s="1"/>
    </row>
    <row r="285" spans="2:2" ht="15" x14ac:dyDescent="0.2">
      <c r="B285" s="1"/>
    </row>
    <row r="286" spans="2:2" ht="15" x14ac:dyDescent="0.2">
      <c r="B286" s="1"/>
    </row>
    <row r="287" spans="2:2" ht="15" x14ac:dyDescent="0.2">
      <c r="B287" s="1"/>
    </row>
    <row r="288" spans="2:2" ht="15" x14ac:dyDescent="0.2">
      <c r="B288" s="1"/>
    </row>
    <row r="289" spans="2:2" ht="15" x14ac:dyDescent="0.2">
      <c r="B289" s="1"/>
    </row>
    <row r="290" spans="2:2" ht="15" x14ac:dyDescent="0.2">
      <c r="B290" s="1"/>
    </row>
    <row r="291" spans="2:2" ht="15" x14ac:dyDescent="0.2">
      <c r="B291" s="1"/>
    </row>
    <row r="292" spans="2:2" ht="15" x14ac:dyDescent="0.2">
      <c r="B292" s="1"/>
    </row>
    <row r="293" spans="2:2" ht="15" x14ac:dyDescent="0.2">
      <c r="B293" s="1"/>
    </row>
    <row r="294" spans="2:2" ht="15" x14ac:dyDescent="0.2">
      <c r="B294" s="1"/>
    </row>
    <row r="295" spans="2:2" ht="15" x14ac:dyDescent="0.2">
      <c r="B295" s="1"/>
    </row>
    <row r="296" spans="2:2" ht="15" x14ac:dyDescent="0.2">
      <c r="B296" s="1"/>
    </row>
    <row r="297" spans="2:2" ht="15" x14ac:dyDescent="0.2">
      <c r="B297" s="1"/>
    </row>
    <row r="298" spans="2:2" ht="15" x14ac:dyDescent="0.2">
      <c r="B298" s="23"/>
    </row>
    <row r="299" spans="2:2" ht="15" x14ac:dyDescent="0.2">
      <c r="B299" s="23"/>
    </row>
  </sheetData>
  <sortState xmlns:xlrd2="http://schemas.microsoft.com/office/spreadsheetml/2017/richdata2" ref="A2:G249">
    <sortCondition ref="A1:A249"/>
  </sortState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963FC-D1AF-47E5-BB09-9770285565C2}">
  <sheetPr codeName="Sheet10"/>
  <dimension ref="A1:G27"/>
  <sheetViews>
    <sheetView workbookViewId="0"/>
  </sheetViews>
  <sheetFormatPr defaultRowHeight="14.25" x14ac:dyDescent="0.2"/>
  <cols>
    <col min="2" max="2" width="32.75" bestFit="1" customWidth="1"/>
    <col min="3" max="3" width="25.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G2">
        <v>0</v>
      </c>
    </row>
    <row r="3" spans="1:7" ht="15" x14ac:dyDescent="0.2">
      <c r="A3">
        <v>1</v>
      </c>
      <c r="B3" s="1" t="s">
        <v>2</v>
      </c>
      <c r="C3" t="s">
        <v>2476</v>
      </c>
      <c r="D3" s="4" t="s">
        <v>22</v>
      </c>
      <c r="E3" s="4"/>
      <c r="G3">
        <v>2</v>
      </c>
    </row>
    <row r="4" spans="1:7" ht="15" x14ac:dyDescent="0.2">
      <c r="A4">
        <v>2</v>
      </c>
      <c r="B4" s="1" t="s">
        <v>2462</v>
      </c>
      <c r="C4" t="s">
        <v>458</v>
      </c>
      <c r="D4" s="4" t="s">
        <v>22</v>
      </c>
      <c r="E4" s="4" t="s">
        <v>22</v>
      </c>
      <c r="G4">
        <v>6</v>
      </c>
    </row>
    <row r="5" spans="1:7" ht="15" x14ac:dyDescent="0.2">
      <c r="A5">
        <v>3</v>
      </c>
      <c r="B5" s="1" t="s">
        <v>2463</v>
      </c>
      <c r="C5" t="s">
        <v>2477</v>
      </c>
      <c r="D5" s="4" t="s">
        <v>22</v>
      </c>
      <c r="E5" s="4" t="s">
        <v>22</v>
      </c>
      <c r="G5">
        <v>1</v>
      </c>
    </row>
    <row r="6" spans="1:7" ht="15" x14ac:dyDescent="0.2">
      <c r="A6">
        <v>4</v>
      </c>
      <c r="B6" s="1" t="s">
        <v>2464</v>
      </c>
      <c r="C6" t="s">
        <v>2478</v>
      </c>
      <c r="D6" s="4" t="s">
        <v>22</v>
      </c>
      <c r="E6" s="4" t="s">
        <v>22</v>
      </c>
      <c r="G6">
        <v>7</v>
      </c>
    </row>
    <row r="7" spans="1:7" ht="15" x14ac:dyDescent="0.2">
      <c r="A7">
        <v>5</v>
      </c>
      <c r="B7" s="1" t="s">
        <v>2465</v>
      </c>
      <c r="C7" t="s">
        <v>2479</v>
      </c>
      <c r="D7" s="4" t="s">
        <v>22</v>
      </c>
      <c r="E7" s="4" t="s">
        <v>22</v>
      </c>
      <c r="G7">
        <v>8</v>
      </c>
    </row>
    <row r="8" spans="1:7" ht="15" x14ac:dyDescent="0.2">
      <c r="A8">
        <v>6</v>
      </c>
      <c r="B8" s="1" t="s">
        <v>2466</v>
      </c>
      <c r="C8" t="s">
        <v>2480</v>
      </c>
      <c r="D8" s="4" t="s">
        <v>22</v>
      </c>
      <c r="E8" s="4" t="s">
        <v>22</v>
      </c>
      <c r="G8">
        <v>21</v>
      </c>
    </row>
    <row r="9" spans="1:7" ht="15" x14ac:dyDescent="0.2">
      <c r="A9">
        <v>7</v>
      </c>
      <c r="B9" s="1" t="s">
        <v>2467</v>
      </c>
      <c r="C9" t="s">
        <v>2481</v>
      </c>
      <c r="D9" s="4" t="s">
        <v>22</v>
      </c>
      <c r="E9" s="4" t="s">
        <v>22</v>
      </c>
      <c r="G9">
        <v>22</v>
      </c>
    </row>
    <row r="10" spans="1:7" ht="15" x14ac:dyDescent="0.2">
      <c r="A10">
        <v>8</v>
      </c>
      <c r="B10" s="1" t="s">
        <v>2468</v>
      </c>
      <c r="C10" t="s">
        <v>2482</v>
      </c>
      <c r="D10" s="4" t="s">
        <v>22</v>
      </c>
      <c r="E10" s="4" t="s">
        <v>22</v>
      </c>
      <c r="G10">
        <v>23</v>
      </c>
    </row>
    <row r="11" spans="1:7" ht="15" x14ac:dyDescent="0.2">
      <c r="A11">
        <v>9</v>
      </c>
      <c r="B11" s="1" t="s">
        <v>2469</v>
      </c>
      <c r="C11" t="s">
        <v>2483</v>
      </c>
      <c r="D11" s="4" t="s">
        <v>22</v>
      </c>
      <c r="E11" s="4" t="s">
        <v>22</v>
      </c>
      <c r="G11">
        <v>24</v>
      </c>
    </row>
    <row r="12" spans="1:7" ht="15" x14ac:dyDescent="0.2">
      <c r="A12">
        <v>10</v>
      </c>
      <c r="B12" s="1" t="s">
        <v>2470</v>
      </c>
      <c r="C12" t="s">
        <v>2484</v>
      </c>
      <c r="D12" s="4" t="s">
        <v>22</v>
      </c>
      <c r="E12" s="4" t="s">
        <v>22</v>
      </c>
      <c r="G12">
        <v>25</v>
      </c>
    </row>
    <row r="13" spans="1:7" ht="15" x14ac:dyDescent="0.2">
      <c r="A13">
        <v>11</v>
      </c>
      <c r="B13" s="1" t="s">
        <v>2471</v>
      </c>
      <c r="C13" t="s">
        <v>867</v>
      </c>
      <c r="D13" s="4" t="s">
        <v>22</v>
      </c>
      <c r="E13" s="4" t="s">
        <v>22</v>
      </c>
      <c r="G13">
        <v>3</v>
      </c>
    </row>
    <row r="14" spans="1:7" ht="15" x14ac:dyDescent="0.2">
      <c r="A14">
        <v>12</v>
      </c>
      <c r="B14" s="1" t="s">
        <v>2472</v>
      </c>
      <c r="C14" t="s">
        <v>2485</v>
      </c>
      <c r="D14" s="4" t="s">
        <v>22</v>
      </c>
      <c r="E14" s="4" t="s">
        <v>22</v>
      </c>
      <c r="G14">
        <v>9</v>
      </c>
    </row>
    <row r="15" spans="1:7" ht="15" x14ac:dyDescent="0.2">
      <c r="A15">
        <v>13</v>
      </c>
      <c r="B15" s="1" t="s">
        <v>2473</v>
      </c>
      <c r="C15" t="s">
        <v>843</v>
      </c>
      <c r="D15" s="4" t="s">
        <v>22</v>
      </c>
      <c r="E15" s="4" t="s">
        <v>22</v>
      </c>
      <c r="G15">
        <v>12</v>
      </c>
    </row>
    <row r="16" spans="1:7" ht="15" x14ac:dyDescent="0.2">
      <c r="A16">
        <v>14</v>
      </c>
      <c r="B16" s="1" t="s">
        <v>2474</v>
      </c>
      <c r="C16" t="s">
        <v>2486</v>
      </c>
      <c r="D16" s="4" t="s">
        <v>22</v>
      </c>
      <c r="E16" s="4" t="s">
        <v>22</v>
      </c>
      <c r="G16">
        <v>17</v>
      </c>
    </row>
    <row r="17" spans="1:7" ht="15" x14ac:dyDescent="0.2">
      <c r="A17">
        <v>15</v>
      </c>
      <c r="B17" s="1" t="s">
        <v>2475</v>
      </c>
      <c r="C17" t="s">
        <v>2495</v>
      </c>
      <c r="D17" s="4" t="s">
        <v>22</v>
      </c>
      <c r="E17" s="4" t="s">
        <v>22</v>
      </c>
      <c r="G17">
        <v>20</v>
      </c>
    </row>
    <row r="18" spans="1:7" ht="15" x14ac:dyDescent="0.2">
      <c r="A18">
        <v>16</v>
      </c>
      <c r="B18" s="6" t="s">
        <v>2487</v>
      </c>
      <c r="C18" t="s">
        <v>868</v>
      </c>
      <c r="E18" s="4"/>
      <c r="G18">
        <v>4</v>
      </c>
    </row>
    <row r="19" spans="1:7" ht="15" x14ac:dyDescent="0.2">
      <c r="A19">
        <v>17</v>
      </c>
      <c r="B19" s="6" t="s">
        <v>2488</v>
      </c>
      <c r="C19" t="s">
        <v>869</v>
      </c>
      <c r="G19">
        <v>5</v>
      </c>
    </row>
    <row r="20" spans="1:7" ht="15" x14ac:dyDescent="0.2">
      <c r="A20">
        <v>18</v>
      </c>
      <c r="B20" s="6" t="s">
        <v>2489</v>
      </c>
      <c r="C20" t="s">
        <v>2068</v>
      </c>
      <c r="G20">
        <v>10</v>
      </c>
    </row>
    <row r="21" spans="1:7" ht="15" x14ac:dyDescent="0.2">
      <c r="A21">
        <v>19</v>
      </c>
      <c r="B21" s="6" t="s">
        <v>2490</v>
      </c>
      <c r="C21" t="s">
        <v>2069</v>
      </c>
      <c r="G21">
        <v>11</v>
      </c>
    </row>
    <row r="22" spans="1:7" ht="15" x14ac:dyDescent="0.2">
      <c r="A22">
        <v>20</v>
      </c>
      <c r="B22" s="6" t="s">
        <v>2491</v>
      </c>
      <c r="C22" t="s">
        <v>846</v>
      </c>
      <c r="G22">
        <v>13</v>
      </c>
    </row>
    <row r="23" spans="1:7" ht="15" x14ac:dyDescent="0.2">
      <c r="A23">
        <v>21</v>
      </c>
      <c r="B23" s="6" t="s">
        <v>2492</v>
      </c>
      <c r="C23" t="s">
        <v>847</v>
      </c>
      <c r="G23">
        <v>15</v>
      </c>
    </row>
    <row r="24" spans="1:7" ht="15" x14ac:dyDescent="0.2">
      <c r="A24">
        <v>22</v>
      </c>
      <c r="B24" s="6" t="s">
        <v>2493</v>
      </c>
      <c r="C24" t="s">
        <v>1273</v>
      </c>
      <c r="G24">
        <v>14</v>
      </c>
    </row>
    <row r="25" spans="1:7" ht="15" x14ac:dyDescent="0.2">
      <c r="A25">
        <v>23</v>
      </c>
      <c r="B25" s="6" t="s">
        <v>2494</v>
      </c>
      <c r="C25" t="s">
        <v>2498</v>
      </c>
      <c r="G25">
        <v>16</v>
      </c>
    </row>
    <row r="26" spans="1:7" ht="15" x14ac:dyDescent="0.2">
      <c r="A26">
        <v>24</v>
      </c>
      <c r="B26" s="6" t="s">
        <v>2496</v>
      </c>
      <c r="C26" t="s">
        <v>2499</v>
      </c>
      <c r="G26">
        <v>18</v>
      </c>
    </row>
    <row r="27" spans="1:7" ht="15" x14ac:dyDescent="0.2">
      <c r="A27">
        <v>25</v>
      </c>
      <c r="B27" s="6" t="s">
        <v>2497</v>
      </c>
      <c r="C27" t="s">
        <v>2500</v>
      </c>
      <c r="G27">
        <v>19</v>
      </c>
    </row>
  </sheetData>
  <sortState xmlns:xlrd2="http://schemas.microsoft.com/office/spreadsheetml/2017/richdata2" ref="A2:G27">
    <sortCondition ref="A1:A27"/>
  </sortState>
  <phoneticPr fontId="2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D51C0-16CE-493B-ACDF-CED633B09365}">
  <sheetPr codeName="Sheet24"/>
  <dimension ref="A1:G8"/>
  <sheetViews>
    <sheetView workbookViewId="0"/>
  </sheetViews>
  <sheetFormatPr defaultRowHeight="14.25" x14ac:dyDescent="0.2"/>
  <cols>
    <col min="2" max="2" width="39.375" bestFit="1" customWidth="1"/>
    <col min="3" max="3" width="17.2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G2">
        <v>0</v>
      </c>
    </row>
    <row r="3" spans="1:7" ht="15" x14ac:dyDescent="0.2">
      <c r="A3">
        <v>1</v>
      </c>
      <c r="B3" s="1" t="s">
        <v>2880</v>
      </c>
      <c r="C3" t="s">
        <v>2890</v>
      </c>
      <c r="D3" s="4"/>
      <c r="E3" s="4"/>
      <c r="G3">
        <v>1</v>
      </c>
    </row>
    <row r="4" spans="1:7" ht="15" x14ac:dyDescent="0.2">
      <c r="A4">
        <v>2</v>
      </c>
      <c r="B4" s="1" t="s">
        <v>2881</v>
      </c>
      <c r="C4" t="s">
        <v>2882</v>
      </c>
      <c r="D4" s="4"/>
      <c r="E4" s="4"/>
      <c r="G4">
        <v>2</v>
      </c>
    </row>
    <row r="5" spans="1:7" ht="15" x14ac:dyDescent="0.2">
      <c r="A5">
        <v>3</v>
      </c>
      <c r="B5" s="1" t="s">
        <v>2699</v>
      </c>
      <c r="C5" t="s">
        <v>2886</v>
      </c>
      <c r="D5" s="4" t="s">
        <v>22</v>
      </c>
      <c r="E5" s="4"/>
      <c r="G5">
        <v>3</v>
      </c>
    </row>
    <row r="6" spans="1:7" ht="15" x14ac:dyDescent="0.2">
      <c r="A6">
        <v>4</v>
      </c>
      <c r="B6" s="1" t="s">
        <v>2883</v>
      </c>
      <c r="C6" t="s">
        <v>2887</v>
      </c>
      <c r="D6" s="4" t="s">
        <v>22</v>
      </c>
      <c r="E6" s="4" t="s">
        <v>22</v>
      </c>
      <c r="G6">
        <v>6</v>
      </c>
    </row>
    <row r="7" spans="1:7" ht="15" x14ac:dyDescent="0.2">
      <c r="A7">
        <v>5</v>
      </c>
      <c r="B7" s="6" t="s">
        <v>2884</v>
      </c>
      <c r="C7" t="s">
        <v>2888</v>
      </c>
      <c r="D7" s="4"/>
      <c r="E7" s="4"/>
      <c r="G7">
        <v>4</v>
      </c>
    </row>
    <row r="8" spans="1:7" ht="15" x14ac:dyDescent="0.2">
      <c r="A8">
        <v>6</v>
      </c>
      <c r="B8" s="6" t="s">
        <v>2885</v>
      </c>
      <c r="C8" t="s">
        <v>2889</v>
      </c>
      <c r="D8" s="4"/>
      <c r="E8" s="4"/>
      <c r="G8">
        <v>5</v>
      </c>
    </row>
  </sheetData>
  <sortState xmlns:xlrd2="http://schemas.microsoft.com/office/spreadsheetml/2017/richdata2" ref="A2:G8">
    <sortCondition ref="A1:A8"/>
  </sortState>
  <phoneticPr fontId="2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D802-F57E-44A6-B120-12D8C7BE7DFE}">
  <sheetPr codeName="Sheet11"/>
  <dimension ref="A1:G9"/>
  <sheetViews>
    <sheetView workbookViewId="0"/>
  </sheetViews>
  <sheetFormatPr defaultRowHeight="14.25" x14ac:dyDescent="0.2"/>
  <cols>
    <col min="2" max="2" width="26.125" bestFit="1" customWidth="1"/>
    <col min="3" max="3" width="13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G2">
        <v>0</v>
      </c>
    </row>
    <row r="3" spans="1:7" ht="15" x14ac:dyDescent="0.2">
      <c r="A3">
        <v>1</v>
      </c>
      <c r="B3" s="1" t="s">
        <v>2897</v>
      </c>
      <c r="C3" t="s">
        <v>2898</v>
      </c>
      <c r="D3" s="4"/>
      <c r="E3" s="4"/>
      <c r="G3">
        <v>2</v>
      </c>
    </row>
    <row r="4" spans="1:7" ht="15" x14ac:dyDescent="0.2">
      <c r="A4">
        <v>2</v>
      </c>
      <c r="B4" s="1" t="s">
        <v>2899</v>
      </c>
      <c r="C4" t="s">
        <v>2900</v>
      </c>
      <c r="D4" s="4" t="s">
        <v>22</v>
      </c>
      <c r="E4" s="4" t="s">
        <v>22</v>
      </c>
      <c r="G4">
        <v>1</v>
      </c>
    </row>
    <row r="5" spans="1:7" ht="15" x14ac:dyDescent="0.2">
      <c r="A5">
        <v>3</v>
      </c>
      <c r="B5" s="1" t="s">
        <v>2894</v>
      </c>
      <c r="C5" t="s">
        <v>2895</v>
      </c>
      <c r="D5" s="4" t="s">
        <v>22</v>
      </c>
      <c r="E5" s="4"/>
      <c r="G5">
        <v>3</v>
      </c>
    </row>
    <row r="6" spans="1:7" ht="15" x14ac:dyDescent="0.2">
      <c r="A6">
        <v>4</v>
      </c>
      <c r="B6" s="6" t="s">
        <v>2896</v>
      </c>
      <c r="C6" t="s">
        <v>2901</v>
      </c>
      <c r="D6" s="4"/>
      <c r="E6" s="4"/>
      <c r="G6">
        <v>4</v>
      </c>
    </row>
    <row r="7" spans="1:7" ht="15" x14ac:dyDescent="0.2">
      <c r="B7" s="1"/>
      <c r="D7" s="4"/>
      <c r="E7" s="4"/>
    </row>
    <row r="8" spans="1:7" ht="15" x14ac:dyDescent="0.2">
      <c r="B8" s="1"/>
      <c r="D8" s="4"/>
      <c r="E8" s="4"/>
    </row>
    <row r="9" spans="1:7" ht="15" x14ac:dyDescent="0.2">
      <c r="B9" s="1"/>
      <c r="D9" s="4"/>
      <c r="E9" s="4"/>
    </row>
  </sheetData>
  <phoneticPr fontId="2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4AB0-4E6A-4C7D-B4F9-5EEC39E547B7}">
  <sheetPr codeName="Sheet25"/>
  <dimension ref="A1:G10"/>
  <sheetViews>
    <sheetView workbookViewId="0"/>
  </sheetViews>
  <sheetFormatPr defaultRowHeight="14.25" x14ac:dyDescent="0.2"/>
  <cols>
    <col min="2" max="2" width="39.375" bestFit="1" customWidth="1"/>
    <col min="3" max="3" width="17.2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G2">
        <v>0</v>
      </c>
    </row>
    <row r="3" spans="1:7" ht="15" x14ac:dyDescent="0.2">
      <c r="A3">
        <v>1</v>
      </c>
      <c r="B3" s="1" t="s">
        <v>2892</v>
      </c>
      <c r="C3" t="s">
        <v>2891</v>
      </c>
      <c r="D3" s="4"/>
      <c r="E3" s="4"/>
      <c r="G3">
        <v>1</v>
      </c>
    </row>
    <row r="4" spans="1:7" ht="15" x14ac:dyDescent="0.2">
      <c r="A4">
        <v>2</v>
      </c>
      <c r="B4" s="1" t="s">
        <v>2902</v>
      </c>
      <c r="C4" t="s">
        <v>2893</v>
      </c>
      <c r="D4" s="4"/>
      <c r="E4" s="4"/>
      <c r="G4">
        <v>2</v>
      </c>
    </row>
    <row r="5" spans="1:7" ht="15" x14ac:dyDescent="0.2">
      <c r="A5">
        <v>3</v>
      </c>
      <c r="B5" s="6" t="s">
        <v>2909</v>
      </c>
      <c r="C5" t="s">
        <v>2908</v>
      </c>
      <c r="D5" s="4"/>
      <c r="E5" s="4"/>
      <c r="G5">
        <v>3</v>
      </c>
    </row>
    <row r="6" spans="1:7" ht="15" x14ac:dyDescent="0.2">
      <c r="A6">
        <v>4</v>
      </c>
      <c r="B6" s="6" t="s">
        <v>2903</v>
      </c>
      <c r="C6" t="s">
        <v>2511</v>
      </c>
      <c r="D6" s="4"/>
      <c r="E6" s="4"/>
      <c r="G6">
        <v>4</v>
      </c>
    </row>
    <row r="7" spans="1:7" ht="15" x14ac:dyDescent="0.2">
      <c r="A7">
        <v>5</v>
      </c>
      <c r="B7" s="6" t="s">
        <v>2904</v>
      </c>
      <c r="C7" t="s">
        <v>2906</v>
      </c>
      <c r="D7" s="4"/>
      <c r="E7" s="4"/>
      <c r="G7">
        <v>5</v>
      </c>
    </row>
    <row r="8" spans="1:7" ht="15" x14ac:dyDescent="0.2">
      <c r="A8">
        <v>6</v>
      </c>
      <c r="B8" s="6" t="s">
        <v>2905</v>
      </c>
      <c r="C8" t="s">
        <v>2907</v>
      </c>
      <c r="D8" s="4"/>
      <c r="E8" s="4"/>
      <c r="G8">
        <v>6</v>
      </c>
    </row>
    <row r="9" spans="1:7" ht="15" x14ac:dyDescent="0.2">
      <c r="B9" s="6"/>
      <c r="D9" s="4"/>
      <c r="E9" s="4"/>
    </row>
    <row r="10" spans="1:7" ht="15" x14ac:dyDescent="0.2">
      <c r="B10" s="6"/>
      <c r="D10" s="4"/>
      <c r="E10" s="4"/>
    </row>
  </sheetData>
  <phoneticPr fontId="2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96DA-5338-470F-A957-675142025379}">
  <sheetPr codeName="Sheet13"/>
  <dimension ref="A1:G68"/>
  <sheetViews>
    <sheetView workbookViewId="0"/>
  </sheetViews>
  <sheetFormatPr defaultRowHeight="14.25" x14ac:dyDescent="0.2"/>
  <cols>
    <col min="2" max="2" width="40.5" bestFit="1" customWidth="1"/>
    <col min="3" max="3" width="25.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G2">
        <v>0</v>
      </c>
    </row>
    <row r="3" spans="1:7" ht="15" x14ac:dyDescent="0.2">
      <c r="A3">
        <v>1</v>
      </c>
      <c r="B3" s="1" t="s">
        <v>2</v>
      </c>
      <c r="C3" t="s">
        <v>2511</v>
      </c>
      <c r="D3" s="4" t="s">
        <v>22</v>
      </c>
      <c r="E3" s="4"/>
      <c r="G3">
        <v>1</v>
      </c>
    </row>
    <row r="4" spans="1:7" ht="15" x14ac:dyDescent="0.2">
      <c r="A4">
        <v>2</v>
      </c>
      <c r="B4" s="1" t="s">
        <v>2501</v>
      </c>
      <c r="C4" t="s">
        <v>1757</v>
      </c>
      <c r="D4" s="4" t="s">
        <v>22</v>
      </c>
      <c r="E4" s="4"/>
      <c r="G4">
        <v>60</v>
      </c>
    </row>
    <row r="5" spans="1:7" ht="15" x14ac:dyDescent="0.2">
      <c r="A5">
        <v>3</v>
      </c>
      <c r="B5" s="1" t="s">
        <v>2471</v>
      </c>
      <c r="C5" t="s">
        <v>2512</v>
      </c>
      <c r="D5" s="4" t="s">
        <v>22</v>
      </c>
      <c r="E5" s="4" t="s">
        <v>22</v>
      </c>
      <c r="G5">
        <v>2</v>
      </c>
    </row>
    <row r="6" spans="1:7" ht="15" x14ac:dyDescent="0.2">
      <c r="A6">
        <v>4</v>
      </c>
      <c r="B6" s="1" t="s">
        <v>2502</v>
      </c>
      <c r="C6" t="s">
        <v>2513</v>
      </c>
      <c r="D6" s="4" t="s">
        <v>22</v>
      </c>
      <c r="E6" s="4"/>
      <c r="G6">
        <v>5</v>
      </c>
    </row>
    <row r="7" spans="1:7" ht="15" x14ac:dyDescent="0.2">
      <c r="A7">
        <v>5</v>
      </c>
      <c r="B7" s="1" t="s">
        <v>2503</v>
      </c>
      <c r="C7" t="s">
        <v>2514</v>
      </c>
      <c r="D7" s="4" t="s">
        <v>22</v>
      </c>
      <c r="E7" s="4" t="s">
        <v>22</v>
      </c>
      <c r="G7">
        <v>8</v>
      </c>
    </row>
    <row r="8" spans="1:7" ht="15" x14ac:dyDescent="0.2">
      <c r="A8">
        <v>6</v>
      </c>
      <c r="B8" s="1" t="s">
        <v>2504</v>
      </c>
      <c r="C8" t="s">
        <v>2515</v>
      </c>
      <c r="D8" s="4" t="s">
        <v>22</v>
      </c>
      <c r="E8" s="4"/>
      <c r="G8">
        <v>61</v>
      </c>
    </row>
    <row r="9" spans="1:7" ht="15" x14ac:dyDescent="0.2">
      <c r="A9">
        <v>7</v>
      </c>
      <c r="B9" s="1" t="s">
        <v>2505</v>
      </c>
      <c r="C9" t="s">
        <v>2516</v>
      </c>
      <c r="D9" s="4" t="s">
        <v>22</v>
      </c>
      <c r="E9" s="4"/>
      <c r="G9">
        <v>62</v>
      </c>
    </row>
    <row r="10" spans="1:7" ht="15" x14ac:dyDescent="0.2">
      <c r="A10">
        <v>8</v>
      </c>
      <c r="B10" s="1" t="s">
        <v>2506</v>
      </c>
      <c r="C10" t="s">
        <v>2517</v>
      </c>
      <c r="D10" s="4" t="s">
        <v>22</v>
      </c>
      <c r="E10" s="4"/>
      <c r="G10">
        <v>63</v>
      </c>
    </row>
    <row r="11" spans="1:7" ht="15" x14ac:dyDescent="0.2">
      <c r="A11">
        <v>9</v>
      </c>
      <c r="B11" s="1" t="s">
        <v>2507</v>
      </c>
      <c r="C11" t="s">
        <v>2518</v>
      </c>
      <c r="D11" s="4" t="s">
        <v>22</v>
      </c>
      <c r="E11" s="4" t="s">
        <v>22</v>
      </c>
      <c r="G11">
        <v>64</v>
      </c>
    </row>
    <row r="12" spans="1:7" ht="15" x14ac:dyDescent="0.2">
      <c r="A12">
        <v>10</v>
      </c>
      <c r="B12" s="1" t="s">
        <v>2508</v>
      </c>
      <c r="C12" t="s">
        <v>2519</v>
      </c>
      <c r="D12" s="4" t="s">
        <v>22</v>
      </c>
      <c r="E12" s="4" t="s">
        <v>22</v>
      </c>
      <c r="G12">
        <v>65</v>
      </c>
    </row>
    <row r="13" spans="1:7" ht="15" x14ac:dyDescent="0.2">
      <c r="A13">
        <v>11</v>
      </c>
      <c r="B13" s="1" t="s">
        <v>2509</v>
      </c>
      <c r="C13" t="s">
        <v>2520</v>
      </c>
      <c r="D13" s="4" t="s">
        <v>22</v>
      </c>
      <c r="E13" s="4" t="s">
        <v>22</v>
      </c>
      <c r="G13">
        <v>66</v>
      </c>
    </row>
    <row r="14" spans="1:7" ht="15" x14ac:dyDescent="0.2">
      <c r="A14">
        <v>12</v>
      </c>
      <c r="B14" s="1" t="s">
        <v>2521</v>
      </c>
      <c r="C14" t="s">
        <v>2531</v>
      </c>
      <c r="D14" s="4" t="s">
        <v>22</v>
      </c>
      <c r="E14" s="4" t="s">
        <v>22</v>
      </c>
      <c r="F14" t="b">
        <v>0</v>
      </c>
      <c r="G14">
        <v>11</v>
      </c>
    </row>
    <row r="15" spans="1:7" ht="15" x14ac:dyDescent="0.2">
      <c r="A15">
        <v>13</v>
      </c>
      <c r="B15" s="1" t="s">
        <v>2522</v>
      </c>
      <c r="C15" t="s">
        <v>2532</v>
      </c>
      <c r="D15" s="4" t="s">
        <v>22</v>
      </c>
      <c r="E15" s="4" t="s">
        <v>22</v>
      </c>
      <c r="G15">
        <v>15</v>
      </c>
    </row>
    <row r="16" spans="1:7" ht="15" x14ac:dyDescent="0.2">
      <c r="A16">
        <v>14</v>
      </c>
      <c r="B16" s="1" t="s">
        <v>2523</v>
      </c>
      <c r="C16" t="s">
        <v>2533</v>
      </c>
      <c r="D16" s="4" t="s">
        <v>22</v>
      </c>
      <c r="E16" s="4" t="s">
        <v>22</v>
      </c>
      <c r="G16">
        <v>16</v>
      </c>
    </row>
    <row r="17" spans="1:7" ht="15" x14ac:dyDescent="0.2">
      <c r="A17">
        <v>15</v>
      </c>
      <c r="B17" s="1" t="s">
        <v>2524</v>
      </c>
      <c r="C17" t="s">
        <v>2534</v>
      </c>
      <c r="D17" s="4" t="s">
        <v>22</v>
      </c>
      <c r="E17" s="4" t="s">
        <v>22</v>
      </c>
      <c r="G17">
        <v>12</v>
      </c>
    </row>
    <row r="18" spans="1:7" ht="15" x14ac:dyDescent="0.2">
      <c r="A18">
        <v>16</v>
      </c>
      <c r="B18" s="1" t="s">
        <v>2528</v>
      </c>
      <c r="C18" t="s">
        <v>2525</v>
      </c>
      <c r="D18" s="4" t="s">
        <v>22</v>
      </c>
      <c r="E18" s="4" t="s">
        <v>22</v>
      </c>
      <c r="F18" t="b">
        <v>0</v>
      </c>
      <c r="G18">
        <v>17</v>
      </c>
    </row>
    <row r="19" spans="1:7" ht="15" x14ac:dyDescent="0.2">
      <c r="A19">
        <v>17</v>
      </c>
      <c r="B19" s="1" t="s">
        <v>2529</v>
      </c>
      <c r="C19" t="s">
        <v>2526</v>
      </c>
      <c r="D19" s="4" t="s">
        <v>22</v>
      </c>
      <c r="E19" s="4" t="s">
        <v>22</v>
      </c>
      <c r="G19">
        <v>18</v>
      </c>
    </row>
    <row r="20" spans="1:7" ht="15" x14ac:dyDescent="0.2">
      <c r="A20">
        <v>18</v>
      </c>
      <c r="B20" s="1" t="s">
        <v>2530</v>
      </c>
      <c r="C20" t="s">
        <v>2527</v>
      </c>
      <c r="D20" s="4" t="s">
        <v>22</v>
      </c>
      <c r="E20" s="4" t="s">
        <v>22</v>
      </c>
      <c r="G20">
        <v>19</v>
      </c>
    </row>
    <row r="21" spans="1:7" ht="15" x14ac:dyDescent="0.2">
      <c r="A21">
        <v>19</v>
      </c>
      <c r="B21" s="1" t="s">
        <v>2535</v>
      </c>
      <c r="C21" t="s">
        <v>2537</v>
      </c>
      <c r="D21" s="4" t="s">
        <v>22</v>
      </c>
      <c r="E21" s="4" t="s">
        <v>22</v>
      </c>
      <c r="F21" t="b">
        <v>0</v>
      </c>
      <c r="G21">
        <v>20</v>
      </c>
    </row>
    <row r="22" spans="1:7" ht="15" x14ac:dyDescent="0.2">
      <c r="A22">
        <v>20</v>
      </c>
      <c r="B22" s="1" t="s">
        <v>2536</v>
      </c>
      <c r="C22" t="s">
        <v>2538</v>
      </c>
      <c r="D22" s="4" t="s">
        <v>22</v>
      </c>
      <c r="E22" s="4" t="s">
        <v>22</v>
      </c>
      <c r="G22">
        <v>21</v>
      </c>
    </row>
    <row r="23" spans="1:7" ht="15" x14ac:dyDescent="0.2">
      <c r="A23">
        <v>21</v>
      </c>
      <c r="B23" s="1" t="s">
        <v>2539</v>
      </c>
      <c r="C23" t="s">
        <v>2545</v>
      </c>
      <c r="D23" s="4" t="s">
        <v>22</v>
      </c>
      <c r="E23" s="4" t="s">
        <v>22</v>
      </c>
      <c r="F23" t="b">
        <v>0</v>
      </c>
      <c r="G23">
        <v>22</v>
      </c>
    </row>
    <row r="24" spans="1:7" ht="15" x14ac:dyDescent="0.2">
      <c r="A24">
        <v>22</v>
      </c>
      <c r="B24" s="1" t="s">
        <v>2540</v>
      </c>
      <c r="C24" t="s">
        <v>2546</v>
      </c>
      <c r="D24" s="4" t="s">
        <v>22</v>
      </c>
      <c r="E24" s="4" t="s">
        <v>22</v>
      </c>
      <c r="F24" t="b">
        <v>0</v>
      </c>
      <c r="G24">
        <v>23</v>
      </c>
    </row>
    <row r="25" spans="1:7" ht="15" x14ac:dyDescent="0.2">
      <c r="A25">
        <v>23</v>
      </c>
      <c r="B25" s="1" t="s">
        <v>2541</v>
      </c>
      <c r="C25" t="s">
        <v>2547</v>
      </c>
      <c r="D25" s="4" t="s">
        <v>22</v>
      </c>
      <c r="E25" s="4" t="s">
        <v>22</v>
      </c>
      <c r="G25">
        <v>27</v>
      </c>
    </row>
    <row r="26" spans="1:7" ht="15" x14ac:dyDescent="0.2">
      <c r="A26">
        <v>24</v>
      </c>
      <c r="B26" s="1" t="s">
        <v>2542</v>
      </c>
      <c r="C26" t="s">
        <v>2548</v>
      </c>
      <c r="D26" s="4" t="s">
        <v>22</v>
      </c>
      <c r="E26" s="4" t="s">
        <v>22</v>
      </c>
      <c r="G26">
        <v>28</v>
      </c>
    </row>
    <row r="27" spans="1:7" ht="15" x14ac:dyDescent="0.2">
      <c r="A27">
        <v>25</v>
      </c>
      <c r="B27" s="1" t="s">
        <v>2543</v>
      </c>
      <c r="C27" t="s">
        <v>2549</v>
      </c>
      <c r="D27" s="4" t="s">
        <v>22</v>
      </c>
      <c r="E27" s="4" t="s">
        <v>22</v>
      </c>
      <c r="G27">
        <v>24</v>
      </c>
    </row>
    <row r="28" spans="1:7" ht="15" x14ac:dyDescent="0.2">
      <c r="A28">
        <v>26</v>
      </c>
      <c r="B28" s="1" t="s">
        <v>2544</v>
      </c>
      <c r="C28" t="s">
        <v>2576</v>
      </c>
      <c r="D28" s="4" t="s">
        <v>22</v>
      </c>
      <c r="E28" s="4" t="s">
        <v>22</v>
      </c>
      <c r="G28">
        <v>29</v>
      </c>
    </row>
    <row r="29" spans="1:7" ht="15" x14ac:dyDescent="0.2">
      <c r="A29">
        <v>27</v>
      </c>
      <c r="B29" s="1" t="s">
        <v>2550</v>
      </c>
      <c r="C29" t="s">
        <v>2554</v>
      </c>
      <c r="D29" s="4" t="s">
        <v>22</v>
      </c>
      <c r="E29" s="4" t="s">
        <v>22</v>
      </c>
      <c r="F29" t="b">
        <v>0</v>
      </c>
      <c r="G29">
        <v>30</v>
      </c>
    </row>
    <row r="30" spans="1:7" ht="15" x14ac:dyDescent="0.2">
      <c r="A30">
        <v>28</v>
      </c>
      <c r="B30" s="1" t="s">
        <v>2551</v>
      </c>
      <c r="C30" t="s">
        <v>2555</v>
      </c>
      <c r="D30" s="4" t="s">
        <v>22</v>
      </c>
      <c r="E30" s="4" t="s">
        <v>22</v>
      </c>
      <c r="G30">
        <v>34</v>
      </c>
    </row>
    <row r="31" spans="1:7" ht="15" x14ac:dyDescent="0.2">
      <c r="A31">
        <v>29</v>
      </c>
      <c r="B31" s="1" t="s">
        <v>2552</v>
      </c>
      <c r="C31" t="s">
        <v>2556</v>
      </c>
      <c r="D31" s="4" t="s">
        <v>22</v>
      </c>
      <c r="E31" s="4" t="s">
        <v>22</v>
      </c>
      <c r="G31">
        <v>35</v>
      </c>
    </row>
    <row r="32" spans="1:7" ht="15" x14ac:dyDescent="0.2">
      <c r="A32">
        <v>30</v>
      </c>
      <c r="B32" s="1" t="s">
        <v>2553</v>
      </c>
      <c r="C32" t="s">
        <v>2557</v>
      </c>
      <c r="D32" s="4" t="s">
        <v>22</v>
      </c>
      <c r="E32" s="4" t="s">
        <v>22</v>
      </c>
      <c r="G32">
        <v>31</v>
      </c>
    </row>
    <row r="33" spans="1:7" ht="15" x14ac:dyDescent="0.2">
      <c r="A33">
        <v>31</v>
      </c>
      <c r="B33" s="1" t="s">
        <v>2566</v>
      </c>
      <c r="C33" t="s">
        <v>2571</v>
      </c>
      <c r="D33" s="4" t="s">
        <v>22</v>
      </c>
      <c r="E33" s="4" t="s">
        <v>22</v>
      </c>
      <c r="F33" t="b">
        <v>0</v>
      </c>
      <c r="G33">
        <v>36</v>
      </c>
    </row>
    <row r="34" spans="1:7" ht="15" x14ac:dyDescent="0.2">
      <c r="A34">
        <v>32</v>
      </c>
      <c r="B34" s="1" t="s">
        <v>2567</v>
      </c>
      <c r="C34" t="s">
        <v>2572</v>
      </c>
      <c r="D34" s="4" t="s">
        <v>22</v>
      </c>
      <c r="E34" s="4" t="s">
        <v>22</v>
      </c>
      <c r="G34">
        <v>40</v>
      </c>
    </row>
    <row r="35" spans="1:7" ht="15" x14ac:dyDescent="0.2">
      <c r="A35">
        <v>33</v>
      </c>
      <c r="B35" s="1" t="s">
        <v>2568</v>
      </c>
      <c r="C35" t="s">
        <v>2573</v>
      </c>
      <c r="D35" s="4" t="s">
        <v>22</v>
      </c>
      <c r="E35" s="4" t="s">
        <v>22</v>
      </c>
      <c r="G35">
        <v>41</v>
      </c>
    </row>
    <row r="36" spans="1:7" ht="15" x14ac:dyDescent="0.2">
      <c r="A36">
        <v>34</v>
      </c>
      <c r="B36" s="1" t="s">
        <v>2569</v>
      </c>
      <c r="C36" t="s">
        <v>2574</v>
      </c>
      <c r="D36" s="4" t="s">
        <v>22</v>
      </c>
      <c r="E36" s="4" t="s">
        <v>22</v>
      </c>
      <c r="G36">
        <v>37</v>
      </c>
    </row>
    <row r="37" spans="1:7" ht="15" x14ac:dyDescent="0.2">
      <c r="A37">
        <v>35</v>
      </c>
      <c r="B37" s="1" t="s">
        <v>2570</v>
      </c>
      <c r="C37" t="s">
        <v>2575</v>
      </c>
      <c r="D37" s="4" t="s">
        <v>22</v>
      </c>
      <c r="E37" s="4" t="s">
        <v>22</v>
      </c>
      <c r="G37">
        <v>42</v>
      </c>
    </row>
    <row r="38" spans="1:7" ht="15" x14ac:dyDescent="0.2">
      <c r="A38">
        <v>36</v>
      </c>
      <c r="B38" s="1" t="s">
        <v>2577</v>
      </c>
      <c r="C38" t="s">
        <v>2581</v>
      </c>
      <c r="D38" s="4" t="s">
        <v>22</v>
      </c>
      <c r="E38" s="4" t="s">
        <v>22</v>
      </c>
      <c r="F38" t="b">
        <v>0</v>
      </c>
      <c r="G38">
        <v>43</v>
      </c>
    </row>
    <row r="39" spans="1:7" ht="15" x14ac:dyDescent="0.2">
      <c r="A39">
        <v>37</v>
      </c>
      <c r="B39" s="1" t="s">
        <v>2578</v>
      </c>
      <c r="C39" t="s">
        <v>2582</v>
      </c>
      <c r="D39" s="4" t="s">
        <v>22</v>
      </c>
      <c r="E39" s="4" t="s">
        <v>22</v>
      </c>
      <c r="G39">
        <v>47</v>
      </c>
    </row>
    <row r="40" spans="1:7" ht="15" x14ac:dyDescent="0.2">
      <c r="A40">
        <v>38</v>
      </c>
      <c r="B40" s="1" t="s">
        <v>2579</v>
      </c>
      <c r="C40" t="s">
        <v>2583</v>
      </c>
      <c r="D40" s="4" t="s">
        <v>22</v>
      </c>
      <c r="E40" s="4" t="s">
        <v>22</v>
      </c>
      <c r="G40">
        <v>48</v>
      </c>
    </row>
    <row r="41" spans="1:7" ht="15" x14ac:dyDescent="0.2">
      <c r="A41">
        <v>39</v>
      </c>
      <c r="B41" s="1" t="s">
        <v>2580</v>
      </c>
      <c r="C41" t="s">
        <v>2584</v>
      </c>
      <c r="D41" s="4" t="s">
        <v>22</v>
      </c>
      <c r="E41" s="4" t="s">
        <v>22</v>
      </c>
      <c r="G41">
        <v>44</v>
      </c>
    </row>
    <row r="42" spans="1:7" ht="15" x14ac:dyDescent="0.2">
      <c r="A42">
        <v>40</v>
      </c>
      <c r="B42" s="1" t="s">
        <v>2585</v>
      </c>
      <c r="C42" t="s">
        <v>2587</v>
      </c>
      <c r="D42" s="4" t="s">
        <v>22</v>
      </c>
      <c r="E42" s="4" t="s">
        <v>22</v>
      </c>
      <c r="F42" t="b">
        <v>0</v>
      </c>
      <c r="G42">
        <v>49</v>
      </c>
    </row>
    <row r="43" spans="1:7" ht="15" x14ac:dyDescent="0.2">
      <c r="A43">
        <v>41</v>
      </c>
      <c r="B43" s="1" t="s">
        <v>2586</v>
      </c>
      <c r="C43" t="s">
        <v>2588</v>
      </c>
      <c r="D43" s="4" t="s">
        <v>22</v>
      </c>
      <c r="E43" s="4" t="s">
        <v>22</v>
      </c>
      <c r="G43">
        <v>50</v>
      </c>
    </row>
    <row r="44" spans="1:7" ht="15" x14ac:dyDescent="0.2">
      <c r="A44">
        <v>42</v>
      </c>
      <c r="B44" s="1" t="s">
        <v>2589</v>
      </c>
      <c r="C44" t="s">
        <v>2593</v>
      </c>
      <c r="D44" s="4" t="s">
        <v>22</v>
      </c>
      <c r="E44" s="4" t="s">
        <v>22</v>
      </c>
      <c r="F44" t="b">
        <v>0</v>
      </c>
      <c r="G44">
        <v>53</v>
      </c>
    </row>
    <row r="45" spans="1:7" ht="15" x14ac:dyDescent="0.2">
      <c r="A45">
        <v>43</v>
      </c>
      <c r="B45" s="1" t="s">
        <v>2590</v>
      </c>
      <c r="C45" t="s">
        <v>2594</v>
      </c>
      <c r="D45" s="4" t="s">
        <v>22</v>
      </c>
      <c r="E45" s="4" t="s">
        <v>22</v>
      </c>
      <c r="G45">
        <v>57</v>
      </c>
    </row>
    <row r="46" spans="1:7" ht="15" x14ac:dyDescent="0.2">
      <c r="A46">
        <v>44</v>
      </c>
      <c r="B46" s="1" t="s">
        <v>2591</v>
      </c>
      <c r="C46" t="s">
        <v>2595</v>
      </c>
      <c r="D46" s="4" t="s">
        <v>22</v>
      </c>
      <c r="E46" s="4" t="s">
        <v>22</v>
      </c>
      <c r="G46">
        <v>58</v>
      </c>
    </row>
    <row r="47" spans="1:7" ht="15" x14ac:dyDescent="0.2">
      <c r="A47">
        <v>45</v>
      </c>
      <c r="B47" s="1" t="s">
        <v>2592</v>
      </c>
      <c r="C47" t="s">
        <v>2596</v>
      </c>
      <c r="D47" s="4" t="s">
        <v>22</v>
      </c>
      <c r="E47" s="4" t="s">
        <v>22</v>
      </c>
      <c r="G47">
        <v>54</v>
      </c>
    </row>
    <row r="48" spans="1:7" ht="15" x14ac:dyDescent="0.2">
      <c r="A48">
        <v>46</v>
      </c>
      <c r="B48" s="1" t="s">
        <v>2510</v>
      </c>
      <c r="C48" t="s">
        <v>2156</v>
      </c>
      <c r="D48" s="4" t="s">
        <v>22</v>
      </c>
      <c r="E48" s="4"/>
      <c r="G48">
        <v>59</v>
      </c>
    </row>
    <row r="49" spans="1:7" ht="15" x14ac:dyDescent="0.2">
      <c r="A49">
        <v>47</v>
      </c>
      <c r="B49" s="6" t="s">
        <v>2487</v>
      </c>
      <c r="C49" t="s">
        <v>2597</v>
      </c>
      <c r="D49" s="4"/>
      <c r="E49" s="4" t="s">
        <v>22</v>
      </c>
      <c r="G49">
        <v>3</v>
      </c>
    </row>
    <row r="50" spans="1:7" ht="15" x14ac:dyDescent="0.2">
      <c r="A50">
        <v>48</v>
      </c>
      <c r="B50" s="6" t="s">
        <v>2488</v>
      </c>
      <c r="C50" t="s">
        <v>2598</v>
      </c>
      <c r="D50" s="4"/>
      <c r="E50" s="4" t="s">
        <v>22</v>
      </c>
      <c r="G50">
        <v>4</v>
      </c>
    </row>
    <row r="51" spans="1:7" ht="15" x14ac:dyDescent="0.2">
      <c r="A51">
        <v>49</v>
      </c>
      <c r="B51" s="6" t="s">
        <v>2599</v>
      </c>
      <c r="C51" t="s">
        <v>2600</v>
      </c>
      <c r="D51" s="4"/>
      <c r="E51" s="4" t="s">
        <v>22</v>
      </c>
      <c r="G51">
        <v>6</v>
      </c>
    </row>
    <row r="52" spans="1:7" ht="15" x14ac:dyDescent="0.2">
      <c r="A52">
        <v>50</v>
      </c>
      <c r="B52" s="6" t="s">
        <v>2601</v>
      </c>
      <c r="C52" t="s">
        <v>2602</v>
      </c>
      <c r="D52" s="4"/>
      <c r="E52" s="4" t="s">
        <v>22</v>
      </c>
      <c r="G52">
        <v>7</v>
      </c>
    </row>
    <row r="53" spans="1:7" ht="15" x14ac:dyDescent="0.2">
      <c r="A53">
        <v>51</v>
      </c>
      <c r="B53" s="6" t="s">
        <v>2603</v>
      </c>
      <c r="C53" t="s">
        <v>2605</v>
      </c>
      <c r="D53" s="4"/>
      <c r="E53" s="4" t="s">
        <v>22</v>
      </c>
      <c r="G53">
        <v>9</v>
      </c>
    </row>
    <row r="54" spans="1:7" ht="15" x14ac:dyDescent="0.2">
      <c r="A54">
        <v>52</v>
      </c>
      <c r="B54" s="6" t="s">
        <v>2604</v>
      </c>
      <c r="C54" t="s">
        <v>2606</v>
      </c>
      <c r="D54" s="4"/>
      <c r="E54" s="4" t="s">
        <v>22</v>
      </c>
      <c r="G54">
        <v>10</v>
      </c>
    </row>
    <row r="55" spans="1:7" ht="15" x14ac:dyDescent="0.2">
      <c r="A55">
        <v>53</v>
      </c>
      <c r="B55" s="6" t="s">
        <v>2607</v>
      </c>
      <c r="C55" t="s">
        <v>2609</v>
      </c>
      <c r="D55" s="4"/>
      <c r="E55" s="4" t="s">
        <v>22</v>
      </c>
      <c r="G55">
        <v>13</v>
      </c>
    </row>
    <row r="56" spans="1:7" ht="15" x14ac:dyDescent="0.2">
      <c r="A56">
        <v>54</v>
      </c>
      <c r="B56" s="6" t="s">
        <v>2608</v>
      </c>
      <c r="C56" t="s">
        <v>2610</v>
      </c>
      <c r="D56" s="4"/>
      <c r="E56" s="4" t="s">
        <v>22</v>
      </c>
      <c r="G56">
        <v>14</v>
      </c>
    </row>
    <row r="57" spans="1:7" ht="15" x14ac:dyDescent="0.2">
      <c r="A57">
        <v>55</v>
      </c>
      <c r="B57" s="6" t="s">
        <v>2611</v>
      </c>
      <c r="C57" t="s">
        <v>2612</v>
      </c>
      <c r="D57" s="4"/>
      <c r="E57" s="4" t="s">
        <v>22</v>
      </c>
      <c r="G57">
        <v>25</v>
      </c>
    </row>
    <row r="58" spans="1:7" ht="15" x14ac:dyDescent="0.2">
      <c r="A58">
        <v>56</v>
      </c>
      <c r="B58" s="6" t="s">
        <v>2613</v>
      </c>
      <c r="C58" t="s">
        <v>2614</v>
      </c>
      <c r="D58" s="4"/>
      <c r="E58" s="4" t="s">
        <v>22</v>
      </c>
      <c r="G58">
        <v>26</v>
      </c>
    </row>
    <row r="59" spans="1:7" ht="15" x14ac:dyDescent="0.2">
      <c r="A59">
        <v>57</v>
      </c>
      <c r="B59" s="6" t="s">
        <v>2615</v>
      </c>
      <c r="C59" t="s">
        <v>2616</v>
      </c>
      <c r="D59" s="4"/>
      <c r="E59" s="4" t="s">
        <v>22</v>
      </c>
      <c r="G59">
        <v>32</v>
      </c>
    </row>
    <row r="60" spans="1:7" ht="15" x14ac:dyDescent="0.2">
      <c r="A60">
        <v>58</v>
      </c>
      <c r="B60" s="6" t="s">
        <v>2617</v>
      </c>
      <c r="C60" t="s">
        <v>2618</v>
      </c>
      <c r="D60" s="4"/>
      <c r="E60" s="4" t="s">
        <v>22</v>
      </c>
      <c r="G60">
        <v>33</v>
      </c>
    </row>
    <row r="61" spans="1:7" ht="15" x14ac:dyDescent="0.2">
      <c r="A61">
        <v>59</v>
      </c>
      <c r="B61" s="6" t="s">
        <v>2619</v>
      </c>
      <c r="C61" t="s">
        <v>2621</v>
      </c>
      <c r="D61" s="4"/>
      <c r="E61" s="4" t="s">
        <v>22</v>
      </c>
      <c r="G61">
        <v>38</v>
      </c>
    </row>
    <row r="62" spans="1:7" ht="15" x14ac:dyDescent="0.2">
      <c r="A62">
        <v>60</v>
      </c>
      <c r="B62" s="6" t="s">
        <v>2620</v>
      </c>
      <c r="C62" t="s">
        <v>2622</v>
      </c>
      <c r="D62" s="4"/>
      <c r="E62" s="4" t="s">
        <v>22</v>
      </c>
      <c r="G62">
        <v>39</v>
      </c>
    </row>
    <row r="63" spans="1:7" ht="15" x14ac:dyDescent="0.2">
      <c r="A63">
        <v>61</v>
      </c>
      <c r="B63" s="6" t="s">
        <v>2631</v>
      </c>
      <c r="C63" t="s">
        <v>2633</v>
      </c>
      <c r="D63" s="4"/>
      <c r="E63" s="4" t="s">
        <v>22</v>
      </c>
      <c r="G63">
        <v>45</v>
      </c>
    </row>
    <row r="64" spans="1:7" ht="15" x14ac:dyDescent="0.2">
      <c r="A64">
        <v>62</v>
      </c>
      <c r="B64" s="6" t="s">
        <v>2632</v>
      </c>
      <c r="C64" t="s">
        <v>2634</v>
      </c>
      <c r="D64" s="4"/>
      <c r="E64" s="4" t="s">
        <v>22</v>
      </c>
      <c r="G64">
        <v>46</v>
      </c>
    </row>
    <row r="65" spans="1:7" ht="15" x14ac:dyDescent="0.2">
      <c r="A65">
        <v>63</v>
      </c>
      <c r="B65" s="6" t="s">
        <v>2623</v>
      </c>
      <c r="C65" t="s">
        <v>2625</v>
      </c>
      <c r="D65" s="4"/>
      <c r="E65" s="4" t="s">
        <v>22</v>
      </c>
      <c r="G65">
        <v>51</v>
      </c>
    </row>
    <row r="66" spans="1:7" ht="15" x14ac:dyDescent="0.2">
      <c r="A66">
        <v>64</v>
      </c>
      <c r="B66" s="6" t="s">
        <v>2624</v>
      </c>
      <c r="C66" t="s">
        <v>2626</v>
      </c>
      <c r="D66" s="4"/>
      <c r="E66" s="4" t="s">
        <v>22</v>
      </c>
      <c r="G66">
        <v>52</v>
      </c>
    </row>
    <row r="67" spans="1:7" ht="15" x14ac:dyDescent="0.2">
      <c r="A67">
        <v>65</v>
      </c>
      <c r="B67" s="6" t="s">
        <v>2627</v>
      </c>
      <c r="C67" t="s">
        <v>2628</v>
      </c>
      <c r="D67" s="4"/>
      <c r="E67" s="4" t="s">
        <v>22</v>
      </c>
      <c r="G67">
        <v>55</v>
      </c>
    </row>
    <row r="68" spans="1:7" ht="15" x14ac:dyDescent="0.2">
      <c r="A68">
        <v>66</v>
      </c>
      <c r="B68" s="6" t="s">
        <v>2629</v>
      </c>
      <c r="C68" t="s">
        <v>2630</v>
      </c>
      <c r="D68" s="4"/>
      <c r="E68" s="4" t="s">
        <v>22</v>
      </c>
      <c r="G68">
        <v>56</v>
      </c>
    </row>
  </sheetData>
  <sortState xmlns:xlrd2="http://schemas.microsoft.com/office/spreadsheetml/2017/richdata2" ref="A2:G68">
    <sortCondition ref="A1:A68"/>
  </sortState>
  <phoneticPr fontId="2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F2EF-0DC6-4BB2-8172-4E4198527108}">
  <sheetPr codeName="Sheet26"/>
  <dimension ref="A1:G28"/>
  <sheetViews>
    <sheetView workbookViewId="0"/>
  </sheetViews>
  <sheetFormatPr defaultRowHeight="14.25" x14ac:dyDescent="0.2"/>
  <cols>
    <col min="2" max="2" width="42.75" bestFit="1" customWidth="1"/>
    <col min="3" max="3" width="27.625" bestFit="1" customWidth="1"/>
    <col min="4" max="4" width="14.375" style="4" bestFit="1" customWidth="1"/>
    <col min="5" max="5" width="9" style="4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G2">
        <v>0</v>
      </c>
    </row>
    <row r="3" spans="1:7" ht="15" x14ac:dyDescent="0.2">
      <c r="A3">
        <v>1</v>
      </c>
      <c r="B3" s="1" t="s">
        <v>523</v>
      </c>
      <c r="C3" t="s">
        <v>2711</v>
      </c>
      <c r="D3" s="4" t="s">
        <v>22</v>
      </c>
      <c r="G3">
        <v>1</v>
      </c>
    </row>
    <row r="4" spans="1:7" ht="15" x14ac:dyDescent="0.2">
      <c r="A4">
        <v>2</v>
      </c>
      <c r="B4" s="1" t="s">
        <v>2812</v>
      </c>
      <c r="C4" t="s">
        <v>2825</v>
      </c>
      <c r="D4" s="4" t="s">
        <v>22</v>
      </c>
      <c r="G4">
        <v>2</v>
      </c>
    </row>
    <row r="5" spans="1:7" ht="15" x14ac:dyDescent="0.2">
      <c r="A5">
        <v>3</v>
      </c>
      <c r="B5" s="1" t="s">
        <v>2813</v>
      </c>
      <c r="C5" t="s">
        <v>2826</v>
      </c>
      <c r="D5" s="4" t="s">
        <v>22</v>
      </c>
      <c r="G5">
        <v>3</v>
      </c>
    </row>
    <row r="6" spans="1:7" ht="15" x14ac:dyDescent="0.2">
      <c r="A6">
        <v>4</v>
      </c>
      <c r="B6" s="1" t="s">
        <v>2814</v>
      </c>
      <c r="C6" t="s">
        <v>2827</v>
      </c>
      <c r="D6" s="4" t="s">
        <v>22</v>
      </c>
      <c r="G6">
        <v>9</v>
      </c>
    </row>
    <row r="7" spans="1:7" ht="15" x14ac:dyDescent="0.2">
      <c r="A7">
        <v>5</v>
      </c>
      <c r="B7" s="1" t="s">
        <v>2815</v>
      </c>
      <c r="C7" t="s">
        <v>2828</v>
      </c>
      <c r="D7" s="4" t="s">
        <v>22</v>
      </c>
      <c r="G7">
        <v>14</v>
      </c>
    </row>
    <row r="8" spans="1:7" ht="15" x14ac:dyDescent="0.2">
      <c r="A8">
        <v>6</v>
      </c>
      <c r="B8" s="1" t="s">
        <v>2816</v>
      </c>
      <c r="D8" s="4" t="s">
        <v>22</v>
      </c>
      <c r="E8" s="4" t="s">
        <v>22</v>
      </c>
      <c r="F8" t="b">
        <v>0</v>
      </c>
      <c r="G8">
        <v>22</v>
      </c>
    </row>
    <row r="9" spans="1:7" ht="15" x14ac:dyDescent="0.2">
      <c r="A9">
        <v>7</v>
      </c>
      <c r="B9" s="1" t="s">
        <v>2817</v>
      </c>
      <c r="C9" t="s">
        <v>1757</v>
      </c>
      <c r="D9" s="4" t="s">
        <v>22</v>
      </c>
      <c r="G9">
        <v>25</v>
      </c>
    </row>
    <row r="10" spans="1:7" ht="15" x14ac:dyDescent="0.2">
      <c r="A10">
        <v>8</v>
      </c>
      <c r="B10" s="1" t="s">
        <v>2818</v>
      </c>
      <c r="C10" t="s">
        <v>2755</v>
      </c>
      <c r="D10" s="4" t="s">
        <v>22</v>
      </c>
      <c r="G10">
        <v>24</v>
      </c>
    </row>
    <row r="11" spans="1:7" ht="15" x14ac:dyDescent="0.2">
      <c r="A11">
        <v>9</v>
      </c>
      <c r="B11" s="1" t="s">
        <v>2819</v>
      </c>
      <c r="C11" t="s">
        <v>1047</v>
      </c>
      <c r="D11" s="4" t="s">
        <v>22</v>
      </c>
      <c r="G11">
        <v>26</v>
      </c>
    </row>
    <row r="12" spans="1:7" ht="15" x14ac:dyDescent="0.2">
      <c r="A12">
        <v>10</v>
      </c>
      <c r="B12" s="1" t="s">
        <v>2820</v>
      </c>
      <c r="C12" t="s">
        <v>2829</v>
      </c>
      <c r="D12" s="4" t="s">
        <v>22</v>
      </c>
      <c r="E12" s="4" t="s">
        <v>22</v>
      </c>
      <c r="G12">
        <v>6</v>
      </c>
    </row>
    <row r="13" spans="1:7" ht="15" x14ac:dyDescent="0.2">
      <c r="A13">
        <v>11</v>
      </c>
      <c r="B13" s="1" t="s">
        <v>2821</v>
      </c>
      <c r="C13" t="s">
        <v>2830</v>
      </c>
      <c r="D13" s="4" t="s">
        <v>22</v>
      </c>
      <c r="E13" s="4" t="s">
        <v>22</v>
      </c>
      <c r="G13">
        <v>7</v>
      </c>
    </row>
    <row r="14" spans="1:7" ht="15" x14ac:dyDescent="0.2">
      <c r="A14">
        <v>12</v>
      </c>
      <c r="B14" s="1" t="s">
        <v>2822</v>
      </c>
      <c r="C14" t="s">
        <v>1744</v>
      </c>
      <c r="D14" s="4" t="s">
        <v>22</v>
      </c>
      <c r="E14" s="4" t="s">
        <v>22</v>
      </c>
      <c r="G14">
        <v>8</v>
      </c>
    </row>
    <row r="15" spans="1:7" ht="15" x14ac:dyDescent="0.2">
      <c r="A15">
        <v>13</v>
      </c>
      <c r="B15" s="1" t="s">
        <v>2823</v>
      </c>
      <c r="D15" s="4" t="s">
        <v>22</v>
      </c>
      <c r="E15" s="4" t="s">
        <v>22</v>
      </c>
      <c r="F15" t="b">
        <v>0</v>
      </c>
      <c r="G15">
        <v>23</v>
      </c>
    </row>
    <row r="16" spans="1:7" ht="15" x14ac:dyDescent="0.2">
      <c r="A16">
        <v>14</v>
      </c>
      <c r="B16" s="1" t="s">
        <v>2824</v>
      </c>
      <c r="C16" t="s">
        <v>2831</v>
      </c>
      <c r="D16" s="4" t="s">
        <v>22</v>
      </c>
      <c r="E16" s="4" t="s">
        <v>22</v>
      </c>
      <c r="G16">
        <v>19</v>
      </c>
    </row>
    <row r="17" spans="1:7" ht="15" x14ac:dyDescent="0.2">
      <c r="A17">
        <v>15</v>
      </c>
      <c r="B17" s="6" t="s">
        <v>2832</v>
      </c>
      <c r="C17" t="s">
        <v>2842</v>
      </c>
      <c r="G17">
        <v>4</v>
      </c>
    </row>
    <row r="18" spans="1:7" ht="15" x14ac:dyDescent="0.2">
      <c r="A18">
        <v>16</v>
      </c>
      <c r="B18" s="6" t="s">
        <v>2833</v>
      </c>
      <c r="C18" t="s">
        <v>2843</v>
      </c>
      <c r="G18">
        <v>5</v>
      </c>
    </row>
    <row r="19" spans="1:7" ht="15" x14ac:dyDescent="0.2">
      <c r="A19">
        <v>17</v>
      </c>
      <c r="B19" s="6" t="s">
        <v>2834</v>
      </c>
      <c r="C19" t="s">
        <v>2844</v>
      </c>
      <c r="G19">
        <v>10</v>
      </c>
    </row>
    <row r="20" spans="1:7" ht="15" x14ac:dyDescent="0.2">
      <c r="A20">
        <v>18</v>
      </c>
      <c r="B20" s="6" t="s">
        <v>2835</v>
      </c>
      <c r="C20" t="s">
        <v>2845</v>
      </c>
      <c r="G20">
        <v>12</v>
      </c>
    </row>
    <row r="21" spans="1:7" ht="15" x14ac:dyDescent="0.2">
      <c r="A21">
        <v>19</v>
      </c>
      <c r="B21" s="6" t="s">
        <v>2836</v>
      </c>
      <c r="C21" t="s">
        <v>2846</v>
      </c>
      <c r="G21">
        <v>11</v>
      </c>
    </row>
    <row r="22" spans="1:7" ht="15" x14ac:dyDescent="0.2">
      <c r="A22">
        <v>20</v>
      </c>
      <c r="B22" s="6" t="s">
        <v>2837</v>
      </c>
      <c r="C22" t="s">
        <v>2847</v>
      </c>
      <c r="G22">
        <v>13</v>
      </c>
    </row>
    <row r="23" spans="1:7" ht="15" x14ac:dyDescent="0.2">
      <c r="A23">
        <v>21</v>
      </c>
      <c r="B23" s="6" t="s">
        <v>2838</v>
      </c>
      <c r="C23" t="s">
        <v>1550</v>
      </c>
      <c r="G23">
        <v>15</v>
      </c>
    </row>
    <row r="24" spans="1:7" ht="15" x14ac:dyDescent="0.2">
      <c r="A24">
        <v>22</v>
      </c>
      <c r="B24" s="6" t="s">
        <v>2839</v>
      </c>
      <c r="C24" t="s">
        <v>1551</v>
      </c>
      <c r="G24">
        <v>17</v>
      </c>
    </row>
    <row r="25" spans="1:7" ht="15" x14ac:dyDescent="0.2">
      <c r="A25">
        <v>23</v>
      </c>
      <c r="B25" s="6" t="s">
        <v>2840</v>
      </c>
      <c r="C25" t="s">
        <v>1552</v>
      </c>
      <c r="G25">
        <v>16</v>
      </c>
    </row>
    <row r="26" spans="1:7" ht="15" x14ac:dyDescent="0.2">
      <c r="A26">
        <v>24</v>
      </c>
      <c r="B26" s="6" t="s">
        <v>2841</v>
      </c>
      <c r="C26" t="s">
        <v>1553</v>
      </c>
      <c r="G26">
        <v>18</v>
      </c>
    </row>
    <row r="27" spans="1:7" ht="15" x14ac:dyDescent="0.2">
      <c r="A27">
        <v>25</v>
      </c>
      <c r="B27" s="6" t="s">
        <v>2848</v>
      </c>
      <c r="C27" t="s">
        <v>2850</v>
      </c>
      <c r="D27" s="4" t="s">
        <v>22</v>
      </c>
      <c r="G27">
        <v>20</v>
      </c>
    </row>
    <row r="28" spans="1:7" ht="15" x14ac:dyDescent="0.2">
      <c r="A28">
        <v>26</v>
      </c>
      <c r="B28" s="6" t="s">
        <v>2849</v>
      </c>
      <c r="C28" t="s">
        <v>2851</v>
      </c>
      <c r="D28" s="4" t="s">
        <v>22</v>
      </c>
      <c r="G28">
        <v>21</v>
      </c>
    </row>
  </sheetData>
  <sortState xmlns:xlrd2="http://schemas.microsoft.com/office/spreadsheetml/2017/richdata2" ref="A2:G28">
    <sortCondition ref="A1:A28"/>
  </sortState>
  <phoneticPr fontId="2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AECBD-480E-4512-85A2-339B0B868905}">
  <sheetPr codeName="Sheet27"/>
  <dimension ref="A1:G10"/>
  <sheetViews>
    <sheetView workbookViewId="0"/>
  </sheetViews>
  <sheetFormatPr defaultRowHeight="14.25" x14ac:dyDescent="0.2"/>
  <cols>
    <col min="2" max="2" width="32.75" bestFit="1" customWidth="1"/>
    <col min="3" max="3" width="13" bestFit="1" customWidth="1"/>
    <col min="4" max="4" width="14.375" style="4" bestFit="1" customWidth="1"/>
    <col min="5" max="5" width="9" style="4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G2">
        <v>0</v>
      </c>
    </row>
    <row r="3" spans="1:7" ht="15" x14ac:dyDescent="0.2">
      <c r="A3">
        <v>1</v>
      </c>
      <c r="B3" s="1" t="s">
        <v>523</v>
      </c>
      <c r="C3" t="s">
        <v>2711</v>
      </c>
      <c r="D3" s="4" t="s">
        <v>22</v>
      </c>
      <c r="G3">
        <v>1</v>
      </c>
    </row>
    <row r="4" spans="1:7" ht="15" x14ac:dyDescent="0.2">
      <c r="A4">
        <v>2</v>
      </c>
      <c r="B4" s="1" t="s">
        <v>2852</v>
      </c>
      <c r="D4" s="4" t="s">
        <v>22</v>
      </c>
      <c r="E4" s="4" t="s">
        <v>22</v>
      </c>
      <c r="G4">
        <v>2</v>
      </c>
    </row>
    <row r="5" spans="1:7" ht="15" x14ac:dyDescent="0.2">
      <c r="A5">
        <v>3</v>
      </c>
      <c r="B5" s="1" t="s">
        <v>2853</v>
      </c>
      <c r="D5" s="4" t="s">
        <v>22</v>
      </c>
      <c r="E5" s="4" t="s">
        <v>22</v>
      </c>
      <c r="G5">
        <v>3</v>
      </c>
    </row>
    <row r="6" spans="1:7" ht="15" x14ac:dyDescent="0.2">
      <c r="A6">
        <v>4</v>
      </c>
      <c r="B6" s="1" t="s">
        <v>2854</v>
      </c>
      <c r="D6" s="4" t="s">
        <v>22</v>
      </c>
      <c r="E6" s="4" t="s">
        <v>22</v>
      </c>
      <c r="G6">
        <v>4</v>
      </c>
    </row>
    <row r="7" spans="1:7" ht="15" x14ac:dyDescent="0.2">
      <c r="A7">
        <v>5</v>
      </c>
      <c r="B7" s="1" t="s">
        <v>2855</v>
      </c>
      <c r="D7" s="4" t="s">
        <v>22</v>
      </c>
      <c r="E7" s="4" t="s">
        <v>22</v>
      </c>
      <c r="G7">
        <v>5</v>
      </c>
    </row>
    <row r="8" spans="1:7" ht="15" x14ac:dyDescent="0.2">
      <c r="A8">
        <v>6</v>
      </c>
      <c r="B8" s="1" t="s">
        <v>2856</v>
      </c>
      <c r="D8" s="4" t="s">
        <v>22</v>
      </c>
      <c r="E8" s="4" t="s">
        <v>22</v>
      </c>
      <c r="G8">
        <v>6</v>
      </c>
    </row>
    <row r="9" spans="1:7" ht="15" x14ac:dyDescent="0.2">
      <c r="A9">
        <v>7</v>
      </c>
      <c r="B9" s="1" t="s">
        <v>2857</v>
      </c>
      <c r="D9" s="4" t="s">
        <v>22</v>
      </c>
      <c r="G9">
        <v>7</v>
      </c>
    </row>
    <row r="10" spans="1:7" ht="15" x14ac:dyDescent="0.2">
      <c r="A10">
        <v>8</v>
      </c>
      <c r="B10" s="1" t="s">
        <v>2858</v>
      </c>
      <c r="D10" s="4" t="s">
        <v>22</v>
      </c>
      <c r="G10">
        <v>8</v>
      </c>
    </row>
  </sheetData>
  <phoneticPr fontId="2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A30F5-000A-47BE-A26C-2B122315A681}">
  <sheetPr codeName="Sheet28"/>
  <dimension ref="A1:G17"/>
  <sheetViews>
    <sheetView workbookViewId="0"/>
  </sheetViews>
  <sheetFormatPr defaultRowHeight="14.25" x14ac:dyDescent="0.2"/>
  <cols>
    <col min="2" max="2" width="49.375" bestFit="1" customWidth="1"/>
    <col min="3" max="3" width="15.125" bestFit="1" customWidth="1"/>
    <col min="4" max="4" width="14.375" style="4" bestFit="1" customWidth="1"/>
    <col min="5" max="6" width="9" style="4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G2">
        <v>0</v>
      </c>
    </row>
    <row r="3" spans="1:7" ht="15" x14ac:dyDescent="0.2">
      <c r="A3">
        <v>1</v>
      </c>
      <c r="B3" s="1" t="s">
        <v>523</v>
      </c>
      <c r="C3" t="s">
        <v>2868</v>
      </c>
      <c r="D3" s="4" t="s">
        <v>22</v>
      </c>
      <c r="G3">
        <v>1</v>
      </c>
    </row>
    <row r="4" spans="1:7" ht="15" x14ac:dyDescent="0.2">
      <c r="A4">
        <v>2</v>
      </c>
      <c r="B4" s="1" t="s">
        <v>2859</v>
      </c>
      <c r="D4" s="4" t="s">
        <v>22</v>
      </c>
      <c r="E4" s="4" t="s">
        <v>22</v>
      </c>
      <c r="G4">
        <v>4</v>
      </c>
    </row>
    <row r="5" spans="1:7" ht="15" x14ac:dyDescent="0.2">
      <c r="A5">
        <v>3</v>
      </c>
      <c r="B5" s="1" t="s">
        <v>2860</v>
      </c>
      <c r="D5" s="4" t="s">
        <v>22</v>
      </c>
      <c r="E5" s="4" t="s">
        <v>22</v>
      </c>
      <c r="G5">
        <v>5</v>
      </c>
    </row>
    <row r="6" spans="1:7" ht="15" x14ac:dyDescent="0.2">
      <c r="A6">
        <v>4</v>
      </c>
      <c r="B6" s="1" t="s">
        <v>2092</v>
      </c>
      <c r="C6" t="s">
        <v>2156</v>
      </c>
      <c r="D6" s="4" t="s">
        <v>22</v>
      </c>
      <c r="G6">
        <v>10</v>
      </c>
    </row>
    <row r="7" spans="1:7" ht="15" x14ac:dyDescent="0.2">
      <c r="A7">
        <v>5</v>
      </c>
      <c r="B7" s="1" t="s">
        <v>2861</v>
      </c>
      <c r="C7" t="s">
        <v>2869</v>
      </c>
      <c r="D7" s="4" t="s">
        <v>22</v>
      </c>
      <c r="E7" s="4" t="s">
        <v>22</v>
      </c>
      <c r="G7">
        <v>2</v>
      </c>
    </row>
    <row r="8" spans="1:7" ht="15" x14ac:dyDescent="0.2">
      <c r="A8">
        <v>6</v>
      </c>
      <c r="B8" s="1" t="s">
        <v>2862</v>
      </c>
      <c r="C8" t="s">
        <v>2871</v>
      </c>
      <c r="D8" s="4" t="s">
        <v>22</v>
      </c>
      <c r="E8" s="4" t="s">
        <v>22</v>
      </c>
      <c r="G8">
        <v>7</v>
      </c>
    </row>
    <row r="9" spans="1:7" ht="15" x14ac:dyDescent="0.2">
      <c r="A9">
        <v>7</v>
      </c>
      <c r="B9" s="1" t="s">
        <v>2863</v>
      </c>
      <c r="C9" t="s">
        <v>2870</v>
      </c>
      <c r="D9" s="4" t="s">
        <v>22</v>
      </c>
      <c r="E9" s="4" t="s">
        <v>22</v>
      </c>
      <c r="G9">
        <v>6</v>
      </c>
    </row>
    <row r="10" spans="1:7" ht="15" x14ac:dyDescent="0.2">
      <c r="A10">
        <v>8</v>
      </c>
      <c r="B10" s="1" t="s">
        <v>2864</v>
      </c>
      <c r="C10" t="s">
        <v>2872</v>
      </c>
      <c r="D10" s="4" t="s">
        <v>22</v>
      </c>
      <c r="E10" s="4" t="s">
        <v>22</v>
      </c>
      <c r="G10">
        <v>3</v>
      </c>
    </row>
    <row r="11" spans="1:7" ht="15" x14ac:dyDescent="0.2">
      <c r="A11">
        <v>9</v>
      </c>
      <c r="B11" s="1" t="s">
        <v>2865</v>
      </c>
      <c r="D11" s="4" t="s">
        <v>22</v>
      </c>
      <c r="E11" s="4" t="s">
        <v>22</v>
      </c>
      <c r="G11">
        <v>11</v>
      </c>
    </row>
    <row r="12" spans="1:7" ht="15" x14ac:dyDescent="0.2">
      <c r="A12">
        <v>10</v>
      </c>
      <c r="B12" s="1" t="s">
        <v>2866</v>
      </c>
      <c r="D12" s="4" t="s">
        <v>22</v>
      </c>
      <c r="E12" s="4" t="s">
        <v>22</v>
      </c>
      <c r="G12">
        <v>12</v>
      </c>
    </row>
    <row r="13" spans="1:7" ht="15" x14ac:dyDescent="0.2">
      <c r="A13">
        <v>11</v>
      </c>
      <c r="B13" s="1" t="s">
        <v>2101</v>
      </c>
      <c r="C13" t="s">
        <v>2759</v>
      </c>
      <c r="D13" s="4" t="s">
        <v>22</v>
      </c>
      <c r="E13" s="4" t="s">
        <v>22</v>
      </c>
      <c r="G13">
        <v>13</v>
      </c>
    </row>
    <row r="14" spans="1:7" ht="15" x14ac:dyDescent="0.2">
      <c r="A14">
        <v>12</v>
      </c>
      <c r="B14" s="1" t="s">
        <v>2867</v>
      </c>
      <c r="C14" t="s">
        <v>2873</v>
      </c>
      <c r="D14" s="4" t="s">
        <v>22</v>
      </c>
      <c r="E14" s="4" t="s">
        <v>22</v>
      </c>
      <c r="G14">
        <v>15</v>
      </c>
    </row>
    <row r="15" spans="1:7" ht="15" x14ac:dyDescent="0.2">
      <c r="A15">
        <v>13</v>
      </c>
      <c r="B15" s="6" t="s">
        <v>2874</v>
      </c>
      <c r="C15" t="s">
        <v>2876</v>
      </c>
      <c r="G15">
        <v>8</v>
      </c>
    </row>
    <row r="16" spans="1:7" ht="15" x14ac:dyDescent="0.2">
      <c r="A16">
        <v>14</v>
      </c>
      <c r="B16" s="6" t="s">
        <v>2875</v>
      </c>
      <c r="C16" t="s">
        <v>2877</v>
      </c>
      <c r="G16">
        <v>9</v>
      </c>
    </row>
    <row r="17" spans="1:7" ht="15" x14ac:dyDescent="0.2">
      <c r="A17">
        <v>15</v>
      </c>
      <c r="B17" s="1" t="s">
        <v>2172</v>
      </c>
      <c r="C17" t="s">
        <v>2684</v>
      </c>
      <c r="G17">
        <v>14</v>
      </c>
    </row>
  </sheetData>
  <sortState xmlns:xlrd2="http://schemas.microsoft.com/office/spreadsheetml/2017/richdata2" ref="A2:G17">
    <sortCondition ref="A1:A17"/>
  </sortState>
  <phoneticPr fontId="2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D86F-E8B3-46C8-B8DA-0554A39A90B8}">
  <sheetPr codeName="Sheet12"/>
  <dimension ref="A1:G10"/>
  <sheetViews>
    <sheetView workbookViewId="0"/>
  </sheetViews>
  <sheetFormatPr defaultRowHeight="14.25" x14ac:dyDescent="0.2"/>
  <cols>
    <col min="2" max="2" width="26" customWidth="1"/>
    <col min="3" max="3" width="15.125" bestFit="1" customWidth="1"/>
    <col min="4" max="4" width="14.375" bestFit="1" customWidth="1"/>
    <col min="5" max="6" width="9" style="4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G2">
        <v>0</v>
      </c>
    </row>
    <row r="3" spans="1:7" ht="15" x14ac:dyDescent="0.2">
      <c r="A3">
        <v>1</v>
      </c>
      <c r="B3" s="1" t="s">
        <v>2375</v>
      </c>
      <c r="C3" t="s">
        <v>2369</v>
      </c>
      <c r="D3" s="4" t="s">
        <v>22</v>
      </c>
      <c r="E3" s="4" t="s">
        <v>2947</v>
      </c>
      <c r="G3">
        <v>3</v>
      </c>
    </row>
    <row r="4" spans="1:7" ht="15" x14ac:dyDescent="0.2">
      <c r="A4">
        <v>2</v>
      </c>
      <c r="B4" s="1" t="s">
        <v>2948</v>
      </c>
      <c r="D4" s="4" t="s">
        <v>2947</v>
      </c>
      <c r="E4" s="4" t="s">
        <v>2947</v>
      </c>
      <c r="F4" s="4" t="b">
        <v>0</v>
      </c>
      <c r="G4">
        <v>4</v>
      </c>
    </row>
    <row r="5" spans="1:7" ht="15" x14ac:dyDescent="0.2">
      <c r="A5">
        <v>3</v>
      </c>
      <c r="B5" s="1" t="s">
        <v>2945</v>
      </c>
      <c r="C5" t="s">
        <v>2946</v>
      </c>
      <c r="D5" s="4" t="s">
        <v>2947</v>
      </c>
      <c r="G5">
        <v>2</v>
      </c>
    </row>
    <row r="6" spans="1:7" ht="15" x14ac:dyDescent="0.2">
      <c r="A6">
        <v>4</v>
      </c>
      <c r="B6" s="1" t="s">
        <v>2376</v>
      </c>
      <c r="C6" t="s">
        <v>2370</v>
      </c>
      <c r="D6" s="4" t="s">
        <v>22</v>
      </c>
      <c r="E6" s="4" t="s">
        <v>22</v>
      </c>
      <c r="G6">
        <v>5</v>
      </c>
    </row>
    <row r="7" spans="1:7" ht="15" x14ac:dyDescent="0.2">
      <c r="A7">
        <v>5</v>
      </c>
      <c r="B7" s="1" t="s">
        <v>2377</v>
      </c>
      <c r="C7" t="s">
        <v>2371</v>
      </c>
      <c r="D7" s="4" t="s">
        <v>22</v>
      </c>
      <c r="E7" s="4" t="s">
        <v>22</v>
      </c>
      <c r="G7">
        <v>6</v>
      </c>
    </row>
    <row r="8" spans="1:7" ht="15" x14ac:dyDescent="0.2">
      <c r="A8">
        <v>6</v>
      </c>
      <c r="B8" s="1" t="s">
        <v>2378</v>
      </c>
      <c r="C8" t="s">
        <v>2372</v>
      </c>
      <c r="D8" s="4" t="s">
        <v>22</v>
      </c>
      <c r="E8" s="4" t="s">
        <v>22</v>
      </c>
      <c r="G8">
        <v>7</v>
      </c>
    </row>
    <row r="9" spans="1:7" ht="15" x14ac:dyDescent="0.2">
      <c r="A9">
        <v>7</v>
      </c>
      <c r="B9" s="1" t="s">
        <v>523</v>
      </c>
      <c r="C9" t="s">
        <v>2373</v>
      </c>
      <c r="D9" s="4" t="s">
        <v>22</v>
      </c>
      <c r="E9" s="4" t="s">
        <v>22</v>
      </c>
      <c r="G9">
        <v>1</v>
      </c>
    </row>
    <row r="10" spans="1:7" ht="15" x14ac:dyDescent="0.2">
      <c r="A10">
        <v>8</v>
      </c>
      <c r="B10" s="1" t="s">
        <v>2379</v>
      </c>
      <c r="C10" t="s">
        <v>2374</v>
      </c>
      <c r="D10" s="4" t="s">
        <v>22</v>
      </c>
      <c r="E10" s="4" t="s">
        <v>22</v>
      </c>
      <c r="F10" s="4" t="b">
        <v>1</v>
      </c>
      <c r="G10">
        <v>8</v>
      </c>
    </row>
  </sheetData>
  <sortState xmlns:xlrd2="http://schemas.microsoft.com/office/spreadsheetml/2017/richdata2" ref="A2:G10">
    <sortCondition ref="A1:A10"/>
  </sortState>
  <phoneticPr fontId="2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3282-BF12-4B9E-88E0-0647BA982AE8}">
  <sheetPr codeName="Sheet15"/>
  <dimension ref="A1:G29"/>
  <sheetViews>
    <sheetView workbookViewId="0"/>
  </sheetViews>
  <sheetFormatPr defaultRowHeight="14.25" x14ac:dyDescent="0.2"/>
  <cols>
    <col min="2" max="2" width="37.125" bestFit="1" customWidth="1"/>
    <col min="3" max="3" width="38.87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G2">
        <v>0</v>
      </c>
    </row>
    <row r="3" spans="1:7" ht="15" x14ac:dyDescent="0.2">
      <c r="A3">
        <v>1</v>
      </c>
      <c r="B3" s="1" t="s">
        <v>523</v>
      </c>
      <c r="C3" t="s">
        <v>2636</v>
      </c>
      <c r="D3" s="4" t="s">
        <v>22</v>
      </c>
      <c r="E3" s="4"/>
      <c r="G3">
        <v>1</v>
      </c>
    </row>
    <row r="4" spans="1:7" ht="15" x14ac:dyDescent="0.2">
      <c r="A4">
        <v>2</v>
      </c>
      <c r="B4" s="1" t="s">
        <v>2637</v>
      </c>
      <c r="C4" t="s">
        <v>2638</v>
      </c>
      <c r="D4" s="4" t="s">
        <v>22</v>
      </c>
      <c r="E4" s="4"/>
      <c r="G4">
        <v>27</v>
      </c>
    </row>
    <row r="5" spans="1:7" ht="15" x14ac:dyDescent="0.2">
      <c r="A5">
        <v>3</v>
      </c>
      <c r="B5" s="1" t="s">
        <v>2639</v>
      </c>
      <c r="C5" t="s">
        <v>2646</v>
      </c>
      <c r="D5" s="4" t="s">
        <v>22</v>
      </c>
      <c r="E5" s="4"/>
      <c r="G5">
        <v>2</v>
      </c>
    </row>
    <row r="6" spans="1:7" ht="15" x14ac:dyDescent="0.2">
      <c r="A6">
        <v>4</v>
      </c>
      <c r="B6" s="1" t="s">
        <v>2640</v>
      </c>
      <c r="C6" t="s">
        <v>2647</v>
      </c>
      <c r="D6" s="4" t="s">
        <v>22</v>
      </c>
      <c r="E6" s="4" t="s">
        <v>22</v>
      </c>
      <c r="G6">
        <v>5</v>
      </c>
    </row>
    <row r="7" spans="1:7" ht="15" x14ac:dyDescent="0.2">
      <c r="A7">
        <v>5</v>
      </c>
      <c r="B7" s="1" t="s">
        <v>2641</v>
      </c>
      <c r="C7" t="s">
        <v>2648</v>
      </c>
      <c r="D7" s="4" t="s">
        <v>22</v>
      </c>
      <c r="E7" s="4" t="s">
        <v>22</v>
      </c>
      <c r="G7">
        <v>8</v>
      </c>
    </row>
    <row r="8" spans="1:7" ht="15" x14ac:dyDescent="0.2">
      <c r="A8">
        <v>6</v>
      </c>
      <c r="B8" s="1" t="s">
        <v>2642</v>
      </c>
      <c r="C8" t="s">
        <v>2649</v>
      </c>
      <c r="D8" s="4" t="s">
        <v>22</v>
      </c>
      <c r="E8" s="4" t="s">
        <v>22</v>
      </c>
      <c r="G8">
        <v>13</v>
      </c>
    </row>
    <row r="9" spans="1:7" ht="15" x14ac:dyDescent="0.2">
      <c r="A9">
        <v>7</v>
      </c>
      <c r="B9" s="1" t="s">
        <v>2643</v>
      </c>
      <c r="C9" t="s">
        <v>2650</v>
      </c>
      <c r="D9" s="4" t="s">
        <v>22</v>
      </c>
      <c r="G9">
        <v>16</v>
      </c>
    </row>
    <row r="10" spans="1:7" ht="15" x14ac:dyDescent="0.2">
      <c r="A10">
        <v>8</v>
      </c>
      <c r="B10" s="1" t="s">
        <v>2644</v>
      </c>
      <c r="C10" t="s">
        <v>2651</v>
      </c>
      <c r="D10" s="4" t="s">
        <v>22</v>
      </c>
      <c r="G10">
        <v>19</v>
      </c>
    </row>
    <row r="11" spans="1:7" ht="15" x14ac:dyDescent="0.2">
      <c r="A11">
        <v>9</v>
      </c>
      <c r="B11" s="1" t="s">
        <v>2645</v>
      </c>
      <c r="C11" t="s">
        <v>2135</v>
      </c>
      <c r="D11" s="4" t="s">
        <v>22</v>
      </c>
      <c r="G11">
        <v>24</v>
      </c>
    </row>
    <row r="12" spans="1:7" ht="15" x14ac:dyDescent="0.2">
      <c r="A12">
        <v>10</v>
      </c>
      <c r="B12" s="6" t="s">
        <v>1408</v>
      </c>
      <c r="C12" t="s">
        <v>2662</v>
      </c>
      <c r="G12">
        <v>3</v>
      </c>
    </row>
    <row r="13" spans="1:7" ht="15" x14ac:dyDescent="0.2">
      <c r="A13">
        <v>11</v>
      </c>
      <c r="B13" s="6" t="s">
        <v>1409</v>
      </c>
      <c r="C13" t="s">
        <v>2663</v>
      </c>
      <c r="G13">
        <v>4</v>
      </c>
    </row>
    <row r="14" spans="1:7" ht="15" x14ac:dyDescent="0.2">
      <c r="A14">
        <v>12</v>
      </c>
      <c r="B14" s="6" t="s">
        <v>2652</v>
      </c>
      <c r="C14" t="s">
        <v>2664</v>
      </c>
      <c r="G14">
        <v>6</v>
      </c>
    </row>
    <row r="15" spans="1:7" ht="15" x14ac:dyDescent="0.2">
      <c r="A15">
        <v>13</v>
      </c>
      <c r="B15" s="6" t="s">
        <v>2653</v>
      </c>
      <c r="C15" t="s">
        <v>2665</v>
      </c>
      <c r="G15">
        <v>7</v>
      </c>
    </row>
    <row r="16" spans="1:7" ht="15" x14ac:dyDescent="0.2">
      <c r="A16">
        <v>14</v>
      </c>
      <c r="B16" s="6" t="s">
        <v>2654</v>
      </c>
      <c r="C16" t="s">
        <v>2666</v>
      </c>
      <c r="G16">
        <v>9</v>
      </c>
    </row>
    <row r="17" spans="1:7" ht="15" x14ac:dyDescent="0.2">
      <c r="A17">
        <v>15</v>
      </c>
      <c r="B17" s="6" t="s">
        <v>2655</v>
      </c>
      <c r="C17" t="s">
        <v>2667</v>
      </c>
      <c r="G17">
        <v>11</v>
      </c>
    </row>
    <row r="18" spans="1:7" ht="15" x14ac:dyDescent="0.2">
      <c r="A18">
        <v>16</v>
      </c>
      <c r="B18" s="6" t="s">
        <v>481</v>
      </c>
      <c r="C18" t="s">
        <v>2672</v>
      </c>
      <c r="G18">
        <v>10</v>
      </c>
    </row>
    <row r="19" spans="1:7" ht="15" x14ac:dyDescent="0.2">
      <c r="A19">
        <v>17</v>
      </c>
      <c r="B19" s="6" t="s">
        <v>483</v>
      </c>
      <c r="C19" t="s">
        <v>2673</v>
      </c>
      <c r="G19">
        <v>12</v>
      </c>
    </row>
    <row r="20" spans="1:7" ht="15" x14ac:dyDescent="0.2">
      <c r="A20">
        <v>18</v>
      </c>
      <c r="B20" s="6" t="s">
        <v>2656</v>
      </c>
      <c r="C20" t="s">
        <v>2668</v>
      </c>
      <c r="G20">
        <v>14</v>
      </c>
    </row>
    <row r="21" spans="1:7" ht="15" x14ac:dyDescent="0.2">
      <c r="A21">
        <v>19</v>
      </c>
      <c r="B21" s="6" t="s">
        <v>2657</v>
      </c>
      <c r="C21" t="s">
        <v>2669</v>
      </c>
      <c r="G21">
        <v>15</v>
      </c>
    </row>
    <row r="22" spans="1:7" ht="15" x14ac:dyDescent="0.2">
      <c r="A22">
        <v>20</v>
      </c>
      <c r="B22" s="6" t="s">
        <v>2658</v>
      </c>
      <c r="C22" t="s">
        <v>2670</v>
      </c>
      <c r="G22">
        <v>17</v>
      </c>
    </row>
    <row r="23" spans="1:7" ht="15" x14ac:dyDescent="0.2">
      <c r="A23">
        <v>21</v>
      </c>
      <c r="B23" s="6" t="s">
        <v>2659</v>
      </c>
      <c r="C23" t="s">
        <v>2671</v>
      </c>
      <c r="G23">
        <v>18</v>
      </c>
    </row>
    <row r="24" spans="1:7" ht="15" x14ac:dyDescent="0.2">
      <c r="A24">
        <v>22</v>
      </c>
      <c r="B24" s="6" t="s">
        <v>2660</v>
      </c>
      <c r="C24" t="s">
        <v>2674</v>
      </c>
      <c r="G24">
        <v>20</v>
      </c>
    </row>
    <row r="25" spans="1:7" ht="15" x14ac:dyDescent="0.2">
      <c r="A25">
        <v>23</v>
      </c>
      <c r="B25" s="6" t="s">
        <v>2661</v>
      </c>
      <c r="C25" t="s">
        <v>2675</v>
      </c>
      <c r="G25">
        <v>22</v>
      </c>
    </row>
    <row r="26" spans="1:7" ht="15" x14ac:dyDescent="0.2">
      <c r="A26">
        <v>24</v>
      </c>
      <c r="B26" s="6" t="s">
        <v>2676</v>
      </c>
      <c r="C26" t="s">
        <v>2677</v>
      </c>
      <c r="G26">
        <v>21</v>
      </c>
    </row>
    <row r="27" spans="1:7" ht="15" x14ac:dyDescent="0.2">
      <c r="A27">
        <v>25</v>
      </c>
      <c r="B27" s="6" t="s">
        <v>2678</v>
      </c>
      <c r="C27" t="s">
        <v>2679</v>
      </c>
      <c r="G27">
        <v>23</v>
      </c>
    </row>
    <row r="28" spans="1:7" ht="15" x14ac:dyDescent="0.2">
      <c r="A28">
        <v>26</v>
      </c>
      <c r="B28" s="6" t="s">
        <v>2910</v>
      </c>
      <c r="C28" t="s">
        <v>2912</v>
      </c>
      <c r="G28">
        <v>25</v>
      </c>
    </row>
    <row r="29" spans="1:7" ht="15" x14ac:dyDescent="0.2">
      <c r="A29">
        <v>27</v>
      </c>
      <c r="B29" s="6" t="s">
        <v>2911</v>
      </c>
      <c r="C29" t="s">
        <v>2913</v>
      </c>
      <c r="G29">
        <v>26</v>
      </c>
    </row>
  </sheetData>
  <sortState xmlns:xlrd2="http://schemas.microsoft.com/office/spreadsheetml/2017/richdata2" ref="A2:G29">
    <sortCondition ref="A1:A29"/>
  </sortState>
  <phoneticPr fontId="2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F486-9605-4C14-9D33-B85EFC67F833}">
  <sheetPr codeName="Sheet16"/>
  <dimension ref="A1:G11"/>
  <sheetViews>
    <sheetView workbookViewId="0"/>
  </sheetViews>
  <sheetFormatPr defaultRowHeight="14.25" x14ac:dyDescent="0.2"/>
  <cols>
    <col min="2" max="2" width="32.75" bestFit="1" customWidth="1"/>
    <col min="3" max="3" width="27.62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G2">
        <v>0</v>
      </c>
    </row>
    <row r="3" spans="1:7" ht="15" x14ac:dyDescent="0.2">
      <c r="A3">
        <v>1</v>
      </c>
      <c r="B3" s="1" t="s">
        <v>2635</v>
      </c>
      <c r="C3" t="s">
        <v>2680</v>
      </c>
      <c r="D3" s="4" t="s">
        <v>22</v>
      </c>
      <c r="E3" s="4"/>
      <c r="G3">
        <v>1</v>
      </c>
    </row>
    <row r="4" spans="1:7" ht="15" x14ac:dyDescent="0.2">
      <c r="A4">
        <v>2</v>
      </c>
      <c r="B4" s="1" t="s">
        <v>2681</v>
      </c>
      <c r="C4" t="s">
        <v>2135</v>
      </c>
      <c r="D4" s="4" t="s">
        <v>22</v>
      </c>
      <c r="E4" s="4"/>
      <c r="G4">
        <v>2</v>
      </c>
    </row>
    <row r="5" spans="1:7" ht="15" x14ac:dyDescent="0.2">
      <c r="A5">
        <v>3</v>
      </c>
      <c r="B5" s="1" t="s">
        <v>2682</v>
      </c>
      <c r="C5" t="s">
        <v>2683</v>
      </c>
      <c r="D5" s="4" t="s">
        <v>22</v>
      </c>
      <c r="E5" s="4"/>
      <c r="G5">
        <v>5</v>
      </c>
    </row>
    <row r="6" spans="1:7" ht="15" x14ac:dyDescent="0.2">
      <c r="A6">
        <v>4</v>
      </c>
      <c r="B6" s="6" t="s">
        <v>2685</v>
      </c>
      <c r="C6" t="s">
        <v>2688</v>
      </c>
      <c r="D6" s="4" t="s">
        <v>22</v>
      </c>
      <c r="E6" s="4" t="s">
        <v>22</v>
      </c>
      <c r="G6">
        <v>3</v>
      </c>
    </row>
    <row r="7" spans="1:7" ht="15" x14ac:dyDescent="0.2">
      <c r="A7">
        <v>5</v>
      </c>
      <c r="B7" s="6" t="s">
        <v>2686</v>
      </c>
      <c r="C7" t="s">
        <v>2687</v>
      </c>
      <c r="D7" s="4"/>
      <c r="E7" s="4"/>
      <c r="G7">
        <v>4</v>
      </c>
    </row>
    <row r="8" spans="1:7" ht="15" x14ac:dyDescent="0.2">
      <c r="A8">
        <v>6</v>
      </c>
      <c r="B8" s="1" t="s">
        <v>2172</v>
      </c>
      <c r="C8" t="s">
        <v>2684</v>
      </c>
      <c r="D8" s="4" t="s">
        <v>22</v>
      </c>
      <c r="E8" s="4" t="s">
        <v>22</v>
      </c>
      <c r="G8">
        <v>6</v>
      </c>
    </row>
    <row r="9" spans="1:7" ht="15" x14ac:dyDescent="0.2">
      <c r="B9" s="1"/>
      <c r="D9" s="4"/>
      <c r="E9" s="4"/>
    </row>
    <row r="10" spans="1:7" ht="15" x14ac:dyDescent="0.2">
      <c r="B10" s="6"/>
    </row>
    <row r="11" spans="1:7" ht="15" x14ac:dyDescent="0.2">
      <c r="B11" s="6"/>
    </row>
  </sheetData>
  <sortState xmlns:xlrd2="http://schemas.microsoft.com/office/spreadsheetml/2017/richdata2" ref="A2:G8">
    <sortCondition ref="A1:A8"/>
  </sortState>
  <phoneticPr fontId="2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0C918-C1C4-4CA0-AE17-312A0FD1DCCE}">
  <sheetPr codeName="Sheet29"/>
  <dimension ref="A1:G51"/>
  <sheetViews>
    <sheetView workbookViewId="0"/>
  </sheetViews>
  <sheetFormatPr defaultRowHeight="14.25" x14ac:dyDescent="0.2"/>
  <cols>
    <col min="2" max="2" width="58.25" bestFit="1" customWidth="1"/>
    <col min="3" max="3" width="33.875" bestFit="1" customWidth="1"/>
    <col min="4" max="4" width="14.375" style="4" bestFit="1" customWidth="1"/>
    <col min="5" max="5" width="9" style="4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G2">
        <v>0</v>
      </c>
    </row>
    <row r="3" spans="1:7" ht="15" x14ac:dyDescent="0.2">
      <c r="A3">
        <v>1</v>
      </c>
      <c r="B3" s="1" t="s">
        <v>2</v>
      </c>
      <c r="C3" t="s">
        <v>2711</v>
      </c>
      <c r="D3" s="4" t="s">
        <v>22</v>
      </c>
      <c r="G3">
        <v>1</v>
      </c>
    </row>
    <row r="4" spans="1:7" ht="15" x14ac:dyDescent="0.2">
      <c r="A4">
        <v>2</v>
      </c>
      <c r="B4" s="1" t="s">
        <v>2689</v>
      </c>
      <c r="C4" t="s">
        <v>2712</v>
      </c>
      <c r="D4" s="4" t="s">
        <v>22</v>
      </c>
      <c r="E4" s="4" t="s">
        <v>22</v>
      </c>
      <c r="F4" t="b">
        <v>0</v>
      </c>
      <c r="G4">
        <v>8</v>
      </c>
    </row>
    <row r="5" spans="1:7" ht="15" x14ac:dyDescent="0.2">
      <c r="A5">
        <v>3</v>
      </c>
      <c r="B5" s="1" t="s">
        <v>2690</v>
      </c>
      <c r="C5" t="s">
        <v>1744</v>
      </c>
      <c r="D5" s="4" t="s">
        <v>22</v>
      </c>
      <c r="E5" s="4" t="s">
        <v>22</v>
      </c>
      <c r="G5">
        <v>31</v>
      </c>
    </row>
    <row r="6" spans="1:7" ht="15" x14ac:dyDescent="0.2">
      <c r="A6">
        <v>4</v>
      </c>
      <c r="B6" s="1" t="s">
        <v>2691</v>
      </c>
      <c r="C6" t="s">
        <v>2713</v>
      </c>
      <c r="D6" s="4" t="s">
        <v>22</v>
      </c>
      <c r="E6" s="4" t="s">
        <v>22</v>
      </c>
      <c r="G6">
        <v>10</v>
      </c>
    </row>
    <row r="7" spans="1:7" ht="15" x14ac:dyDescent="0.2">
      <c r="A7">
        <v>5</v>
      </c>
      <c r="B7" s="1" t="s">
        <v>2692</v>
      </c>
      <c r="C7" t="s">
        <v>2716</v>
      </c>
      <c r="D7" s="4" t="s">
        <v>22</v>
      </c>
      <c r="E7" s="4" t="s">
        <v>22</v>
      </c>
      <c r="G7">
        <v>13</v>
      </c>
    </row>
    <row r="8" spans="1:7" ht="15" x14ac:dyDescent="0.2">
      <c r="A8">
        <v>6</v>
      </c>
      <c r="B8" s="1" t="s">
        <v>2693</v>
      </c>
      <c r="C8" t="s">
        <v>2741</v>
      </c>
      <c r="D8" s="4" t="s">
        <v>22</v>
      </c>
      <c r="E8" s="4" t="s">
        <v>22</v>
      </c>
      <c r="G8">
        <v>16</v>
      </c>
    </row>
    <row r="9" spans="1:7" ht="15" x14ac:dyDescent="0.2">
      <c r="A9">
        <v>7</v>
      </c>
      <c r="B9" s="1" t="s">
        <v>2694</v>
      </c>
      <c r="C9" t="s">
        <v>2740</v>
      </c>
      <c r="D9" s="4" t="s">
        <v>22</v>
      </c>
      <c r="E9" s="4" t="s">
        <v>22</v>
      </c>
      <c r="G9">
        <v>21</v>
      </c>
    </row>
    <row r="10" spans="1:7" ht="15" x14ac:dyDescent="0.2">
      <c r="A10">
        <v>8</v>
      </c>
      <c r="B10" s="1" t="s">
        <v>2695</v>
      </c>
      <c r="C10" t="s">
        <v>2739</v>
      </c>
      <c r="D10" s="4" t="s">
        <v>22</v>
      </c>
      <c r="E10" s="4" t="s">
        <v>22</v>
      </c>
      <c r="G10">
        <v>24</v>
      </c>
    </row>
    <row r="11" spans="1:7" ht="15" x14ac:dyDescent="0.2">
      <c r="A11">
        <v>9</v>
      </c>
      <c r="B11" s="1" t="s">
        <v>2696</v>
      </c>
      <c r="C11" t="s">
        <v>2738</v>
      </c>
      <c r="D11" s="4" t="s">
        <v>22</v>
      </c>
      <c r="E11" s="4" t="s">
        <v>22</v>
      </c>
      <c r="G11">
        <v>27</v>
      </c>
    </row>
    <row r="12" spans="1:7" ht="15" x14ac:dyDescent="0.2">
      <c r="A12">
        <v>10</v>
      </c>
      <c r="B12" s="1" t="s">
        <v>2697</v>
      </c>
      <c r="C12" t="s">
        <v>2742</v>
      </c>
      <c r="D12" s="4" t="s">
        <v>22</v>
      </c>
      <c r="E12" s="4" t="s">
        <v>22</v>
      </c>
      <c r="G12">
        <v>30</v>
      </c>
    </row>
    <row r="13" spans="1:7" ht="15" x14ac:dyDescent="0.2">
      <c r="A13">
        <v>11</v>
      </c>
      <c r="B13" s="1" t="s">
        <v>2698</v>
      </c>
      <c r="C13" t="s">
        <v>2743</v>
      </c>
      <c r="D13" s="4" t="s">
        <v>22</v>
      </c>
      <c r="E13" s="4" t="s">
        <v>22</v>
      </c>
      <c r="G13">
        <v>9</v>
      </c>
    </row>
    <row r="14" spans="1:7" ht="15" x14ac:dyDescent="0.2">
      <c r="A14">
        <v>12</v>
      </c>
      <c r="B14" s="1" t="s">
        <v>2699</v>
      </c>
      <c r="C14" t="s">
        <v>2744</v>
      </c>
      <c r="D14" s="4" t="s">
        <v>22</v>
      </c>
      <c r="E14" s="4" t="s">
        <v>22</v>
      </c>
      <c r="G14">
        <v>37</v>
      </c>
    </row>
    <row r="15" spans="1:7" ht="15" x14ac:dyDescent="0.2">
      <c r="A15">
        <v>13</v>
      </c>
      <c r="B15" s="1" t="s">
        <v>2700</v>
      </c>
      <c r="C15" t="s">
        <v>2749</v>
      </c>
      <c r="D15" s="4" t="s">
        <v>22</v>
      </c>
      <c r="E15" s="4" t="s">
        <v>22</v>
      </c>
      <c r="G15">
        <v>19</v>
      </c>
    </row>
    <row r="16" spans="1:7" ht="15" x14ac:dyDescent="0.2">
      <c r="A16">
        <v>14</v>
      </c>
      <c r="B16" s="1" t="s">
        <v>2701</v>
      </c>
      <c r="C16" t="s">
        <v>2750</v>
      </c>
      <c r="D16" s="4" t="s">
        <v>22</v>
      </c>
      <c r="E16" s="4" t="s">
        <v>22</v>
      </c>
      <c r="F16" t="b">
        <v>0</v>
      </c>
      <c r="G16">
        <v>7</v>
      </c>
    </row>
    <row r="17" spans="1:7" ht="15" x14ac:dyDescent="0.2">
      <c r="A17">
        <v>15</v>
      </c>
      <c r="B17" s="1" t="s">
        <v>2471</v>
      </c>
      <c r="C17" t="s">
        <v>867</v>
      </c>
      <c r="D17" s="4" t="s">
        <v>22</v>
      </c>
      <c r="E17" s="4" t="s">
        <v>22</v>
      </c>
      <c r="G17">
        <v>2</v>
      </c>
    </row>
    <row r="18" spans="1:7" ht="15" x14ac:dyDescent="0.2">
      <c r="A18">
        <v>16</v>
      </c>
      <c r="B18" s="1" t="s">
        <v>2702</v>
      </c>
      <c r="C18" t="s">
        <v>843</v>
      </c>
      <c r="D18" s="4" t="s">
        <v>22</v>
      </c>
      <c r="E18" s="4" t="s">
        <v>22</v>
      </c>
      <c r="G18">
        <v>32</v>
      </c>
    </row>
    <row r="19" spans="1:7" ht="15" x14ac:dyDescent="0.2">
      <c r="A19">
        <v>17</v>
      </c>
      <c r="B19" s="1" t="s">
        <v>2703</v>
      </c>
      <c r="C19" t="s">
        <v>2751</v>
      </c>
      <c r="D19" s="4" t="s">
        <v>22</v>
      </c>
      <c r="E19" s="4" t="s">
        <v>22</v>
      </c>
      <c r="G19">
        <v>40</v>
      </c>
    </row>
    <row r="20" spans="1:7" ht="15" x14ac:dyDescent="0.2">
      <c r="A20">
        <v>18</v>
      </c>
      <c r="B20" s="1" t="s">
        <v>2704</v>
      </c>
      <c r="C20" t="s">
        <v>2752</v>
      </c>
      <c r="D20" s="4" t="s">
        <v>22</v>
      </c>
      <c r="E20" s="4" t="s">
        <v>22</v>
      </c>
      <c r="G20">
        <v>41</v>
      </c>
    </row>
    <row r="21" spans="1:7" ht="15" x14ac:dyDescent="0.2">
      <c r="A21">
        <v>19</v>
      </c>
      <c r="B21" s="1" t="s">
        <v>2501</v>
      </c>
      <c r="C21" t="s">
        <v>1757</v>
      </c>
      <c r="D21" s="4" t="s">
        <v>22</v>
      </c>
      <c r="G21">
        <v>42</v>
      </c>
    </row>
    <row r="22" spans="1:7" ht="15" x14ac:dyDescent="0.2">
      <c r="A22">
        <v>20</v>
      </c>
      <c r="B22" s="1" t="s">
        <v>2705</v>
      </c>
      <c r="C22" t="s">
        <v>2754</v>
      </c>
      <c r="D22" s="4" t="s">
        <v>22</v>
      </c>
      <c r="E22" s="4" t="s">
        <v>22</v>
      </c>
      <c r="G22">
        <v>43</v>
      </c>
    </row>
    <row r="23" spans="1:7" ht="15" x14ac:dyDescent="0.2">
      <c r="A23">
        <v>21</v>
      </c>
      <c r="B23" s="1" t="s">
        <v>2706</v>
      </c>
      <c r="C23" t="s">
        <v>2753</v>
      </c>
      <c r="D23" s="4" t="s">
        <v>22</v>
      </c>
      <c r="E23" s="4" t="s">
        <v>22</v>
      </c>
      <c r="G23">
        <v>44</v>
      </c>
    </row>
    <row r="24" spans="1:7" ht="15" x14ac:dyDescent="0.2">
      <c r="A24">
        <v>22</v>
      </c>
      <c r="B24" s="1" t="s">
        <v>2707</v>
      </c>
      <c r="C24" t="s">
        <v>2755</v>
      </c>
      <c r="D24" s="4" t="s">
        <v>22</v>
      </c>
      <c r="E24" s="4" t="s">
        <v>22</v>
      </c>
      <c r="G24">
        <v>45</v>
      </c>
    </row>
    <row r="25" spans="1:7" ht="15" x14ac:dyDescent="0.2">
      <c r="A25">
        <v>23</v>
      </c>
      <c r="B25" s="1" t="s">
        <v>2708</v>
      </c>
      <c r="C25" t="s">
        <v>2756</v>
      </c>
      <c r="D25" s="4" t="s">
        <v>22</v>
      </c>
      <c r="E25" s="4" t="s">
        <v>22</v>
      </c>
      <c r="G25">
        <v>46</v>
      </c>
    </row>
    <row r="26" spans="1:7" ht="15" x14ac:dyDescent="0.2">
      <c r="A26">
        <v>24</v>
      </c>
      <c r="B26" s="1" t="s">
        <v>2709</v>
      </c>
      <c r="C26" t="s">
        <v>2757</v>
      </c>
      <c r="D26" s="4" t="s">
        <v>22</v>
      </c>
      <c r="E26" s="4" t="s">
        <v>22</v>
      </c>
      <c r="G26">
        <v>47</v>
      </c>
    </row>
    <row r="27" spans="1:7" ht="15" x14ac:dyDescent="0.2">
      <c r="A27">
        <v>25</v>
      </c>
      <c r="B27" s="1" t="s">
        <v>2710</v>
      </c>
      <c r="C27" t="s">
        <v>2758</v>
      </c>
      <c r="D27" s="4" t="s">
        <v>22</v>
      </c>
      <c r="E27" s="4" t="s">
        <v>22</v>
      </c>
      <c r="G27">
        <v>20</v>
      </c>
    </row>
    <row r="28" spans="1:7" ht="15" x14ac:dyDescent="0.2">
      <c r="A28">
        <v>26</v>
      </c>
      <c r="B28" s="1" t="s">
        <v>2101</v>
      </c>
      <c r="C28" t="s">
        <v>2759</v>
      </c>
      <c r="D28" s="4" t="s">
        <v>22</v>
      </c>
      <c r="E28" s="4" t="s">
        <v>22</v>
      </c>
      <c r="G28">
        <v>48</v>
      </c>
    </row>
    <row r="29" spans="1:7" ht="15" x14ac:dyDescent="0.2">
      <c r="A29">
        <v>27</v>
      </c>
      <c r="B29" s="6" t="s">
        <v>2714</v>
      </c>
      <c r="C29" t="s">
        <v>2719</v>
      </c>
      <c r="E29" s="4" t="s">
        <v>22</v>
      </c>
      <c r="G29">
        <v>11</v>
      </c>
    </row>
    <row r="30" spans="1:7" ht="15" x14ac:dyDescent="0.2">
      <c r="A30">
        <v>28</v>
      </c>
      <c r="B30" s="6" t="s">
        <v>2715</v>
      </c>
      <c r="C30" t="s">
        <v>2720</v>
      </c>
      <c r="E30" s="4" t="s">
        <v>22</v>
      </c>
      <c r="G30">
        <v>12</v>
      </c>
    </row>
    <row r="31" spans="1:7" ht="15" x14ac:dyDescent="0.2">
      <c r="A31">
        <v>29</v>
      </c>
      <c r="B31" s="6" t="s">
        <v>2717</v>
      </c>
      <c r="C31" t="s">
        <v>2721</v>
      </c>
      <c r="E31" s="4" t="s">
        <v>22</v>
      </c>
      <c r="G31">
        <v>14</v>
      </c>
    </row>
    <row r="32" spans="1:7" ht="15" x14ac:dyDescent="0.2">
      <c r="A32">
        <v>30</v>
      </c>
      <c r="B32" s="6" t="s">
        <v>2718</v>
      </c>
      <c r="C32" t="s">
        <v>2722</v>
      </c>
      <c r="E32" s="4" t="s">
        <v>22</v>
      </c>
      <c r="G32">
        <v>15</v>
      </c>
    </row>
    <row r="33" spans="1:7" ht="15" x14ac:dyDescent="0.2">
      <c r="A33">
        <v>31</v>
      </c>
      <c r="B33" s="6" t="s">
        <v>2723</v>
      </c>
      <c r="C33" t="s">
        <v>2724</v>
      </c>
      <c r="E33" s="4" t="s">
        <v>22</v>
      </c>
      <c r="G33">
        <v>17</v>
      </c>
    </row>
    <row r="34" spans="1:7" ht="15" x14ac:dyDescent="0.2">
      <c r="A34">
        <v>32</v>
      </c>
      <c r="B34" s="6" t="s">
        <v>2933</v>
      </c>
      <c r="C34" t="s">
        <v>2725</v>
      </c>
      <c r="E34" s="4" t="s">
        <v>22</v>
      </c>
      <c r="G34">
        <v>18</v>
      </c>
    </row>
    <row r="35" spans="1:7" ht="15" x14ac:dyDescent="0.2">
      <c r="A35">
        <v>33</v>
      </c>
      <c r="B35" s="6" t="s">
        <v>2726</v>
      </c>
      <c r="C35" t="s">
        <v>2728</v>
      </c>
      <c r="E35" s="4" t="s">
        <v>22</v>
      </c>
      <c r="G35">
        <v>22</v>
      </c>
    </row>
    <row r="36" spans="1:7" ht="15" x14ac:dyDescent="0.2">
      <c r="A36">
        <v>34</v>
      </c>
      <c r="B36" s="6" t="s">
        <v>2727</v>
      </c>
      <c r="C36" t="s">
        <v>2729</v>
      </c>
      <c r="E36" s="4" t="s">
        <v>22</v>
      </c>
      <c r="G36">
        <v>23</v>
      </c>
    </row>
    <row r="37" spans="1:7" ht="15" x14ac:dyDescent="0.2">
      <c r="A37">
        <v>35</v>
      </c>
      <c r="B37" s="6" t="s">
        <v>2731</v>
      </c>
      <c r="C37" t="s">
        <v>2732</v>
      </c>
      <c r="E37" s="4" t="s">
        <v>22</v>
      </c>
      <c r="G37">
        <v>25</v>
      </c>
    </row>
    <row r="38" spans="1:7" ht="15" x14ac:dyDescent="0.2">
      <c r="A38">
        <v>36</v>
      </c>
      <c r="B38" s="6" t="s">
        <v>2730</v>
      </c>
      <c r="C38" t="s">
        <v>2733</v>
      </c>
      <c r="E38" s="4" t="s">
        <v>22</v>
      </c>
      <c r="G38">
        <v>26</v>
      </c>
    </row>
    <row r="39" spans="1:7" ht="15" x14ac:dyDescent="0.2">
      <c r="A39">
        <v>37</v>
      </c>
      <c r="B39" s="6" t="s">
        <v>2734</v>
      </c>
      <c r="C39" t="s">
        <v>2736</v>
      </c>
      <c r="E39" s="4" t="s">
        <v>22</v>
      </c>
      <c r="G39">
        <v>28</v>
      </c>
    </row>
    <row r="40" spans="1:7" ht="15" x14ac:dyDescent="0.2">
      <c r="A40">
        <v>38</v>
      </c>
      <c r="B40" s="6" t="s">
        <v>2735</v>
      </c>
      <c r="C40" t="s">
        <v>2737</v>
      </c>
      <c r="E40" s="4" t="s">
        <v>22</v>
      </c>
      <c r="G40">
        <v>29</v>
      </c>
    </row>
    <row r="41" spans="1:7" ht="15" x14ac:dyDescent="0.2">
      <c r="A41">
        <v>39</v>
      </c>
      <c r="B41" s="6" t="s">
        <v>2745</v>
      </c>
      <c r="C41" t="s">
        <v>2748</v>
      </c>
      <c r="E41" s="4" t="s">
        <v>22</v>
      </c>
      <c r="G41">
        <v>38</v>
      </c>
    </row>
    <row r="42" spans="1:7" ht="15" x14ac:dyDescent="0.2">
      <c r="A42">
        <v>40</v>
      </c>
      <c r="B42" s="6" t="s">
        <v>2746</v>
      </c>
      <c r="C42" t="s">
        <v>2747</v>
      </c>
      <c r="E42" s="4" t="s">
        <v>22</v>
      </c>
      <c r="G42">
        <v>39</v>
      </c>
    </row>
    <row r="43" spans="1:7" ht="15" x14ac:dyDescent="0.2">
      <c r="A43">
        <v>41</v>
      </c>
      <c r="B43" s="6" t="s">
        <v>2487</v>
      </c>
      <c r="C43" t="s">
        <v>868</v>
      </c>
      <c r="E43" s="4" t="s">
        <v>22</v>
      </c>
      <c r="G43">
        <v>3</v>
      </c>
    </row>
    <row r="44" spans="1:7" ht="15" x14ac:dyDescent="0.2">
      <c r="A44">
        <v>42</v>
      </c>
      <c r="B44" s="6" t="s">
        <v>2488</v>
      </c>
      <c r="C44" t="s">
        <v>869</v>
      </c>
      <c r="E44" s="4" t="s">
        <v>22</v>
      </c>
      <c r="G44">
        <v>5</v>
      </c>
    </row>
    <row r="45" spans="1:7" ht="15" x14ac:dyDescent="0.2">
      <c r="A45">
        <v>43</v>
      </c>
      <c r="B45" s="6" t="s">
        <v>2935</v>
      </c>
      <c r="C45" t="s">
        <v>2936</v>
      </c>
      <c r="G45">
        <v>4</v>
      </c>
    </row>
    <row r="46" spans="1:7" ht="15" x14ac:dyDescent="0.2">
      <c r="A46">
        <v>44</v>
      </c>
      <c r="B46" s="6" t="s">
        <v>2934</v>
      </c>
      <c r="C46" t="s">
        <v>2937</v>
      </c>
      <c r="G46">
        <v>6</v>
      </c>
    </row>
    <row r="47" spans="1:7" ht="15" x14ac:dyDescent="0.2">
      <c r="A47">
        <v>45</v>
      </c>
      <c r="B47" s="6" t="s">
        <v>2760</v>
      </c>
      <c r="C47" t="s">
        <v>846</v>
      </c>
      <c r="G47">
        <v>33</v>
      </c>
    </row>
    <row r="48" spans="1:7" ht="15" x14ac:dyDescent="0.2">
      <c r="A48">
        <v>46</v>
      </c>
      <c r="B48" s="6" t="s">
        <v>2761</v>
      </c>
      <c r="C48" t="s">
        <v>847</v>
      </c>
      <c r="G48">
        <v>35</v>
      </c>
    </row>
    <row r="49" spans="1:7" ht="15" x14ac:dyDescent="0.2">
      <c r="A49">
        <v>47</v>
      </c>
      <c r="B49" s="6" t="s">
        <v>2762</v>
      </c>
      <c r="C49" t="s">
        <v>1273</v>
      </c>
      <c r="G49">
        <v>34</v>
      </c>
    </row>
    <row r="50" spans="1:7" ht="15" x14ac:dyDescent="0.2">
      <c r="A50">
        <v>48</v>
      </c>
      <c r="B50" s="6" t="s">
        <v>2763</v>
      </c>
      <c r="C50" t="s">
        <v>2498</v>
      </c>
      <c r="G50">
        <v>36</v>
      </c>
    </row>
    <row r="51" spans="1:7" ht="15" x14ac:dyDescent="0.2">
      <c r="A51">
        <v>49</v>
      </c>
      <c r="B51" s="1" t="s">
        <v>2172</v>
      </c>
      <c r="C51" t="s">
        <v>2684</v>
      </c>
      <c r="D51" s="4" t="s">
        <v>22</v>
      </c>
      <c r="E51" s="4" t="s">
        <v>22</v>
      </c>
      <c r="G51">
        <v>49</v>
      </c>
    </row>
  </sheetData>
  <sortState xmlns:xlrd2="http://schemas.microsoft.com/office/spreadsheetml/2017/richdata2" ref="A2:G51">
    <sortCondition ref="A1:A51"/>
  </sortState>
  <phoneticPr fontId="2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22C9-2D95-4069-BA3C-DDFB1C7F608D}">
  <sheetPr codeName="Sheet30"/>
  <dimension ref="A1:G11"/>
  <sheetViews>
    <sheetView workbookViewId="0"/>
  </sheetViews>
  <sheetFormatPr defaultRowHeight="14.25" x14ac:dyDescent="0.2"/>
  <cols>
    <col min="2" max="2" width="39.375" bestFit="1" customWidth="1"/>
    <col min="3" max="3" width="27.62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G2">
        <v>0</v>
      </c>
    </row>
    <row r="3" spans="1:7" ht="15" x14ac:dyDescent="0.2">
      <c r="A3">
        <v>1</v>
      </c>
      <c r="B3" s="1" t="s">
        <v>2764</v>
      </c>
      <c r="C3" t="s">
        <v>2765</v>
      </c>
      <c r="D3" s="4" t="s">
        <v>22</v>
      </c>
      <c r="E3" s="4"/>
      <c r="G3">
        <v>1</v>
      </c>
    </row>
    <row r="4" spans="1:7" ht="15" x14ac:dyDescent="0.2">
      <c r="A4">
        <v>2</v>
      </c>
      <c r="B4" s="1" t="s">
        <v>2682</v>
      </c>
      <c r="C4" t="s">
        <v>2759</v>
      </c>
      <c r="D4" s="4" t="s">
        <v>22</v>
      </c>
      <c r="E4" s="4"/>
      <c r="G4">
        <v>4</v>
      </c>
    </row>
    <row r="5" spans="1:7" ht="15" x14ac:dyDescent="0.2">
      <c r="A5">
        <v>3</v>
      </c>
      <c r="B5" s="6" t="s">
        <v>2766</v>
      </c>
      <c r="C5" t="s">
        <v>2768</v>
      </c>
      <c r="D5" s="4"/>
      <c r="E5" s="4"/>
      <c r="G5">
        <v>2</v>
      </c>
    </row>
    <row r="6" spans="1:7" ht="15" x14ac:dyDescent="0.2">
      <c r="A6">
        <v>4</v>
      </c>
      <c r="B6" s="6" t="s">
        <v>2767</v>
      </c>
      <c r="C6" t="s">
        <v>2769</v>
      </c>
      <c r="D6" s="4"/>
      <c r="E6" s="4"/>
      <c r="G6">
        <v>3</v>
      </c>
    </row>
    <row r="7" spans="1:7" ht="15" x14ac:dyDescent="0.2">
      <c r="A7">
        <v>5</v>
      </c>
      <c r="B7" s="1" t="s">
        <v>2172</v>
      </c>
      <c r="C7" t="s">
        <v>2684</v>
      </c>
      <c r="D7" s="4" t="s">
        <v>22</v>
      </c>
      <c r="E7" s="4" t="s">
        <v>22</v>
      </c>
      <c r="G7">
        <v>5</v>
      </c>
    </row>
    <row r="8" spans="1:7" ht="15" x14ac:dyDescent="0.2">
      <c r="B8" s="1"/>
      <c r="D8" s="4"/>
      <c r="E8" s="4"/>
    </row>
    <row r="9" spans="1:7" ht="15" x14ac:dyDescent="0.2">
      <c r="B9" s="1"/>
      <c r="D9" s="4"/>
      <c r="E9" s="4"/>
    </row>
    <row r="10" spans="1:7" ht="15" x14ac:dyDescent="0.2">
      <c r="B10" s="6"/>
    </row>
    <row r="11" spans="1:7" ht="15" x14ac:dyDescent="0.2">
      <c r="B11" s="6"/>
    </row>
  </sheetData>
  <sortState xmlns:xlrd2="http://schemas.microsoft.com/office/spreadsheetml/2017/richdata2" ref="A2:G7">
    <sortCondition ref="A1:A7"/>
  </sortState>
  <phoneticPr fontId="2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45836-CF67-4AC6-AA8E-A2F75421485D}">
  <sheetPr codeName="Sheet31"/>
  <dimension ref="A1:G22"/>
  <sheetViews>
    <sheetView workbookViewId="0"/>
  </sheetViews>
  <sheetFormatPr defaultRowHeight="14.25" x14ac:dyDescent="0.2"/>
  <cols>
    <col min="2" max="2" width="58.25" bestFit="1" customWidth="1"/>
    <col min="3" max="3" width="33.875" bestFit="1" customWidth="1"/>
    <col min="4" max="4" width="14.375" style="4" bestFit="1" customWidth="1"/>
    <col min="5" max="5" width="9" style="4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G2">
        <v>0</v>
      </c>
    </row>
    <row r="3" spans="1:7" ht="15" x14ac:dyDescent="0.2">
      <c r="A3">
        <v>1</v>
      </c>
      <c r="B3" s="1" t="s">
        <v>2</v>
      </c>
      <c r="C3" t="s">
        <v>2775</v>
      </c>
      <c r="D3" s="4" t="s">
        <v>22</v>
      </c>
      <c r="G3">
        <v>1</v>
      </c>
    </row>
    <row r="4" spans="1:7" ht="15" x14ac:dyDescent="0.2">
      <c r="A4">
        <v>2</v>
      </c>
      <c r="B4" s="1" t="s">
        <v>2471</v>
      </c>
      <c r="C4" t="s">
        <v>2776</v>
      </c>
      <c r="D4" s="4" t="s">
        <v>22</v>
      </c>
      <c r="G4">
        <v>2</v>
      </c>
    </row>
    <row r="5" spans="1:7" ht="15" x14ac:dyDescent="0.2">
      <c r="A5">
        <v>3</v>
      </c>
      <c r="B5" s="1" t="s">
        <v>2702</v>
      </c>
      <c r="C5" t="s">
        <v>2777</v>
      </c>
      <c r="D5" s="4" t="s">
        <v>22</v>
      </c>
      <c r="G5">
        <v>10</v>
      </c>
    </row>
    <row r="6" spans="1:7" ht="15" x14ac:dyDescent="0.2">
      <c r="A6">
        <v>4</v>
      </c>
      <c r="B6" s="1" t="s">
        <v>2783</v>
      </c>
      <c r="C6" t="s">
        <v>2778</v>
      </c>
      <c r="D6" s="4" t="s">
        <v>22</v>
      </c>
      <c r="E6" s="4" t="s">
        <v>22</v>
      </c>
      <c r="G6">
        <v>15</v>
      </c>
    </row>
    <row r="7" spans="1:7" ht="15" x14ac:dyDescent="0.2">
      <c r="A7">
        <v>5</v>
      </c>
      <c r="B7" s="1" t="s">
        <v>2501</v>
      </c>
      <c r="C7" t="s">
        <v>1757</v>
      </c>
      <c r="D7" s="4" t="s">
        <v>22</v>
      </c>
      <c r="G7">
        <v>20</v>
      </c>
    </row>
    <row r="8" spans="1:7" ht="15" x14ac:dyDescent="0.2">
      <c r="A8">
        <v>6</v>
      </c>
      <c r="B8" s="1" t="s">
        <v>2770</v>
      </c>
      <c r="C8" t="s">
        <v>2779</v>
      </c>
      <c r="D8" s="4" t="s">
        <v>22</v>
      </c>
      <c r="E8" s="4" t="s">
        <v>22</v>
      </c>
      <c r="G8">
        <v>5</v>
      </c>
    </row>
    <row r="9" spans="1:7" ht="15" x14ac:dyDescent="0.2">
      <c r="A9">
        <v>7</v>
      </c>
      <c r="B9" s="1" t="s">
        <v>2771</v>
      </c>
      <c r="C9" t="s">
        <v>2780</v>
      </c>
      <c r="D9" s="4" t="s">
        <v>22</v>
      </c>
      <c r="E9" s="4" t="s">
        <v>22</v>
      </c>
      <c r="G9">
        <v>6</v>
      </c>
    </row>
    <row r="10" spans="1:7" ht="15" x14ac:dyDescent="0.2">
      <c r="A10">
        <v>8</v>
      </c>
      <c r="B10" s="1" t="s">
        <v>2772</v>
      </c>
      <c r="C10" t="s">
        <v>2796</v>
      </c>
      <c r="D10" s="4" t="s">
        <v>22</v>
      </c>
      <c r="E10" s="4" t="s">
        <v>22</v>
      </c>
      <c r="G10">
        <v>8</v>
      </c>
    </row>
    <row r="11" spans="1:7" ht="15" x14ac:dyDescent="0.2">
      <c r="A11">
        <v>9</v>
      </c>
      <c r="B11" s="1" t="s">
        <v>2773</v>
      </c>
      <c r="C11" t="s">
        <v>2797</v>
      </c>
      <c r="D11" s="4" t="s">
        <v>22</v>
      </c>
      <c r="E11" s="4" t="s">
        <v>22</v>
      </c>
      <c r="G11">
        <v>9</v>
      </c>
    </row>
    <row r="12" spans="1:7" ht="15" x14ac:dyDescent="0.2">
      <c r="A12">
        <v>10</v>
      </c>
      <c r="B12" s="1" t="s">
        <v>2774</v>
      </c>
      <c r="D12" s="4" t="s">
        <v>22</v>
      </c>
      <c r="E12" s="4" t="s">
        <v>22</v>
      </c>
      <c r="F12" t="b">
        <v>0</v>
      </c>
      <c r="G12">
        <v>7</v>
      </c>
    </row>
    <row r="13" spans="1:7" ht="15" x14ac:dyDescent="0.2">
      <c r="A13">
        <v>11</v>
      </c>
      <c r="B13" s="6" t="s">
        <v>2487</v>
      </c>
      <c r="C13" t="s">
        <v>2781</v>
      </c>
      <c r="G13">
        <v>3</v>
      </c>
    </row>
    <row r="14" spans="1:7" ht="15" x14ac:dyDescent="0.2">
      <c r="A14">
        <v>12</v>
      </c>
      <c r="B14" s="6" t="s">
        <v>2488</v>
      </c>
      <c r="C14" t="s">
        <v>2782</v>
      </c>
      <c r="G14">
        <v>4</v>
      </c>
    </row>
    <row r="15" spans="1:7" ht="15" x14ac:dyDescent="0.2">
      <c r="A15">
        <v>13</v>
      </c>
      <c r="B15" s="6" t="s">
        <v>2760</v>
      </c>
      <c r="C15" t="s">
        <v>2788</v>
      </c>
      <c r="G15">
        <v>11</v>
      </c>
    </row>
    <row r="16" spans="1:7" ht="15" x14ac:dyDescent="0.2">
      <c r="A16">
        <v>14</v>
      </c>
      <c r="B16" s="6" t="s">
        <v>2761</v>
      </c>
      <c r="C16" t="s">
        <v>2789</v>
      </c>
      <c r="G16">
        <v>13</v>
      </c>
    </row>
    <row r="17" spans="1:7" ht="15" x14ac:dyDescent="0.2">
      <c r="A17">
        <v>15</v>
      </c>
      <c r="B17" s="6" t="s">
        <v>2762</v>
      </c>
      <c r="C17" t="s">
        <v>2790</v>
      </c>
      <c r="G17">
        <v>12</v>
      </c>
    </row>
    <row r="18" spans="1:7" ht="15" x14ac:dyDescent="0.2">
      <c r="A18">
        <v>16</v>
      </c>
      <c r="B18" s="6" t="s">
        <v>2763</v>
      </c>
      <c r="C18" t="s">
        <v>2791</v>
      </c>
      <c r="G18">
        <v>14</v>
      </c>
    </row>
    <row r="19" spans="1:7" ht="15" x14ac:dyDescent="0.2">
      <c r="A19">
        <v>17</v>
      </c>
      <c r="B19" s="6" t="s">
        <v>2784</v>
      </c>
      <c r="C19" t="s">
        <v>2792</v>
      </c>
      <c r="G19">
        <v>16</v>
      </c>
    </row>
    <row r="20" spans="1:7" ht="15" x14ac:dyDescent="0.2">
      <c r="A20">
        <v>18</v>
      </c>
      <c r="B20" s="6" t="s">
        <v>2785</v>
      </c>
      <c r="C20" t="s">
        <v>2793</v>
      </c>
      <c r="G20">
        <v>18</v>
      </c>
    </row>
    <row r="21" spans="1:7" ht="15" x14ac:dyDescent="0.2">
      <c r="A21">
        <v>19</v>
      </c>
      <c r="B21" s="6" t="s">
        <v>2786</v>
      </c>
      <c r="C21" t="s">
        <v>2794</v>
      </c>
      <c r="G21">
        <v>17</v>
      </c>
    </row>
    <row r="22" spans="1:7" ht="15" x14ac:dyDescent="0.2">
      <c r="A22">
        <v>20</v>
      </c>
      <c r="B22" s="6" t="s">
        <v>2787</v>
      </c>
      <c r="C22" t="s">
        <v>2795</v>
      </c>
      <c r="G22">
        <v>19</v>
      </c>
    </row>
  </sheetData>
  <sortState xmlns:xlrd2="http://schemas.microsoft.com/office/spreadsheetml/2017/richdata2" ref="A2:G22">
    <sortCondition ref="A1:A22"/>
  </sortState>
  <phoneticPr fontId="2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CBD5-4903-4B76-AD7B-5FD2C3CD84EA}">
  <sheetPr codeName="Sheet32"/>
  <dimension ref="A1:G13"/>
  <sheetViews>
    <sheetView workbookViewId="0"/>
  </sheetViews>
  <sheetFormatPr defaultRowHeight="14.25" x14ac:dyDescent="0.2"/>
  <cols>
    <col min="2" max="2" width="54.875" bestFit="1" customWidth="1"/>
    <col min="3" max="3" width="25" bestFit="1" customWidth="1"/>
    <col min="4" max="4" width="14.375" style="4" bestFit="1" customWidth="1"/>
    <col min="5" max="5" width="9" style="4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G2">
        <v>0</v>
      </c>
    </row>
    <row r="3" spans="1:7" ht="15" x14ac:dyDescent="0.2">
      <c r="A3">
        <v>1</v>
      </c>
      <c r="B3" s="1" t="s">
        <v>2635</v>
      </c>
      <c r="C3" t="s">
        <v>2711</v>
      </c>
      <c r="D3" s="4" t="s">
        <v>22</v>
      </c>
      <c r="G3">
        <v>1</v>
      </c>
    </row>
    <row r="4" spans="1:7" ht="15" x14ac:dyDescent="0.2">
      <c r="A4">
        <v>2</v>
      </c>
      <c r="B4" s="1" t="s">
        <v>2914</v>
      </c>
      <c r="C4" t="s">
        <v>2932</v>
      </c>
      <c r="G4">
        <v>2</v>
      </c>
    </row>
    <row r="5" spans="1:7" ht="15" x14ac:dyDescent="0.2">
      <c r="A5">
        <v>3</v>
      </c>
      <c r="B5" s="1" t="s">
        <v>2915</v>
      </c>
      <c r="C5" t="s">
        <v>2923</v>
      </c>
      <c r="D5" s="4" t="s">
        <v>22</v>
      </c>
      <c r="G5">
        <v>3</v>
      </c>
    </row>
    <row r="6" spans="1:7" ht="15" x14ac:dyDescent="0.2">
      <c r="A6">
        <v>4</v>
      </c>
      <c r="B6" s="1" t="s">
        <v>2916</v>
      </c>
      <c r="C6" t="s">
        <v>2924</v>
      </c>
      <c r="D6" s="4" t="s">
        <v>22</v>
      </c>
      <c r="G6">
        <v>4</v>
      </c>
    </row>
    <row r="7" spans="1:7" ht="15" x14ac:dyDescent="0.2">
      <c r="A7">
        <v>5</v>
      </c>
      <c r="B7" s="1" t="s">
        <v>2917</v>
      </c>
      <c r="C7" t="s">
        <v>2925</v>
      </c>
      <c r="D7" s="4" t="s">
        <v>22</v>
      </c>
      <c r="G7">
        <v>5</v>
      </c>
    </row>
    <row r="8" spans="1:7" ht="15" x14ac:dyDescent="0.2">
      <c r="A8">
        <v>6</v>
      </c>
      <c r="B8" s="1" t="s">
        <v>2918</v>
      </c>
      <c r="C8" t="s">
        <v>2926</v>
      </c>
      <c r="D8" s="4" t="s">
        <v>22</v>
      </c>
      <c r="G8">
        <v>6</v>
      </c>
    </row>
    <row r="9" spans="1:7" ht="15" x14ac:dyDescent="0.2">
      <c r="A9">
        <v>7</v>
      </c>
      <c r="B9" s="1" t="s">
        <v>2645</v>
      </c>
      <c r="C9" t="s">
        <v>2927</v>
      </c>
      <c r="D9" s="4" t="s">
        <v>22</v>
      </c>
      <c r="E9" s="4" t="s">
        <v>22</v>
      </c>
      <c r="G9">
        <v>8</v>
      </c>
    </row>
    <row r="10" spans="1:7" ht="15" x14ac:dyDescent="0.2">
      <c r="A10">
        <v>8</v>
      </c>
      <c r="B10" s="1" t="s">
        <v>2919</v>
      </c>
      <c r="C10" t="s">
        <v>2928</v>
      </c>
      <c r="D10" s="4" t="s">
        <v>22</v>
      </c>
      <c r="E10" s="4" t="s">
        <v>22</v>
      </c>
      <c r="G10">
        <v>11</v>
      </c>
    </row>
    <row r="11" spans="1:7" ht="15" x14ac:dyDescent="0.2">
      <c r="A11">
        <v>9</v>
      </c>
      <c r="B11" s="6" t="s">
        <v>2920</v>
      </c>
      <c r="C11" t="s">
        <v>2929</v>
      </c>
      <c r="G11">
        <v>7</v>
      </c>
    </row>
    <row r="12" spans="1:7" ht="15" x14ac:dyDescent="0.2">
      <c r="A12">
        <v>10</v>
      </c>
      <c r="B12" s="6" t="s">
        <v>2921</v>
      </c>
      <c r="C12" t="s">
        <v>2930</v>
      </c>
      <c r="E12" s="4" t="s">
        <v>22</v>
      </c>
      <c r="G12">
        <v>9</v>
      </c>
    </row>
    <row r="13" spans="1:7" ht="15" x14ac:dyDescent="0.2">
      <c r="A13">
        <v>11</v>
      </c>
      <c r="B13" s="6" t="s">
        <v>2922</v>
      </c>
      <c r="C13" t="s">
        <v>2931</v>
      </c>
      <c r="E13" s="4" t="s">
        <v>22</v>
      </c>
      <c r="G13">
        <v>10</v>
      </c>
    </row>
  </sheetData>
  <sortState xmlns:xlrd2="http://schemas.microsoft.com/office/spreadsheetml/2017/richdata2" ref="A2:G13">
    <sortCondition ref="A1:A13"/>
  </sortState>
  <phoneticPr fontId="2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FC06-5BD2-40F9-AAC9-8F399DCA30B2}">
  <sheetPr codeName="Sheet33"/>
  <dimension ref="A1:G10"/>
  <sheetViews>
    <sheetView workbookViewId="0"/>
  </sheetViews>
  <sheetFormatPr defaultRowHeight="14.25" x14ac:dyDescent="0.2"/>
  <cols>
    <col min="2" max="2" width="38.25" bestFit="1" customWidth="1"/>
    <col min="3" max="3" width="17.25" bestFit="1" customWidth="1"/>
    <col min="4" max="4" width="14.375" style="4" bestFit="1" customWidth="1"/>
    <col min="5" max="5" width="9" style="4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G2">
        <v>0</v>
      </c>
    </row>
    <row r="3" spans="1:7" ht="15" x14ac:dyDescent="0.2">
      <c r="A3">
        <v>1</v>
      </c>
      <c r="B3" s="1" t="s">
        <v>2798</v>
      </c>
      <c r="C3" t="s">
        <v>2711</v>
      </c>
      <c r="D3" s="4" t="s">
        <v>22</v>
      </c>
      <c r="G3">
        <v>1</v>
      </c>
    </row>
    <row r="4" spans="1:7" ht="15" x14ac:dyDescent="0.2">
      <c r="A4">
        <v>2</v>
      </c>
      <c r="B4" s="1" t="s">
        <v>2799</v>
      </c>
      <c r="C4" t="s">
        <v>2742</v>
      </c>
      <c r="D4" s="4" t="s">
        <v>22</v>
      </c>
      <c r="E4" s="4" t="s">
        <v>22</v>
      </c>
      <c r="G4">
        <v>2</v>
      </c>
    </row>
    <row r="5" spans="1:7" ht="15" x14ac:dyDescent="0.2">
      <c r="A5">
        <v>3</v>
      </c>
      <c r="B5" s="1" t="s">
        <v>2800</v>
      </c>
      <c r="C5" t="s">
        <v>2803</v>
      </c>
      <c r="D5" s="4" t="s">
        <v>22</v>
      </c>
      <c r="G5">
        <v>3</v>
      </c>
    </row>
    <row r="6" spans="1:7" ht="15" x14ac:dyDescent="0.2">
      <c r="A6">
        <v>4</v>
      </c>
      <c r="B6" s="1" t="s">
        <v>2801</v>
      </c>
      <c r="C6" t="s">
        <v>2802</v>
      </c>
      <c r="D6" s="4" t="s">
        <v>22</v>
      </c>
      <c r="G6">
        <v>4</v>
      </c>
    </row>
    <row r="7" spans="1:7" ht="15" x14ac:dyDescent="0.2">
      <c r="B7" s="1"/>
    </row>
    <row r="8" spans="1:7" ht="15" x14ac:dyDescent="0.2">
      <c r="B8" s="1"/>
    </row>
    <row r="9" spans="1:7" ht="15" x14ac:dyDescent="0.2">
      <c r="B9" s="6"/>
    </row>
    <row r="10" spans="1:7" ht="15" x14ac:dyDescent="0.2">
      <c r="B10" s="6"/>
    </row>
  </sheetData>
  <phoneticPr fontId="2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71D7-60DD-4BDD-A755-73C9A47CE710}">
  <sheetPr codeName="Sheet14"/>
  <dimension ref="A1:G10"/>
  <sheetViews>
    <sheetView workbookViewId="0"/>
  </sheetViews>
  <sheetFormatPr defaultRowHeight="14.25" x14ac:dyDescent="0.2"/>
  <cols>
    <col min="2" max="2" width="32.75" bestFit="1" customWidth="1"/>
    <col min="3" max="3" width="17.2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G2">
        <v>0</v>
      </c>
    </row>
    <row r="3" spans="1:7" ht="15" x14ac:dyDescent="0.2">
      <c r="A3">
        <v>1</v>
      </c>
      <c r="B3" s="1" t="s">
        <v>2501</v>
      </c>
      <c r="C3" t="s">
        <v>2229</v>
      </c>
      <c r="D3" s="4" t="s">
        <v>22</v>
      </c>
      <c r="E3" s="4"/>
      <c r="G3">
        <v>6</v>
      </c>
    </row>
    <row r="4" spans="1:7" ht="15" x14ac:dyDescent="0.2">
      <c r="A4">
        <v>2</v>
      </c>
      <c r="B4" s="1" t="s">
        <v>2558</v>
      </c>
      <c r="C4" t="s">
        <v>2230</v>
      </c>
      <c r="D4" s="4" t="s">
        <v>22</v>
      </c>
      <c r="E4" s="4"/>
      <c r="G4">
        <v>1</v>
      </c>
    </row>
    <row r="5" spans="1:7" ht="15" x14ac:dyDescent="0.2">
      <c r="A5">
        <v>3</v>
      </c>
      <c r="B5" s="1" t="s">
        <v>2559</v>
      </c>
      <c r="C5" t="s">
        <v>2233</v>
      </c>
      <c r="D5" s="4" t="s">
        <v>22</v>
      </c>
      <c r="E5" s="4"/>
      <c r="G5">
        <v>4</v>
      </c>
    </row>
    <row r="6" spans="1:7" ht="15" x14ac:dyDescent="0.2">
      <c r="A6">
        <v>4</v>
      </c>
      <c r="B6" s="1" t="s">
        <v>2560</v>
      </c>
      <c r="C6" t="s">
        <v>2234</v>
      </c>
      <c r="D6" s="4" t="s">
        <v>22</v>
      </c>
      <c r="E6" s="4" t="s">
        <v>22</v>
      </c>
      <c r="G6">
        <v>5</v>
      </c>
    </row>
    <row r="7" spans="1:7" ht="15" x14ac:dyDescent="0.2">
      <c r="A7">
        <v>5</v>
      </c>
      <c r="B7" s="1" t="s">
        <v>2561</v>
      </c>
      <c r="C7" t="s">
        <v>2235</v>
      </c>
      <c r="D7" s="4" t="s">
        <v>22</v>
      </c>
      <c r="E7" s="4" t="s">
        <v>22</v>
      </c>
      <c r="G7">
        <v>7</v>
      </c>
    </row>
    <row r="8" spans="1:7" ht="15" x14ac:dyDescent="0.2">
      <c r="A8">
        <v>6</v>
      </c>
      <c r="B8" s="1" t="s">
        <v>2562</v>
      </c>
      <c r="C8" t="s">
        <v>2236</v>
      </c>
      <c r="D8" s="4" t="s">
        <v>22</v>
      </c>
      <c r="E8" s="4" t="s">
        <v>22</v>
      </c>
      <c r="G8">
        <v>8</v>
      </c>
    </row>
    <row r="9" spans="1:7" ht="15" x14ac:dyDescent="0.2">
      <c r="A9">
        <v>7</v>
      </c>
      <c r="B9" s="6" t="s">
        <v>2563</v>
      </c>
      <c r="C9" t="s">
        <v>2231</v>
      </c>
      <c r="G9">
        <v>2</v>
      </c>
    </row>
    <row r="10" spans="1:7" ht="15" x14ac:dyDescent="0.2">
      <c r="A10">
        <v>8</v>
      </c>
      <c r="B10" s="6" t="s">
        <v>2564</v>
      </c>
      <c r="C10" t="s">
        <v>2232</v>
      </c>
      <c r="G10">
        <v>3</v>
      </c>
    </row>
  </sheetData>
  <sortState xmlns:xlrd2="http://schemas.microsoft.com/office/spreadsheetml/2017/richdata2" ref="A2:G10">
    <sortCondition ref="A1:A10"/>
  </sortState>
  <phoneticPr fontId="2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2B18-32F2-44AB-BEB9-1A4D38FC3321}">
  <sheetPr codeName="Sheet42"/>
  <dimension ref="A1:F29"/>
  <sheetViews>
    <sheetView workbookViewId="0"/>
  </sheetViews>
  <sheetFormatPr defaultRowHeight="14.25" x14ac:dyDescent="0.2"/>
  <cols>
    <col min="2" max="2" width="25" bestFit="1" customWidth="1"/>
    <col min="3" max="3" width="17.25" bestFit="1" customWidth="1"/>
    <col min="4" max="4" width="14.375" bestFit="1" customWidth="1"/>
  </cols>
  <sheetData>
    <row r="1" spans="1:6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21</v>
      </c>
    </row>
    <row r="2" spans="1:6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F2">
        <v>0</v>
      </c>
    </row>
    <row r="3" spans="1:6" ht="15" x14ac:dyDescent="0.2">
      <c r="A3">
        <v>1</v>
      </c>
      <c r="B3" s="1" t="s">
        <v>2635</v>
      </c>
      <c r="C3" t="s">
        <v>2711</v>
      </c>
      <c r="D3" s="4" t="s">
        <v>22</v>
      </c>
      <c r="E3" s="4"/>
      <c r="F3">
        <v>1</v>
      </c>
    </row>
    <row r="4" spans="1:6" ht="15" x14ac:dyDescent="0.2">
      <c r="A4">
        <v>2</v>
      </c>
      <c r="B4" s="1" t="s">
        <v>3545</v>
      </c>
      <c r="C4" t="s">
        <v>3555</v>
      </c>
      <c r="D4" s="4" t="s">
        <v>22</v>
      </c>
      <c r="E4" s="4"/>
      <c r="F4">
        <v>2</v>
      </c>
    </row>
    <row r="5" spans="1:6" ht="15" x14ac:dyDescent="0.2">
      <c r="A5">
        <v>3</v>
      </c>
      <c r="B5" s="1" t="s">
        <v>3546</v>
      </c>
      <c r="C5" t="s">
        <v>3556</v>
      </c>
      <c r="D5" s="4" t="s">
        <v>22</v>
      </c>
      <c r="E5" s="4"/>
      <c r="F5">
        <v>3</v>
      </c>
    </row>
    <row r="6" spans="1:6" ht="15" x14ac:dyDescent="0.2">
      <c r="A6">
        <v>4</v>
      </c>
      <c r="B6" s="1" t="s">
        <v>3547</v>
      </c>
      <c r="C6" t="s">
        <v>3557</v>
      </c>
      <c r="D6" s="4" t="s">
        <v>22</v>
      </c>
      <c r="E6" s="4" t="s">
        <v>22</v>
      </c>
      <c r="F6">
        <v>4</v>
      </c>
    </row>
    <row r="7" spans="1:6" ht="15" x14ac:dyDescent="0.2">
      <c r="A7">
        <v>5</v>
      </c>
      <c r="B7" s="1" t="s">
        <v>3549</v>
      </c>
      <c r="C7" t="s">
        <v>3558</v>
      </c>
      <c r="D7" s="4" t="s">
        <v>22</v>
      </c>
      <c r="E7" s="4" t="s">
        <v>22</v>
      </c>
      <c r="F7">
        <v>5</v>
      </c>
    </row>
    <row r="8" spans="1:6" ht="15" x14ac:dyDescent="0.2">
      <c r="A8">
        <v>6</v>
      </c>
      <c r="B8" s="1" t="s">
        <v>3552</v>
      </c>
      <c r="C8" t="s">
        <v>3562</v>
      </c>
      <c r="D8" s="4" t="s">
        <v>22</v>
      </c>
      <c r="E8" s="4" t="s">
        <v>22</v>
      </c>
      <c r="F8">
        <v>6</v>
      </c>
    </row>
    <row r="9" spans="1:6" ht="15" x14ac:dyDescent="0.2">
      <c r="A9">
        <v>7</v>
      </c>
      <c r="B9" s="1" t="s">
        <v>3553</v>
      </c>
      <c r="C9" t="s">
        <v>3563</v>
      </c>
      <c r="D9" s="4" t="s">
        <v>22</v>
      </c>
      <c r="E9" s="4" t="s">
        <v>22</v>
      </c>
      <c r="F9">
        <v>7</v>
      </c>
    </row>
    <row r="10" spans="1:6" ht="15" x14ac:dyDescent="0.2">
      <c r="A10">
        <v>8</v>
      </c>
      <c r="B10" s="1" t="s">
        <v>3548</v>
      </c>
      <c r="C10" t="s">
        <v>3559</v>
      </c>
      <c r="D10" s="4" t="s">
        <v>22</v>
      </c>
      <c r="E10" s="4" t="s">
        <v>22</v>
      </c>
      <c r="F10">
        <v>8</v>
      </c>
    </row>
    <row r="11" spans="1:6" ht="15" x14ac:dyDescent="0.2">
      <c r="A11">
        <v>9</v>
      </c>
      <c r="B11" s="1" t="s">
        <v>3554</v>
      </c>
      <c r="C11" t="s">
        <v>3564</v>
      </c>
      <c r="D11" s="4" t="s">
        <v>22</v>
      </c>
      <c r="E11" s="4" t="s">
        <v>22</v>
      </c>
      <c r="F11">
        <v>11</v>
      </c>
    </row>
    <row r="12" spans="1:6" ht="15" x14ac:dyDescent="0.2">
      <c r="A12">
        <v>10</v>
      </c>
      <c r="B12" s="1" t="s">
        <v>3550</v>
      </c>
      <c r="C12" t="s">
        <v>3560</v>
      </c>
      <c r="D12" s="4" t="s">
        <v>22</v>
      </c>
      <c r="E12" s="4" t="s">
        <v>22</v>
      </c>
      <c r="F12">
        <v>9</v>
      </c>
    </row>
    <row r="13" spans="1:6" ht="15" x14ac:dyDescent="0.2">
      <c r="A13">
        <v>11</v>
      </c>
      <c r="B13" s="1" t="s">
        <v>3551</v>
      </c>
      <c r="C13" t="s">
        <v>3561</v>
      </c>
      <c r="D13" s="4" t="s">
        <v>22</v>
      </c>
      <c r="E13" s="4" t="s">
        <v>22</v>
      </c>
      <c r="F13">
        <v>10</v>
      </c>
    </row>
    <row r="14" spans="1:6" ht="15" x14ac:dyDescent="0.2">
      <c r="B14" s="1"/>
      <c r="D14" s="4"/>
      <c r="E14" s="4"/>
    </row>
    <row r="15" spans="1:6" ht="15" x14ac:dyDescent="0.2">
      <c r="B15" s="1"/>
      <c r="D15" s="4"/>
      <c r="E15" s="4"/>
    </row>
    <row r="16" spans="1:6" ht="15" x14ac:dyDescent="0.2">
      <c r="B16" s="1"/>
      <c r="D16" s="4"/>
      <c r="E16" s="4"/>
    </row>
    <row r="17" spans="2:5" ht="15" x14ac:dyDescent="0.2">
      <c r="B17" s="6"/>
      <c r="D17" s="4"/>
      <c r="E17" s="4"/>
    </row>
    <row r="18" spans="2:5" ht="15" x14ac:dyDescent="0.2">
      <c r="B18" s="6"/>
      <c r="D18" s="4"/>
      <c r="E18" s="4"/>
    </row>
    <row r="19" spans="2:5" ht="15" x14ac:dyDescent="0.2">
      <c r="B19" s="6"/>
      <c r="D19" s="4"/>
      <c r="E19" s="4"/>
    </row>
    <row r="20" spans="2:5" ht="15" x14ac:dyDescent="0.2">
      <c r="B20" s="6"/>
      <c r="D20" s="4"/>
      <c r="E20" s="4"/>
    </row>
    <row r="21" spans="2:5" ht="15" x14ac:dyDescent="0.2">
      <c r="B21" s="6"/>
      <c r="D21" s="4"/>
      <c r="E21" s="4"/>
    </row>
    <row r="22" spans="2:5" ht="15" x14ac:dyDescent="0.2">
      <c r="B22" s="6"/>
      <c r="D22" s="4"/>
      <c r="E22" s="4"/>
    </row>
    <row r="23" spans="2:5" ht="15" x14ac:dyDescent="0.2">
      <c r="B23" s="6"/>
      <c r="D23" s="4"/>
      <c r="E23" s="4"/>
    </row>
    <row r="24" spans="2:5" ht="15" x14ac:dyDescent="0.2">
      <c r="B24" s="6"/>
      <c r="D24" s="4"/>
      <c r="E24" s="4"/>
    </row>
    <row r="25" spans="2:5" ht="15" x14ac:dyDescent="0.2">
      <c r="B25" s="6"/>
      <c r="D25" s="4"/>
      <c r="E25" s="4"/>
    </row>
    <row r="26" spans="2:5" ht="15" x14ac:dyDescent="0.2">
      <c r="B26" s="6"/>
      <c r="D26" s="4"/>
      <c r="E26" s="4"/>
    </row>
    <row r="27" spans="2:5" ht="15" x14ac:dyDescent="0.2">
      <c r="B27" s="6"/>
      <c r="D27" s="4"/>
      <c r="E27" s="4"/>
    </row>
    <row r="28" spans="2:5" ht="15" x14ac:dyDescent="0.2">
      <c r="B28" s="6"/>
      <c r="D28" s="4"/>
      <c r="E28" s="4"/>
    </row>
    <row r="29" spans="2:5" ht="15" x14ac:dyDescent="0.2">
      <c r="B29" s="6"/>
      <c r="D29" s="4"/>
      <c r="E29" s="4"/>
    </row>
  </sheetData>
  <sortState xmlns:xlrd2="http://schemas.microsoft.com/office/spreadsheetml/2017/richdata2" ref="A2:F13">
    <sortCondition ref="A1:A13"/>
  </sortState>
  <phoneticPr fontId="2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8143-EF2F-4DA8-9552-0152D380A4CE}">
  <sheetPr codeName="Sheet43"/>
  <dimension ref="A1:F30"/>
  <sheetViews>
    <sheetView workbookViewId="0"/>
  </sheetViews>
  <sheetFormatPr defaultRowHeight="14.25" x14ac:dyDescent="0.2"/>
  <cols>
    <col min="2" max="2" width="18.375" bestFit="1" customWidth="1"/>
    <col min="3" max="3" width="17.25" bestFit="1" customWidth="1"/>
    <col min="4" max="4" width="14.375" bestFit="1" customWidth="1"/>
  </cols>
  <sheetData>
    <row r="1" spans="1:6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21</v>
      </c>
    </row>
    <row r="2" spans="1:6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F2">
        <v>0</v>
      </c>
    </row>
    <row r="3" spans="1:6" ht="15" x14ac:dyDescent="0.2">
      <c r="A3">
        <v>1</v>
      </c>
      <c r="B3" s="1" t="s">
        <v>3613</v>
      </c>
      <c r="C3" t="s">
        <v>3614</v>
      </c>
      <c r="D3" s="4" t="s">
        <v>22</v>
      </c>
      <c r="E3" s="4"/>
      <c r="F3">
        <v>1</v>
      </c>
    </row>
    <row r="4" spans="1:6" ht="15" x14ac:dyDescent="0.2">
      <c r="A4">
        <v>2</v>
      </c>
      <c r="B4" s="1" t="s">
        <v>3565</v>
      </c>
      <c r="C4" t="s">
        <v>3568</v>
      </c>
      <c r="D4" s="4" t="s">
        <v>22</v>
      </c>
      <c r="E4" s="4" t="s">
        <v>22</v>
      </c>
      <c r="F4">
        <v>2</v>
      </c>
    </row>
    <row r="5" spans="1:6" ht="15" x14ac:dyDescent="0.2">
      <c r="A5">
        <v>3</v>
      </c>
      <c r="B5" s="1" t="s">
        <v>3566</v>
      </c>
      <c r="C5" t="s">
        <v>3569</v>
      </c>
      <c r="D5" s="4" t="s">
        <v>22</v>
      </c>
      <c r="E5" s="4"/>
      <c r="F5">
        <v>3</v>
      </c>
    </row>
    <row r="6" spans="1:6" ht="15" x14ac:dyDescent="0.2">
      <c r="A6">
        <v>4</v>
      </c>
      <c r="B6" s="1" t="s">
        <v>3567</v>
      </c>
      <c r="C6" t="s">
        <v>3570</v>
      </c>
      <c r="D6" s="4" t="s">
        <v>22</v>
      </c>
      <c r="E6" s="4" t="s">
        <v>22</v>
      </c>
      <c r="F6">
        <v>4</v>
      </c>
    </row>
    <row r="7" spans="1:6" ht="15" x14ac:dyDescent="0.2">
      <c r="B7" s="1"/>
      <c r="D7" s="4"/>
      <c r="E7" s="4"/>
    </row>
    <row r="8" spans="1:6" ht="15" x14ac:dyDescent="0.2">
      <c r="B8" s="1"/>
      <c r="D8" s="4"/>
      <c r="E8" s="4"/>
    </row>
    <row r="9" spans="1:6" ht="15" x14ac:dyDescent="0.2">
      <c r="B9" s="1"/>
      <c r="D9" s="4"/>
      <c r="E9" s="4"/>
    </row>
    <row r="10" spans="1:6" ht="15" x14ac:dyDescent="0.2">
      <c r="B10" s="1"/>
      <c r="D10" s="4"/>
      <c r="E10" s="4"/>
    </row>
    <row r="11" spans="1:6" ht="15" x14ac:dyDescent="0.2">
      <c r="B11" s="1"/>
      <c r="D11" s="4"/>
      <c r="E11" s="4"/>
    </row>
    <row r="12" spans="1:6" ht="15" x14ac:dyDescent="0.2">
      <c r="B12" s="1"/>
      <c r="D12" s="4"/>
      <c r="E12" s="4"/>
    </row>
    <row r="13" spans="1:6" ht="15" x14ac:dyDescent="0.2">
      <c r="B13" s="1"/>
      <c r="D13" s="4"/>
      <c r="E13" s="4"/>
    </row>
    <row r="14" spans="1:6" ht="15" x14ac:dyDescent="0.2">
      <c r="B14" s="1"/>
      <c r="D14" s="4"/>
      <c r="E14" s="4"/>
    </row>
    <row r="15" spans="1:6" ht="15" x14ac:dyDescent="0.2">
      <c r="B15" s="1"/>
      <c r="D15" s="4"/>
      <c r="E15" s="4"/>
    </row>
    <row r="16" spans="1:6" ht="15" x14ac:dyDescent="0.2">
      <c r="B16" s="1"/>
      <c r="D16" s="4"/>
      <c r="E16" s="4"/>
    </row>
    <row r="17" spans="2:5" ht="15" x14ac:dyDescent="0.2">
      <c r="B17" s="1"/>
      <c r="D17" s="4"/>
      <c r="E17" s="4"/>
    </row>
    <row r="18" spans="2:5" ht="15" x14ac:dyDescent="0.2">
      <c r="B18" s="6"/>
      <c r="D18" s="4"/>
      <c r="E18" s="4"/>
    </row>
    <row r="19" spans="2:5" ht="15" x14ac:dyDescent="0.2">
      <c r="B19" s="6"/>
      <c r="D19" s="4"/>
      <c r="E19" s="4"/>
    </row>
    <row r="20" spans="2:5" ht="15" x14ac:dyDescent="0.2">
      <c r="B20" s="6"/>
      <c r="D20" s="4"/>
      <c r="E20" s="4"/>
    </row>
    <row r="21" spans="2:5" ht="15" x14ac:dyDescent="0.2">
      <c r="B21" s="6"/>
      <c r="D21" s="4"/>
      <c r="E21" s="4"/>
    </row>
    <row r="22" spans="2:5" ht="15" x14ac:dyDescent="0.2">
      <c r="B22" s="6"/>
      <c r="D22" s="4"/>
      <c r="E22" s="4"/>
    </row>
    <row r="23" spans="2:5" ht="15" x14ac:dyDescent="0.2">
      <c r="B23" s="6"/>
      <c r="D23" s="4"/>
      <c r="E23" s="4"/>
    </row>
    <row r="24" spans="2:5" ht="15" x14ac:dyDescent="0.2">
      <c r="B24" s="6"/>
      <c r="D24" s="4"/>
      <c r="E24" s="4"/>
    </row>
    <row r="25" spans="2:5" ht="15" x14ac:dyDescent="0.2">
      <c r="B25" s="6"/>
      <c r="D25" s="4"/>
      <c r="E25" s="4"/>
    </row>
    <row r="26" spans="2:5" ht="15" x14ac:dyDescent="0.2">
      <c r="B26" s="6"/>
      <c r="D26" s="4"/>
      <c r="E26" s="4"/>
    </row>
    <row r="27" spans="2:5" ht="15" x14ac:dyDescent="0.2">
      <c r="B27" s="6"/>
      <c r="D27" s="4"/>
      <c r="E27" s="4"/>
    </row>
    <row r="28" spans="2:5" ht="15" x14ac:dyDescent="0.2">
      <c r="B28" s="6"/>
      <c r="D28" s="4"/>
      <c r="E28" s="4"/>
    </row>
    <row r="29" spans="2:5" ht="15" x14ac:dyDescent="0.2">
      <c r="B29" s="6"/>
      <c r="D29" s="4"/>
      <c r="E29" s="4"/>
    </row>
    <row r="30" spans="2:5" ht="15" x14ac:dyDescent="0.2">
      <c r="B30" s="6"/>
      <c r="D30" s="4"/>
      <c r="E30" s="4"/>
    </row>
  </sheetData>
  <phoneticPr fontId="2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CB622-4366-4796-A425-D38A6B94B7C7}">
  <sheetPr codeName="Sheet44"/>
  <dimension ref="A1:G29"/>
  <sheetViews>
    <sheetView workbookViewId="0"/>
  </sheetViews>
  <sheetFormatPr defaultRowHeight="14.25" x14ac:dyDescent="0.2"/>
  <cols>
    <col min="2" max="2" width="25" bestFit="1" customWidth="1"/>
    <col min="3" max="3" width="19.2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G2">
        <v>0</v>
      </c>
    </row>
    <row r="3" spans="1:7" ht="15" x14ac:dyDescent="0.2">
      <c r="A3">
        <v>1</v>
      </c>
      <c r="B3" s="1" t="s">
        <v>3571</v>
      </c>
      <c r="C3" t="s">
        <v>3572</v>
      </c>
      <c r="D3" s="4" t="s">
        <v>22</v>
      </c>
      <c r="E3" s="4" t="s">
        <v>22</v>
      </c>
      <c r="F3" t="b">
        <v>1</v>
      </c>
      <c r="G3">
        <v>1</v>
      </c>
    </row>
    <row r="4" spans="1:7" ht="15" x14ac:dyDescent="0.2">
      <c r="A4" s="2">
        <v>2</v>
      </c>
      <c r="B4" s="3" t="s">
        <v>3573</v>
      </c>
      <c r="C4" s="2" t="s">
        <v>3580</v>
      </c>
      <c r="D4" s="4" t="s">
        <v>22</v>
      </c>
      <c r="E4" s="4"/>
      <c r="G4">
        <v>2</v>
      </c>
    </row>
    <row r="5" spans="1:7" ht="15" x14ac:dyDescent="0.2">
      <c r="A5" s="2">
        <v>3</v>
      </c>
      <c r="B5" s="3" t="s">
        <v>3565</v>
      </c>
      <c r="C5" s="2" t="s">
        <v>3568</v>
      </c>
      <c r="D5" s="4" t="s">
        <v>22</v>
      </c>
      <c r="E5" s="4" t="s">
        <v>22</v>
      </c>
      <c r="G5">
        <v>3</v>
      </c>
    </row>
    <row r="6" spans="1:7" ht="15" x14ac:dyDescent="0.2">
      <c r="A6" s="15">
        <v>4</v>
      </c>
      <c r="B6" s="16" t="s">
        <v>3574</v>
      </c>
      <c r="C6" s="15" t="s">
        <v>3581</v>
      </c>
      <c r="D6" s="4" t="s">
        <v>22</v>
      </c>
      <c r="E6" s="4"/>
      <c r="G6">
        <v>4</v>
      </c>
    </row>
    <row r="7" spans="1:7" ht="15" x14ac:dyDescent="0.2">
      <c r="A7" s="15">
        <v>5</v>
      </c>
      <c r="B7" s="16" t="s">
        <v>3575</v>
      </c>
      <c r="C7" s="15" t="s">
        <v>3582</v>
      </c>
      <c r="D7" s="4" t="s">
        <v>22</v>
      </c>
      <c r="E7" s="4" t="s">
        <v>22</v>
      </c>
      <c r="G7">
        <v>5</v>
      </c>
    </row>
    <row r="8" spans="1:7" ht="15" x14ac:dyDescent="0.2">
      <c r="A8" s="15">
        <v>6</v>
      </c>
      <c r="B8" s="16" t="s">
        <v>3576</v>
      </c>
      <c r="C8" s="15" t="s">
        <v>3583</v>
      </c>
      <c r="D8" s="4" t="s">
        <v>22</v>
      </c>
      <c r="E8" s="4" t="s">
        <v>22</v>
      </c>
      <c r="G8">
        <v>6</v>
      </c>
    </row>
    <row r="9" spans="1:7" ht="15" x14ac:dyDescent="0.2">
      <c r="A9" s="15">
        <v>7</v>
      </c>
      <c r="B9" s="16" t="s">
        <v>3577</v>
      </c>
      <c r="C9" s="15" t="s">
        <v>3584</v>
      </c>
      <c r="D9" s="4" t="s">
        <v>22</v>
      </c>
      <c r="E9" s="4" t="s">
        <v>22</v>
      </c>
      <c r="G9">
        <v>7</v>
      </c>
    </row>
    <row r="10" spans="1:7" ht="15" x14ac:dyDescent="0.2">
      <c r="A10" s="15">
        <v>8</v>
      </c>
      <c r="B10" s="16" t="s">
        <v>3578</v>
      </c>
      <c r="C10" s="15" t="s">
        <v>3585</v>
      </c>
      <c r="D10" s="4" t="s">
        <v>22</v>
      </c>
      <c r="E10" s="4" t="s">
        <v>22</v>
      </c>
      <c r="G10">
        <v>8</v>
      </c>
    </row>
    <row r="11" spans="1:7" ht="15" x14ac:dyDescent="0.2">
      <c r="A11" s="15">
        <v>9</v>
      </c>
      <c r="B11" s="16" t="s">
        <v>3579</v>
      </c>
      <c r="C11" s="15" t="s">
        <v>3586</v>
      </c>
      <c r="D11" s="4" t="s">
        <v>22</v>
      </c>
      <c r="E11" s="4" t="s">
        <v>22</v>
      </c>
      <c r="G11">
        <v>9</v>
      </c>
    </row>
    <row r="12" spans="1:7" ht="15" x14ac:dyDescent="0.2">
      <c r="B12" s="1"/>
      <c r="D12" s="4"/>
      <c r="E12" s="4"/>
    </row>
    <row r="13" spans="1:7" ht="15" x14ac:dyDescent="0.2">
      <c r="B13" s="1"/>
      <c r="D13" s="4"/>
      <c r="E13" s="4"/>
    </row>
    <row r="14" spans="1:7" ht="15" x14ac:dyDescent="0.2">
      <c r="B14" s="1"/>
      <c r="D14" s="4"/>
      <c r="E14" s="4"/>
    </row>
    <row r="15" spans="1:7" ht="15" x14ac:dyDescent="0.2">
      <c r="B15" s="1"/>
      <c r="D15" s="4"/>
      <c r="E15" s="4"/>
    </row>
    <row r="16" spans="1:7" ht="15" x14ac:dyDescent="0.2">
      <c r="B16" s="1"/>
      <c r="D16" s="4"/>
      <c r="E16" s="4"/>
    </row>
    <row r="17" spans="2:5" ht="15" x14ac:dyDescent="0.2">
      <c r="B17" s="6"/>
      <c r="D17" s="4"/>
      <c r="E17" s="4"/>
    </row>
    <row r="18" spans="2:5" ht="15" x14ac:dyDescent="0.2">
      <c r="B18" s="6"/>
      <c r="D18" s="4"/>
      <c r="E18" s="4"/>
    </row>
    <row r="19" spans="2:5" ht="15" x14ac:dyDescent="0.2">
      <c r="B19" s="6"/>
      <c r="D19" s="4"/>
      <c r="E19" s="4"/>
    </row>
    <row r="20" spans="2:5" ht="15" x14ac:dyDescent="0.2">
      <c r="B20" s="6"/>
      <c r="D20" s="4"/>
      <c r="E20" s="4"/>
    </row>
    <row r="21" spans="2:5" ht="15" x14ac:dyDescent="0.2">
      <c r="B21" s="6"/>
      <c r="D21" s="4"/>
      <c r="E21" s="4"/>
    </row>
    <row r="22" spans="2:5" ht="15" x14ac:dyDescent="0.2">
      <c r="B22" s="6"/>
      <c r="D22" s="4"/>
      <c r="E22" s="4"/>
    </row>
    <row r="23" spans="2:5" ht="15" x14ac:dyDescent="0.2">
      <c r="B23" s="6"/>
      <c r="D23" s="4"/>
      <c r="E23" s="4"/>
    </row>
    <row r="24" spans="2:5" ht="15" x14ac:dyDescent="0.2">
      <c r="B24" s="6"/>
      <c r="D24" s="4"/>
      <c r="E24" s="4"/>
    </row>
    <row r="25" spans="2:5" ht="15" x14ac:dyDescent="0.2">
      <c r="B25" s="6"/>
      <c r="D25" s="4"/>
      <c r="E25" s="4"/>
    </row>
    <row r="26" spans="2:5" ht="15" x14ac:dyDescent="0.2">
      <c r="B26" s="6"/>
      <c r="D26" s="4"/>
      <c r="E26" s="4"/>
    </row>
    <row r="27" spans="2:5" ht="15" x14ac:dyDescent="0.2">
      <c r="B27" s="6"/>
      <c r="D27" s="4"/>
      <c r="E27" s="4"/>
    </row>
    <row r="28" spans="2:5" ht="15" x14ac:dyDescent="0.2">
      <c r="B28" s="6"/>
      <c r="D28" s="4"/>
      <c r="E28" s="4"/>
    </row>
    <row r="29" spans="2:5" ht="15" x14ac:dyDescent="0.2">
      <c r="B29" s="6"/>
      <c r="D29" s="4"/>
      <c r="E29" s="4"/>
    </row>
  </sheetData>
  <phoneticPr fontId="2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6A4E-0AE1-484F-B09E-E75E07B5469B}">
  <sheetPr codeName="Sheet45"/>
  <dimension ref="A1:F30"/>
  <sheetViews>
    <sheetView workbookViewId="0"/>
  </sheetViews>
  <sheetFormatPr defaultRowHeight="14.25" x14ac:dyDescent="0.2"/>
  <cols>
    <col min="2" max="2" width="25" bestFit="1" customWidth="1"/>
    <col min="3" max="3" width="19.25" bestFit="1" customWidth="1"/>
    <col min="4" max="4" width="14.375" bestFit="1" customWidth="1"/>
  </cols>
  <sheetData>
    <row r="1" spans="1:6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21</v>
      </c>
    </row>
    <row r="2" spans="1:6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F2">
        <v>0</v>
      </c>
    </row>
    <row r="3" spans="1:6" ht="15" x14ac:dyDescent="0.2">
      <c r="A3">
        <v>1</v>
      </c>
      <c r="B3" s="1" t="s">
        <v>3587</v>
      </c>
      <c r="C3" t="s">
        <v>3594</v>
      </c>
      <c r="D3" s="4" t="s">
        <v>22</v>
      </c>
      <c r="E3" s="4"/>
      <c r="F3">
        <v>1</v>
      </c>
    </row>
    <row r="4" spans="1:6" ht="15" x14ac:dyDescent="0.2">
      <c r="A4" s="2">
        <v>2</v>
      </c>
      <c r="B4" s="3" t="s">
        <v>3597</v>
      </c>
      <c r="C4" s="2" t="s">
        <v>3598</v>
      </c>
      <c r="D4" s="4" t="s">
        <v>22</v>
      </c>
      <c r="E4" s="4"/>
      <c r="F4">
        <v>2</v>
      </c>
    </row>
    <row r="5" spans="1:6" ht="15" x14ac:dyDescent="0.2">
      <c r="A5" s="2">
        <v>3</v>
      </c>
      <c r="B5" s="3" t="s">
        <v>3588</v>
      </c>
      <c r="C5" s="2" t="s">
        <v>3592</v>
      </c>
      <c r="D5" s="4" t="s">
        <v>22</v>
      </c>
      <c r="E5" s="4"/>
      <c r="F5">
        <v>3</v>
      </c>
    </row>
    <row r="6" spans="1:6" ht="15" x14ac:dyDescent="0.2">
      <c r="A6" s="2">
        <v>4</v>
      </c>
      <c r="B6" s="3" t="s">
        <v>3589</v>
      </c>
      <c r="C6" s="2" t="s">
        <v>3593</v>
      </c>
      <c r="D6" s="4" t="s">
        <v>22</v>
      </c>
      <c r="E6" s="4"/>
      <c r="F6">
        <v>6</v>
      </c>
    </row>
    <row r="7" spans="1:6" ht="15" x14ac:dyDescent="0.2">
      <c r="A7" s="2">
        <v>5</v>
      </c>
      <c r="B7" s="3" t="s">
        <v>3590</v>
      </c>
      <c r="C7" s="2" t="s">
        <v>3595</v>
      </c>
      <c r="D7" s="4" t="s">
        <v>22</v>
      </c>
      <c r="E7" s="4" t="s">
        <v>22</v>
      </c>
      <c r="F7">
        <v>4</v>
      </c>
    </row>
    <row r="8" spans="1:6" ht="15" x14ac:dyDescent="0.2">
      <c r="A8" s="2">
        <v>6</v>
      </c>
      <c r="B8" s="3" t="s">
        <v>3591</v>
      </c>
      <c r="C8" s="2" t="s">
        <v>3596</v>
      </c>
      <c r="D8" s="4" t="s">
        <v>22</v>
      </c>
      <c r="E8" s="4" t="s">
        <v>22</v>
      </c>
      <c r="F8">
        <v>5</v>
      </c>
    </row>
    <row r="9" spans="1:6" ht="15" x14ac:dyDescent="0.2">
      <c r="B9" s="1"/>
      <c r="D9" s="4"/>
      <c r="E9" s="4"/>
    </row>
    <row r="10" spans="1:6" ht="15" x14ac:dyDescent="0.2">
      <c r="B10" s="1"/>
      <c r="D10" s="4"/>
      <c r="E10" s="4"/>
    </row>
    <row r="11" spans="1:6" ht="15" x14ac:dyDescent="0.2">
      <c r="B11" s="1"/>
      <c r="D11" s="4"/>
      <c r="E11" s="4"/>
    </row>
    <row r="12" spans="1:6" ht="15" x14ac:dyDescent="0.2">
      <c r="B12" s="1"/>
      <c r="D12" s="4"/>
      <c r="E12" s="4"/>
    </row>
    <row r="13" spans="1:6" ht="15" x14ac:dyDescent="0.2">
      <c r="B13" s="1"/>
      <c r="D13" s="4"/>
      <c r="E13" s="4"/>
    </row>
    <row r="14" spans="1:6" ht="15" x14ac:dyDescent="0.2">
      <c r="B14" s="1"/>
      <c r="D14" s="4"/>
      <c r="E14" s="4"/>
    </row>
    <row r="15" spans="1:6" ht="15" x14ac:dyDescent="0.2">
      <c r="B15" s="1"/>
      <c r="D15" s="4"/>
      <c r="E15" s="4"/>
    </row>
    <row r="16" spans="1:6" ht="15" x14ac:dyDescent="0.2">
      <c r="B16" s="1"/>
      <c r="D16" s="4"/>
      <c r="E16" s="4"/>
    </row>
    <row r="17" spans="2:5" ht="15" x14ac:dyDescent="0.2">
      <c r="B17" s="1"/>
      <c r="D17" s="4"/>
      <c r="E17" s="4"/>
    </row>
    <row r="18" spans="2:5" ht="15" x14ac:dyDescent="0.2">
      <c r="B18" s="6"/>
      <c r="D18" s="4"/>
      <c r="E18" s="4"/>
    </row>
    <row r="19" spans="2:5" ht="15" x14ac:dyDescent="0.2">
      <c r="B19" s="6"/>
      <c r="D19" s="4"/>
      <c r="E19" s="4"/>
    </row>
    <row r="20" spans="2:5" ht="15" x14ac:dyDescent="0.2">
      <c r="B20" s="6"/>
      <c r="D20" s="4"/>
      <c r="E20" s="4"/>
    </row>
    <row r="21" spans="2:5" ht="15" x14ac:dyDescent="0.2">
      <c r="B21" s="6"/>
      <c r="D21" s="4"/>
      <c r="E21" s="4"/>
    </row>
    <row r="22" spans="2:5" ht="15" x14ac:dyDescent="0.2">
      <c r="B22" s="6"/>
      <c r="D22" s="4"/>
      <c r="E22" s="4"/>
    </row>
    <row r="23" spans="2:5" ht="15" x14ac:dyDescent="0.2">
      <c r="B23" s="6"/>
      <c r="D23" s="4"/>
      <c r="E23" s="4"/>
    </row>
    <row r="24" spans="2:5" ht="15" x14ac:dyDescent="0.2">
      <c r="B24" s="6"/>
      <c r="D24" s="4"/>
      <c r="E24" s="4"/>
    </row>
    <row r="25" spans="2:5" ht="15" x14ac:dyDescent="0.2">
      <c r="B25" s="6"/>
      <c r="D25" s="4"/>
      <c r="E25" s="4"/>
    </row>
    <row r="26" spans="2:5" ht="15" x14ac:dyDescent="0.2">
      <c r="B26" s="6"/>
      <c r="D26" s="4"/>
      <c r="E26" s="4"/>
    </row>
    <row r="27" spans="2:5" ht="15" x14ac:dyDescent="0.2">
      <c r="B27" s="6"/>
      <c r="D27" s="4"/>
      <c r="E27" s="4"/>
    </row>
    <row r="28" spans="2:5" ht="15" x14ac:dyDescent="0.2">
      <c r="B28" s="6"/>
      <c r="D28" s="4"/>
      <c r="E28" s="4"/>
    </row>
    <row r="29" spans="2:5" ht="15" x14ac:dyDescent="0.2">
      <c r="B29" s="6"/>
      <c r="D29" s="4"/>
      <c r="E29" s="4"/>
    </row>
    <row r="30" spans="2:5" ht="15" x14ac:dyDescent="0.2">
      <c r="B30" s="6"/>
      <c r="D30" s="4"/>
      <c r="E30" s="4"/>
    </row>
  </sheetData>
  <sortState xmlns:xlrd2="http://schemas.microsoft.com/office/spreadsheetml/2017/richdata2" ref="A2:F8">
    <sortCondition ref="A1:A8"/>
  </sortState>
  <phoneticPr fontId="2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E88C9-7DBC-4DF3-8CB1-5BAAF4537407}">
  <sheetPr codeName="Sheet46"/>
  <dimension ref="A1:G30"/>
  <sheetViews>
    <sheetView workbookViewId="0"/>
  </sheetViews>
  <sheetFormatPr defaultRowHeight="14.25" x14ac:dyDescent="0.2"/>
  <cols>
    <col min="2" max="2" width="25" bestFit="1" customWidth="1"/>
    <col min="3" max="3" width="19.25" bestFit="1" customWidth="1"/>
    <col min="4" max="4" width="14.375" bestFit="1" customWidth="1"/>
  </cols>
  <sheetData>
    <row r="1" spans="1:7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881</v>
      </c>
      <c r="G1" t="s">
        <v>21</v>
      </c>
    </row>
    <row r="2" spans="1:7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G2">
        <v>0</v>
      </c>
    </row>
    <row r="3" spans="1:7" ht="15" x14ac:dyDescent="0.2">
      <c r="A3">
        <v>1</v>
      </c>
      <c r="B3" s="1" t="s">
        <v>3599</v>
      </c>
      <c r="C3" t="s">
        <v>3604</v>
      </c>
      <c r="D3" s="4" t="s">
        <v>22</v>
      </c>
      <c r="E3" s="4"/>
      <c r="G3">
        <v>1</v>
      </c>
    </row>
    <row r="4" spans="1:7" ht="15" x14ac:dyDescent="0.2">
      <c r="A4" s="28">
        <v>2</v>
      </c>
      <c r="B4" s="29" t="s">
        <v>3600</v>
      </c>
      <c r="C4" s="28" t="s">
        <v>3605</v>
      </c>
      <c r="D4" s="4" t="s">
        <v>22</v>
      </c>
      <c r="E4" s="4"/>
      <c r="G4">
        <v>2</v>
      </c>
    </row>
    <row r="5" spans="1:7" ht="15" x14ac:dyDescent="0.2">
      <c r="A5" s="2">
        <v>3</v>
      </c>
      <c r="B5" s="3" t="s">
        <v>3547</v>
      </c>
      <c r="C5" s="2" t="s">
        <v>3557</v>
      </c>
      <c r="D5" s="4" t="s">
        <v>22</v>
      </c>
      <c r="E5" s="4" t="s">
        <v>22</v>
      </c>
      <c r="G5">
        <v>3</v>
      </c>
    </row>
    <row r="6" spans="1:7" ht="15" x14ac:dyDescent="0.2">
      <c r="A6" s="2">
        <v>4</v>
      </c>
      <c r="B6" s="3" t="s">
        <v>3601</v>
      </c>
      <c r="C6" s="2" t="s">
        <v>3606</v>
      </c>
      <c r="D6" s="4" t="s">
        <v>22</v>
      </c>
      <c r="E6" s="4" t="s">
        <v>22</v>
      </c>
      <c r="F6" t="b">
        <v>1</v>
      </c>
      <c r="G6">
        <v>4</v>
      </c>
    </row>
    <row r="7" spans="1:7" ht="15" x14ac:dyDescent="0.2">
      <c r="A7" s="2">
        <v>5</v>
      </c>
      <c r="B7" s="3" t="s">
        <v>3602</v>
      </c>
      <c r="C7" s="2" t="s">
        <v>3607</v>
      </c>
      <c r="D7" s="4" t="s">
        <v>22</v>
      </c>
      <c r="E7" s="4" t="s">
        <v>22</v>
      </c>
      <c r="F7" t="b">
        <v>0</v>
      </c>
      <c r="G7">
        <v>5</v>
      </c>
    </row>
    <row r="8" spans="1:7" ht="15" x14ac:dyDescent="0.2">
      <c r="A8" s="2">
        <v>6</v>
      </c>
      <c r="B8" s="3" t="s">
        <v>3603</v>
      </c>
      <c r="C8" s="2" t="s">
        <v>3608</v>
      </c>
      <c r="D8" s="4" t="s">
        <v>22</v>
      </c>
      <c r="E8" s="4" t="s">
        <v>22</v>
      </c>
      <c r="F8" t="b">
        <v>0</v>
      </c>
      <c r="G8">
        <v>6</v>
      </c>
    </row>
    <row r="9" spans="1:7" ht="15" x14ac:dyDescent="0.2">
      <c r="B9" s="1"/>
      <c r="D9" s="4"/>
      <c r="E9" s="4"/>
    </row>
    <row r="10" spans="1:7" ht="15" x14ac:dyDescent="0.2">
      <c r="B10" s="1"/>
      <c r="D10" s="4"/>
      <c r="E10" s="4"/>
    </row>
    <row r="11" spans="1:7" ht="15" x14ac:dyDescent="0.2">
      <c r="B11" s="1"/>
      <c r="D11" s="4"/>
      <c r="E11" s="4"/>
    </row>
    <row r="12" spans="1:7" ht="15" x14ac:dyDescent="0.2">
      <c r="B12" s="1"/>
      <c r="D12" s="4"/>
      <c r="E12" s="4"/>
    </row>
    <row r="13" spans="1:7" ht="15" x14ac:dyDescent="0.2">
      <c r="B13" s="1"/>
      <c r="D13" s="4"/>
      <c r="E13" s="4"/>
    </row>
    <row r="14" spans="1:7" ht="15" x14ac:dyDescent="0.2">
      <c r="B14" s="1"/>
      <c r="D14" s="4"/>
      <c r="E14" s="4"/>
    </row>
    <row r="15" spans="1:7" ht="15" x14ac:dyDescent="0.2">
      <c r="B15" s="1"/>
      <c r="D15" s="4"/>
      <c r="E15" s="4"/>
    </row>
    <row r="16" spans="1:7" ht="15" x14ac:dyDescent="0.2">
      <c r="B16" s="1"/>
      <c r="D16" s="4"/>
      <c r="E16" s="4"/>
    </row>
    <row r="17" spans="2:5" ht="15" x14ac:dyDescent="0.2">
      <c r="B17" s="1"/>
      <c r="D17" s="4"/>
      <c r="E17" s="4"/>
    </row>
    <row r="18" spans="2:5" ht="15" x14ac:dyDescent="0.2">
      <c r="B18" s="6"/>
      <c r="D18" s="4"/>
      <c r="E18" s="4"/>
    </row>
    <row r="19" spans="2:5" ht="15" x14ac:dyDescent="0.2">
      <c r="B19" s="6"/>
      <c r="D19" s="4"/>
      <c r="E19" s="4"/>
    </row>
    <row r="20" spans="2:5" ht="15" x14ac:dyDescent="0.2">
      <c r="B20" s="6"/>
      <c r="D20" s="4"/>
      <c r="E20" s="4"/>
    </row>
    <row r="21" spans="2:5" ht="15" x14ac:dyDescent="0.2">
      <c r="B21" s="6"/>
      <c r="D21" s="4"/>
      <c r="E21" s="4"/>
    </row>
    <row r="22" spans="2:5" ht="15" x14ac:dyDescent="0.2">
      <c r="B22" s="6"/>
      <c r="D22" s="4"/>
      <c r="E22" s="4"/>
    </row>
    <row r="23" spans="2:5" ht="15" x14ac:dyDescent="0.2">
      <c r="B23" s="6"/>
      <c r="D23" s="4"/>
      <c r="E23" s="4"/>
    </row>
    <row r="24" spans="2:5" ht="15" x14ac:dyDescent="0.2">
      <c r="B24" s="6"/>
      <c r="D24" s="4"/>
      <c r="E24" s="4"/>
    </row>
    <row r="25" spans="2:5" ht="15" x14ac:dyDescent="0.2">
      <c r="B25" s="6"/>
      <c r="D25" s="4"/>
      <c r="E25" s="4"/>
    </row>
    <row r="26" spans="2:5" ht="15" x14ac:dyDescent="0.2">
      <c r="B26" s="6"/>
      <c r="D26" s="4"/>
      <c r="E26" s="4"/>
    </row>
    <row r="27" spans="2:5" ht="15" x14ac:dyDescent="0.2">
      <c r="B27" s="6"/>
      <c r="D27" s="4"/>
      <c r="E27" s="4"/>
    </row>
    <row r="28" spans="2:5" ht="15" x14ac:dyDescent="0.2">
      <c r="B28" s="6"/>
      <c r="D28" s="4"/>
      <c r="E28" s="4"/>
    </row>
    <row r="29" spans="2:5" ht="15" x14ac:dyDescent="0.2">
      <c r="B29" s="6"/>
      <c r="D29" s="4"/>
      <c r="E29" s="4"/>
    </row>
    <row r="30" spans="2:5" ht="15" x14ac:dyDescent="0.2">
      <c r="B30" s="6"/>
      <c r="D30" s="4"/>
      <c r="E30" s="4"/>
    </row>
  </sheetData>
  <phoneticPr fontId="2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FD25-724E-4851-9475-612792A0E498}">
  <sheetPr codeName="Sheet47"/>
  <dimension ref="A1:F30"/>
  <sheetViews>
    <sheetView workbookViewId="0"/>
  </sheetViews>
  <sheetFormatPr defaultRowHeight="14.25" x14ac:dyDescent="0.2"/>
  <cols>
    <col min="2" max="2" width="25" bestFit="1" customWidth="1"/>
    <col min="3" max="3" width="19.25" bestFit="1" customWidth="1"/>
    <col min="4" max="4" width="14.375" bestFit="1" customWidth="1"/>
  </cols>
  <sheetData>
    <row r="1" spans="1:6" x14ac:dyDescent="0.2">
      <c r="A1" t="s">
        <v>16</v>
      </c>
      <c r="B1" t="s">
        <v>18</v>
      </c>
      <c r="C1" t="s">
        <v>19</v>
      </c>
      <c r="D1" t="s">
        <v>20</v>
      </c>
      <c r="E1" t="s">
        <v>23</v>
      </c>
      <c r="F1" t="s">
        <v>21</v>
      </c>
    </row>
    <row r="2" spans="1:6" ht="15" x14ac:dyDescent="0.2">
      <c r="A2">
        <v>0</v>
      </c>
      <c r="B2" s="1" t="s">
        <v>0</v>
      </c>
      <c r="C2" t="s">
        <v>1</v>
      </c>
      <c r="D2" s="4" t="s">
        <v>22</v>
      </c>
      <c r="E2" s="4"/>
      <c r="F2">
        <v>0</v>
      </c>
    </row>
    <row r="3" spans="1:6" ht="15" x14ac:dyDescent="0.2">
      <c r="A3">
        <v>1</v>
      </c>
      <c r="B3" s="1" t="s">
        <v>3599</v>
      </c>
      <c r="C3" t="s">
        <v>3604</v>
      </c>
      <c r="D3" s="4" t="s">
        <v>22</v>
      </c>
      <c r="E3" s="4"/>
      <c r="F3">
        <v>1</v>
      </c>
    </row>
    <row r="4" spans="1:6" ht="15" x14ac:dyDescent="0.2">
      <c r="A4" s="28">
        <v>2</v>
      </c>
      <c r="B4" s="29" t="s">
        <v>3600</v>
      </c>
      <c r="C4" s="28" t="s">
        <v>3609</v>
      </c>
      <c r="D4" s="4" t="s">
        <v>22</v>
      </c>
      <c r="E4" s="4"/>
      <c r="F4">
        <v>2</v>
      </c>
    </row>
    <row r="5" spans="1:6" ht="15" x14ac:dyDescent="0.2">
      <c r="A5" s="2">
        <v>3</v>
      </c>
      <c r="B5" s="3" t="s">
        <v>3610</v>
      </c>
      <c r="C5" s="2" t="s">
        <v>3611</v>
      </c>
      <c r="D5" s="4" t="s">
        <v>22</v>
      </c>
      <c r="E5" s="4"/>
      <c r="F5">
        <v>3</v>
      </c>
    </row>
    <row r="6" spans="1:6" ht="15" x14ac:dyDescent="0.2">
      <c r="A6" s="2">
        <v>4</v>
      </c>
      <c r="B6" s="3" t="s">
        <v>3615</v>
      </c>
      <c r="C6" s="2" t="s">
        <v>3612</v>
      </c>
      <c r="D6" s="4" t="s">
        <v>22</v>
      </c>
      <c r="E6" s="4" t="s">
        <v>22</v>
      </c>
      <c r="F6">
        <v>4</v>
      </c>
    </row>
    <row r="7" spans="1:6" ht="15" x14ac:dyDescent="0.2">
      <c r="B7" s="1"/>
      <c r="D7" s="4"/>
      <c r="E7" s="4"/>
    </row>
    <row r="8" spans="1:6" ht="15" x14ac:dyDescent="0.2">
      <c r="B8" s="1"/>
      <c r="D8" s="4"/>
      <c r="E8" s="4"/>
    </row>
    <row r="9" spans="1:6" ht="15" x14ac:dyDescent="0.2">
      <c r="B9" s="1"/>
      <c r="D9" s="4"/>
      <c r="E9" s="4"/>
    </row>
    <row r="10" spans="1:6" ht="15" x14ac:dyDescent="0.2">
      <c r="B10" s="1"/>
      <c r="D10" s="4"/>
      <c r="E10" s="4"/>
    </row>
    <row r="11" spans="1:6" ht="15" x14ac:dyDescent="0.2">
      <c r="B11" s="1"/>
      <c r="D11" s="4"/>
      <c r="E11" s="4"/>
    </row>
    <row r="12" spans="1:6" ht="15" x14ac:dyDescent="0.2">
      <c r="B12" s="1"/>
      <c r="D12" s="4"/>
      <c r="E12" s="4"/>
    </row>
    <row r="13" spans="1:6" ht="15" x14ac:dyDescent="0.2">
      <c r="B13" s="1"/>
      <c r="D13" s="4"/>
      <c r="E13" s="4"/>
    </row>
    <row r="14" spans="1:6" ht="15" x14ac:dyDescent="0.2">
      <c r="B14" s="1"/>
      <c r="D14" s="4"/>
      <c r="E14" s="4"/>
    </row>
    <row r="15" spans="1:6" ht="15" x14ac:dyDescent="0.2">
      <c r="B15" s="1"/>
      <c r="D15" s="4"/>
      <c r="E15" s="4"/>
    </row>
    <row r="16" spans="1:6" ht="15" x14ac:dyDescent="0.2">
      <c r="B16" s="1"/>
      <c r="D16" s="4"/>
      <c r="E16" s="4"/>
    </row>
    <row r="17" spans="2:5" ht="15" x14ac:dyDescent="0.2">
      <c r="B17" s="1"/>
      <c r="D17" s="4"/>
      <c r="E17" s="4"/>
    </row>
    <row r="18" spans="2:5" ht="15" x14ac:dyDescent="0.2">
      <c r="B18" s="6"/>
      <c r="D18" s="4"/>
      <c r="E18" s="4"/>
    </row>
    <row r="19" spans="2:5" ht="15" x14ac:dyDescent="0.2">
      <c r="B19" s="6"/>
      <c r="D19" s="4"/>
      <c r="E19" s="4"/>
    </row>
    <row r="20" spans="2:5" ht="15" x14ac:dyDescent="0.2">
      <c r="B20" s="6"/>
      <c r="D20" s="4"/>
      <c r="E20" s="4"/>
    </row>
    <row r="21" spans="2:5" ht="15" x14ac:dyDescent="0.2">
      <c r="B21" s="6"/>
      <c r="D21" s="4"/>
      <c r="E21" s="4"/>
    </row>
    <row r="22" spans="2:5" ht="15" x14ac:dyDescent="0.2">
      <c r="B22" s="6"/>
      <c r="D22" s="4"/>
      <c r="E22" s="4"/>
    </row>
    <row r="23" spans="2:5" ht="15" x14ac:dyDescent="0.2">
      <c r="B23" s="6"/>
      <c r="D23" s="4"/>
      <c r="E23" s="4"/>
    </row>
    <row r="24" spans="2:5" ht="15" x14ac:dyDescent="0.2">
      <c r="B24" s="6"/>
      <c r="D24" s="4"/>
      <c r="E24" s="4"/>
    </row>
    <row r="25" spans="2:5" ht="15" x14ac:dyDescent="0.2">
      <c r="B25" s="6"/>
      <c r="D25" s="4"/>
      <c r="E25" s="4"/>
    </row>
    <row r="26" spans="2:5" ht="15" x14ac:dyDescent="0.2">
      <c r="B26" s="6"/>
      <c r="D26" s="4"/>
      <c r="E26" s="4"/>
    </row>
    <row r="27" spans="2:5" ht="15" x14ac:dyDescent="0.2">
      <c r="B27" s="6"/>
      <c r="D27" s="4"/>
      <c r="E27" s="4"/>
    </row>
    <row r="28" spans="2:5" ht="15" x14ac:dyDescent="0.2">
      <c r="B28" s="6"/>
      <c r="D28" s="4"/>
      <c r="E28" s="4"/>
    </row>
    <row r="29" spans="2:5" ht="15" x14ac:dyDescent="0.2">
      <c r="B29" s="6"/>
      <c r="D29" s="4"/>
      <c r="E29" s="4"/>
    </row>
    <row r="30" spans="2:5" ht="15" x14ac:dyDescent="0.2">
      <c r="B30" s="6"/>
      <c r="D30" s="4"/>
      <c r="E30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59</vt:i4>
      </vt:variant>
    </vt:vector>
  </HeadingPairs>
  <TitlesOfParts>
    <vt:vector size="59" baseType="lpstr">
      <vt:lpstr>gameModeMap_header</vt:lpstr>
      <vt:lpstr>cheatset_header</vt:lpstr>
      <vt:lpstr>cheat_header</vt:lpstr>
      <vt:lpstr>spell_header</vt:lpstr>
      <vt:lpstr>summoner_spell_header</vt:lpstr>
      <vt:lpstr>perkstyle_header</vt:lpstr>
      <vt:lpstr>perk_header</vt:lpstr>
      <vt:lpstr>champion_header</vt:lpstr>
      <vt:lpstr>champion_spell_header</vt:lpstr>
      <vt:lpstr>item_header</vt:lpstr>
      <vt:lpstr>itemGroup_header</vt:lpstr>
      <vt:lpstr>itemModifier_header</vt:lpstr>
      <vt:lpstr>augment_header</vt:lpstr>
      <vt:lpstr>CherryAugment_header</vt:lpstr>
      <vt:lpstr>SwarmAugment_header</vt:lpstr>
      <vt:lpstr>KiwiAugment_header</vt:lpstr>
      <vt:lpstr>KiwiAugmentSet_header</vt:lpstr>
      <vt:lpstr>KiwiQuestline_header</vt:lpstr>
      <vt:lpstr>KiwiJadeAugment_header</vt:lpstr>
      <vt:lpstr>augmentModifier_header</vt:lpstr>
      <vt:lpstr>anvil_header</vt:lpstr>
      <vt:lpstr>progressTrack_header</vt:lpstr>
      <vt:lpstr>KiwiProgressTrack_header</vt:lpstr>
      <vt:lpstr>rewardGroup_header</vt:lpstr>
      <vt:lpstr>KiwiReward_header</vt:lpstr>
      <vt:lpstr>KiwiQuest_header</vt:lpstr>
      <vt:lpstr>KiwiMission_header</vt:lpstr>
      <vt:lpstr>KiwiQuestMilestone_header</vt:lpstr>
      <vt:lpstr>CherryGoH_header</vt:lpstr>
      <vt:lpstr>KiwiGoH_header</vt:lpstr>
      <vt:lpstr>cameo_header</vt:lpstr>
      <vt:lpstr>CherryRoundList_header</vt:lpstr>
      <vt:lpstr>CherryRound_header</vt:lpstr>
      <vt:lpstr>CherryPhase_header</vt:lpstr>
      <vt:lpstr>CherryRoundPhase_header</vt:lpstr>
      <vt:lpstr>TFTSet_header</vt:lpstr>
      <vt:lpstr>TFTShop_header</vt:lpstr>
      <vt:lpstr>TFTShopContent_header</vt:lpstr>
      <vt:lpstr>TFTDropRate_header</vt:lpstr>
      <vt:lpstr>TFTStageRound_header</vt:lpstr>
      <vt:lpstr>TFTRound_header</vt:lpstr>
      <vt:lpstr>TFTPortal_header</vt:lpstr>
      <vt:lpstr>TFTEncounterDistribution_header</vt:lpstr>
      <vt:lpstr>TFTEncounter_header</vt:lpstr>
      <vt:lpstr>TFTUnitProperty_header</vt:lpstr>
      <vt:lpstr>TFTCharacterRole_header</vt:lpstr>
      <vt:lpstr>TFTItemList_header</vt:lpstr>
      <vt:lpstr>TFTItem_header</vt:lpstr>
      <vt:lpstr>TFTTraitList_header</vt:lpstr>
      <vt:lpstr>TFTTrait_header</vt:lpstr>
      <vt:lpstr>TFTPVENPC_header</vt:lpstr>
      <vt:lpstr>TFTScript_header</vt:lpstr>
      <vt:lpstr>TFTAnnouncement_header</vt:lpstr>
      <vt:lpstr>fontDesc_header</vt:lpstr>
      <vt:lpstr>fontType_header</vt:lpstr>
      <vt:lpstr>fontResolution_header</vt:lpstr>
      <vt:lpstr>fontStyle_header</vt:lpstr>
      <vt:lpstr>font_CSSStyle_header</vt:lpstr>
      <vt:lpstr>font_CSSIcon_header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2025-09-30T05:26:24Z</dcterms:created>
  <dcterms:modified xsi:type="dcterms:W3CDTF">2026-10-15T15:32:03Z</dcterms:modified>
</cp:coreProperties>
</file>