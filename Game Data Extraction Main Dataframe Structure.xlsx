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324CE537-6F40-4A4D-AF72-7EA852D0F5F8}" xr6:coauthVersionLast="47" xr6:coauthVersionMax="47" xr10:uidLastSave="{00000000-0000-0000-0000-000000000000}"/>
  <bookViews>
    <workbookView xWindow="-120" yWindow="-120" windowWidth="38640" windowHeight="21120" firstSheet="9" activeTab="14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CherryAugment_header" sheetId="36" r:id="rId13"/>
    <sheet name="SwarmAugment_header" sheetId="37" r:id="rId14"/>
    <sheet name="KiwiAugment_header" sheetId="6" r:id="rId15"/>
    <sheet name="KiwiAugmentSet_header" sheetId="35" r:id="rId16"/>
    <sheet name="KiwiQuestline_header" sheetId="54" r:id="rId17"/>
    <sheet name="augmentModifier_header" sheetId="53" r:id="rId18"/>
    <sheet name="anvil_header" sheetId="11" r:id="rId19"/>
    <sheet name="GoH_header" sheetId="40" r:id="rId20"/>
    <sheet name="cameo_header" sheetId="44" r:id="rId21"/>
    <sheet name="CherryRoundList_header" sheetId="41" r:id="rId22"/>
    <sheet name="CherryRound_header" sheetId="43" r:id="rId23"/>
    <sheet name="CherryPhase_header" sheetId="42" r:id="rId24"/>
    <sheet name="TFTSet_header" sheetId="15" r:id="rId25"/>
    <sheet name="TFTShop_header" sheetId="17" r:id="rId26"/>
    <sheet name="TFTShopContent_header" sheetId="31" r:id="rId27"/>
    <sheet name="TFTDropRate_header" sheetId="18" r:id="rId28"/>
    <sheet name="TFTStageRound_header" sheetId="32" r:id="rId29"/>
    <sheet name="TFTRound_header" sheetId="19" r:id="rId30"/>
    <sheet name="TFTPortal_header" sheetId="27" r:id="rId31"/>
    <sheet name="TFTEncounterDistribution_header" sheetId="28" r:id="rId32"/>
    <sheet name="TFTEncounter_header" sheetId="29" r:id="rId33"/>
    <sheet name="TFTUnitProperty_header" sheetId="16" r:id="rId34"/>
    <sheet name="TFTCharacterRole_header" sheetId="21" r:id="rId35"/>
    <sheet name="TFTItemList_header" sheetId="22" r:id="rId36"/>
    <sheet name="TFTItem_header" sheetId="23" r:id="rId37"/>
    <sheet name="TFTTraitList_header" sheetId="24" r:id="rId38"/>
    <sheet name="TFTTrait_header" sheetId="25" r:id="rId39"/>
    <sheet name="TFTPVENPC_header" sheetId="30" r:id="rId40"/>
    <sheet name="TFTScript_header" sheetId="26" r:id="rId41"/>
    <sheet name="TFTAnnouncement_header" sheetId="20" r:id="rId42"/>
    <sheet name="fontDesc_header" sheetId="45" r:id="rId43"/>
    <sheet name="fontType_header" sheetId="46" r:id="rId44"/>
    <sheet name="fontResolution_header" sheetId="47" r:id="rId45"/>
    <sheet name="fontStyle_header" sheetId="48" r:id="rId46"/>
    <sheet name="font_CSSStyle_header" sheetId="50" r:id="rId47"/>
    <sheet name="font_CSSIcon_header" sheetId="51" r:id="rId48"/>
  </sheets>
  <definedNames>
    <definedName name="_xlnm._FilterDatabase" localSheetId="8" hidden="1">champion_spell_header!$A$1:$G$345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7" l="1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382" i="56"/>
  <c r="D382" i="56"/>
  <c r="E382" i="56"/>
  <c r="F382" i="56"/>
  <c r="C383" i="56"/>
  <c r="D383" i="56"/>
  <c r="E383" i="56"/>
  <c r="F383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C344" i="56"/>
  <c r="C345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D344" i="56"/>
  <c r="E344" i="56"/>
  <c r="F344" i="56"/>
  <c r="D345" i="56"/>
  <c r="E345" i="56"/>
  <c r="F345" i="56"/>
  <c r="F12" i="56"/>
  <c r="C12" i="56"/>
  <c r="E12" i="56"/>
  <c r="D12" i="56"/>
</calcChain>
</file>

<file path=xl/sharedStrings.xml><?xml version="1.0" encoding="utf-8"?>
<sst xmlns="http://schemas.openxmlformats.org/spreadsheetml/2006/main" count="8415" uniqueCount="3899">
  <si>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</si>
  <si>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</si>
  <si>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</si>
  <si>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</si>
  <si>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</si>
  <si>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</si>
  <si>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</si>
  <si>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</si>
  <si>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</si>
  <si>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</si>
  <si>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</si>
  <si>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</si>
  <si>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</si>
  <si>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</si>
  <si>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</si>
  <si>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</si>
  <si>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</si>
  <si>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</si>
  <si>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</si>
  <si>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</si>
  <si>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</si>
  <si>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</si>
  <si>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</si>
  <si>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</si>
  <si>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</si>
  <si>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</si>
  <si>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</si>
  <si>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</si>
  <si>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</si>
  <si>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</si>
  <si>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</si>
  <si>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</si>
  <si>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</si>
  <si>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</si>
  <si>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</si>
  <si>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</si>
  <si>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</si>
  <si>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</si>
  <si>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</si>
  <si>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</si>
  <si>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</si>
  <si>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</si>
  <si>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</si>
  <si>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</si>
  <si>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</si>
  <si>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</si>
  <si>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</si>
  <si>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</si>
  <si>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</si>
  <si>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</si>
  <si>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</si>
  <si>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</si>
  <si>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</si>
  <si>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</si>
  <si>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</si>
  <si>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</si>
  <si>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</si>
  <si>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</si>
  <si>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</si>
  <si>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</si>
  <si>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</si>
  <si>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</si>
  <si>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</si>
  <si>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</si>
  <si>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</si>
  <si>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</si>
  <si>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</si>
  <si>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</si>
  <si>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</si>
  <si>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</si>
  <si>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</si>
  <si>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</si>
  <si>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</si>
  <si>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</si>
  <si>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</si>
  <si>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</si>
  <si>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</si>
  <si>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</si>
  <si>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</si>
  <si>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</si>
  <si>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</si>
  <si>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</si>
  <si>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</si>
  <si>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</si>
  <si>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</si>
  <si>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</si>
  <si>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</si>
  <si>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</si>
  <si>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</si>
  <si>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</si>
  <si>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</si>
  <si>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</si>
  <si>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</si>
  <si>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</si>
  <si>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</si>
  <si>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</si>
  <si>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</si>
  <si>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</si>
  <si>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</si>
  <si>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</si>
  <si>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</si>
  <si>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</si>
  <si>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</si>
  <si>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</si>
  <si>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</si>
  <si>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</si>
  <si>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</si>
  <si>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</si>
  <si>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</si>
  <si>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</si>
  <si>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</si>
  <si>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</si>
  <si>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</si>
  <si>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</si>
  <si>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</si>
  <si>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</si>
  <si>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</si>
  <si>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</si>
  <si>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</si>
  <si>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</si>
  <si>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</si>
  <si>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</si>
  <si>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</si>
  <si>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</si>
  <si>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</si>
  <si>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</si>
  <si>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</si>
  <si>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</si>
  <si>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</si>
  <si>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</si>
  <si>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</si>
  <si>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</si>
  <si>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</si>
  <si>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</si>
  <si>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</si>
  <si>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</si>
  <si>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</si>
  <si>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</si>
  <si>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</si>
  <si>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</si>
  <si>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</si>
  <si>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</si>
  <si>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</si>
  <si>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</si>
  <si>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</si>
  <si>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</si>
  <si>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</si>
  <si>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</si>
  <si>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</si>
  <si>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</si>
  <si>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</si>
  <si>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</si>
  <si>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</si>
  <si>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</si>
  <si>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</si>
  <si>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</si>
  <si>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</si>
  <si>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</si>
  <si>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</si>
  <si>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</si>
  <si>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</si>
  <si>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</si>
  <si>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</si>
  <si>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</si>
  <si>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</si>
  <si>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</si>
  <si>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</si>
  <si>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</si>
  <si>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</si>
  <si>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</si>
  <si>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</si>
  <si>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</si>
  <si>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</si>
  <si>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</si>
  <si>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</si>
  <si>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</si>
  <si>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</si>
  <si>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</si>
  <si>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</si>
  <si>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</si>
  <si>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</si>
  <si>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</si>
  <si>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</si>
  <si>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</si>
  <si>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</si>
  <si>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</si>
  <si>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</si>
  <si>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</si>
  <si>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</si>
  <si>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</si>
  <si>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</si>
  <si>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</si>
  <si>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</si>
  <si>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</si>
  <si>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</si>
  <si>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</si>
  <si>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</si>
  <si>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</si>
  <si>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</si>
  <si>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</si>
  <si>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</si>
  <si>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</si>
  <si>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</si>
  <si>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</si>
  <si>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</si>
  <si>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</si>
  <si>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</si>
  <si>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</si>
  <si>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</si>
  <si>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</si>
  <si>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</si>
  <si>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</si>
  <si>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</si>
  <si>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</si>
  <si>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</si>
  <si>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</si>
  <si>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</si>
  <si>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</si>
  <si>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</si>
  <si>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</si>
  <si>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</si>
  <si>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</si>
  <si>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</si>
  <si>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</si>
  <si>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</si>
  <si>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</si>
  <si>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</si>
  <si>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</si>
  <si>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</si>
  <si>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</si>
  <si>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</si>
  <si>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</si>
  <si>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</si>
  <si>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</si>
  <si>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</si>
  <si>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</si>
  <si>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</si>
  <si>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</si>
  <si>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</si>
  <si>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</si>
  <si>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</si>
  <si>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</si>
  <si>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</si>
  <si>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</si>
  <si>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</si>
  <si>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</si>
  <si>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</si>
  <si>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</si>
  <si>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</si>
  <si>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</si>
  <si>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</si>
  <si>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</si>
  <si>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</si>
  <si>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</si>
  <si>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</si>
  <si>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</si>
  <si>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</si>
  <si>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</si>
  <si>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</si>
  <si>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</si>
  <si>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</si>
  <si>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</si>
  <si>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</si>
  <si>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</si>
  <si>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</si>
  <si>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</si>
  <si>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</si>
  <si>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</si>
  <si>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</si>
  <si>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</si>
  <si>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</si>
  <si>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</si>
  <si>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</si>
  <si>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</si>
  <si>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</si>
  <si>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</si>
  <si>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</si>
  <si>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</si>
  <si>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</si>
  <si>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</si>
  <si>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</si>
  <si>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</si>
  <si>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</si>
  <si>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</si>
  <si>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</si>
  <si>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</si>
  <si>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</si>
  <si>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</si>
  <si>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</si>
  <si>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</si>
  <si>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</si>
  <si>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</si>
  <si>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</si>
  <si>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</si>
  <si>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</si>
  <si>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</si>
  <si>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</si>
  <si>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</si>
  <si>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</si>
  <si>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</si>
  <si>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</si>
  <si>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</si>
  <si>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</si>
  <si>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</si>
  <si>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</si>
  <si>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</si>
  <si>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</si>
  <si>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</si>
  <si>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</si>
  <si>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</si>
  <si>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</si>
  <si>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</si>
  <si>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</si>
  <si>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</si>
  <si>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</si>
  <si>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</si>
  <si>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</si>
  <si>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</si>
  <si>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</si>
  <si>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</si>
  <si>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</si>
  <si>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</si>
  <si>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</si>
  <si>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</si>
  <si>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</si>
  <si>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</si>
  <si>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</si>
  <si>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</si>
  <si>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</si>
  <si>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</si>
  <si>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</si>
  <si>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</si>
  <si>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</si>
  <si>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</si>
  <si>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</si>
  <si>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</si>
  <si>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</si>
  <si>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</si>
  <si>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</si>
  <si>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</si>
  <si>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</si>
  <si>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</si>
  <si>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</si>
  <si>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</si>
  <si>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</si>
  <si>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</si>
  <si>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</si>
  <si>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</si>
  <si>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</si>
  <si>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</si>
  <si>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</si>
  <si>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</si>
  <si>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</si>
  <si>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</si>
  <si>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</si>
  <si>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</si>
  <si>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</si>
  <si>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</si>
  <si>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</si>
  <si>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</si>
  <si>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</si>
  <si>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</si>
  <si>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</si>
  <si>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</si>
  <si>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</si>
  <si>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</si>
  <si>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</si>
  <si>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</si>
  <si>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</si>
  <si>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</si>
  <si>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</si>
  <si>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</si>
  <si>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</si>
  <si>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</si>
  <si>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</si>
  <si>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</si>
  <si>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</si>
  <si>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</si>
  <si>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</si>
  <si>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</si>
  <si>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</si>
  <si>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</si>
  <si>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</si>
  <si>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</si>
  <si>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</si>
  <si>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</si>
  <si>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</si>
  <si>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</si>
  <si>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</si>
  <si>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</si>
  <si>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</si>
  <si>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</si>
  <si>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</si>
  <si>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</si>
  <si>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</si>
  <si>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</si>
  <si>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</si>
  <si>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</si>
  <si>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</si>
  <si>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</si>
  <si>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</si>
  <si>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</si>
  <si>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</si>
  <si>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</si>
  <si>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</si>
  <si>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</si>
  <si>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</si>
  <si>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</si>
  <si>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</si>
  <si>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</si>
  <si>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</si>
  <si>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</si>
  <si>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</si>
  <si>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</si>
  <si>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</si>
  <si>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</si>
  <si>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</si>
  <si>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</si>
  <si>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</si>
  <si>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</si>
  <si>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</si>
  <si>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</si>
  <si>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</si>
  <si>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</si>
  <si>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</si>
  <si>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</si>
  <si>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</si>
  <si>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</si>
  <si>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</si>
  <si>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</si>
  <si>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</si>
  <si>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</si>
  <si>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</si>
  <si>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</si>
  <si>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</si>
  <si>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</si>
  <si>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</si>
  <si>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</si>
  <si>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</si>
  <si>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</si>
  <si>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</si>
  <si>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</si>
  <si>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</si>
  <si>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</si>
  <si>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</si>
  <si>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</si>
  <si>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</si>
  <si>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</si>
  <si>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</si>
  <si>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</si>
  <si>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</si>
  <si>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</si>
  <si>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</si>
  <si>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</si>
  <si>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</si>
  <si>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</si>
  <si>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</si>
  <si>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</si>
  <si>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</si>
  <si>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</si>
  <si>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</si>
  <si>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</si>
  <si>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</si>
  <si>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</si>
  <si>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</si>
  <si>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</si>
  <si>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</si>
  <si>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</si>
  <si>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</si>
  <si>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</si>
  <si>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</si>
  <si>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</si>
  <si>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</si>
  <si>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</si>
  <si>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</si>
  <si>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</si>
  <si>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</si>
  <si>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</si>
  <si>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</si>
  <si>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</si>
  <si>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</si>
  <si>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</si>
  <si>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</si>
  <si>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</si>
  <si>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</si>
  <si>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</si>
  <si>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</si>
  <si>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</si>
  <si>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</si>
  <si>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</si>
  <si>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</si>
  <si>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</si>
  <si>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</si>
  <si>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</si>
  <si>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</si>
  <si>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</si>
  <si>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</si>
  <si>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</si>
  <si>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</si>
  <si>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</si>
  <si>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</si>
  <si>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</si>
  <si>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</si>
  <si>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</si>
  <si>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</si>
  <si>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</si>
  <si>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</si>
  <si>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</si>
  <si>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</si>
  <si>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</si>
  <si>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</si>
  <si>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</si>
  <si>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</si>
  <si>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</si>
  <si>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</si>
  <si>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</si>
  <si>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</si>
  <si>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</si>
  <si>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</si>
  <si>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</si>
  <si>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</si>
  <si>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</si>
  <si>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</si>
  <si>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</si>
  <si>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</si>
  <si>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</si>
  <si>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</si>
  <si>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</si>
  <si>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</si>
  <si>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</si>
  <si>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</si>
  <si>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</si>
  <si>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</si>
  <si>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</si>
  <si>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</si>
  <si>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</si>
  <si>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</si>
  <si>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</si>
  <si>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</si>
  <si>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</si>
  <si>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</si>
  <si>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</si>
  <si>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</si>
  <si>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</si>
  <si>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</si>
  <si>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</si>
  <si>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</si>
  <si>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</si>
  <si>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</si>
  <si>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</si>
  <si>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</si>
  <si>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</si>
  <si>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</si>
  <si>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</si>
  <si>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</si>
  <si>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</si>
  <si>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</si>
  <si>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</si>
  <si>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</si>
  <si>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</si>
  <si>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</si>
  <si>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</si>
  <si>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</si>
  <si>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</si>
  <si>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</si>
  <si>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</si>
  <si>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</si>
  <si>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</si>
  <si>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</si>
  <si>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</si>
  <si>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</si>
  <si>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</si>
  <si>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</si>
  <si>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</si>
  <si>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</si>
  <si>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</si>
  <si>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</si>
  <si>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</si>
  <si>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</si>
  <si>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</si>
  <si>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</si>
  <si>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</si>
  <si>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</si>
  <si>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</si>
  <si>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</si>
  <si>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</si>
  <si>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</si>
  <si>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</si>
  <si>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</si>
  <si>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</si>
  <si>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</si>
  <si>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</si>
  <si>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</si>
  <si>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</si>
  <si>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</si>
  <si>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</si>
  <si>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</si>
  <si>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</si>
  <si>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</si>
  <si>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</si>
  <si>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</si>
  <si>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</si>
  <si>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</si>
  <si>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</si>
  <si>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</si>
  <si>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</si>
  <si>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</si>
  <si>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</si>
  <si>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</si>
  <si>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</si>
  <si>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</si>
  <si>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</si>
  <si>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</si>
  <si>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</si>
  <si>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</si>
  <si>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</si>
  <si>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</si>
  <si>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</si>
  <si>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</si>
  <si>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</si>
  <si>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</si>
  <si>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</si>
  <si>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</si>
  <si>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</si>
  <si>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</si>
  <si>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</si>
  <si>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</si>
  <si>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</si>
  <si>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</si>
  <si>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</si>
  <si>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</si>
  <si>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</si>
  <si>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</si>
  <si>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</si>
  <si>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</si>
  <si>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</si>
  <si>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</si>
  <si>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</si>
  <si>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</si>
  <si>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</si>
  <si>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</si>
  <si>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</si>
  <si>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</si>
  <si>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</si>
  <si>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</si>
  <si>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</si>
  <si>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</si>
  <si>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</si>
  <si>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</si>
  <si>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</si>
  <si>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</si>
  <si>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</si>
  <si>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</si>
  <si>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</si>
  <si>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</si>
  <si>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</si>
  <si>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</si>
  <si>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</si>
  <si>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</si>
  <si>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</si>
  <si>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</si>
  <si>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</si>
  <si>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</si>
  <si>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</si>
  <si>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</si>
  <si>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</si>
  <si>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</si>
  <si>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</si>
  <si>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</si>
  <si>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</si>
  <si>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</si>
  <si>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</si>
  <si>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</si>
  <si>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</si>
  <si>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</si>
  <si>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</si>
  <si>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</si>
  <si>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</si>
  <si>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</si>
  <si>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</si>
  <si>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</si>
  <si>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</si>
  <si>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</si>
  <si>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</si>
  <si>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</si>
  <si>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</si>
  <si>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</si>
  <si>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</si>
  <si>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</si>
  <si>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</si>
  <si>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</si>
  <si>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</si>
  <si>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</si>
  <si>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</si>
  <si>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</si>
  <si>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</si>
  <si>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</si>
  <si>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</si>
  <si>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</si>
  <si>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</si>
  <si>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</si>
  <si>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</si>
  <si>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</si>
  <si>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</si>
  <si>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</si>
  <si>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</si>
  <si>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</si>
  <si>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</si>
  <si>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</si>
  <si>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</si>
  <si>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</si>
  <si>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</si>
  <si>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</si>
  <si>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</si>
  <si>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</si>
  <si>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</si>
  <si>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</si>
  <si>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</si>
  <si>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</si>
  <si>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</si>
  <si>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</si>
  <si>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</si>
  <si>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</si>
  <si>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</si>
  <si>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</si>
  <si>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</si>
  <si>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</si>
  <si>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</si>
  <si>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</si>
  <si>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</si>
  <si>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</si>
  <si>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</si>
  <si>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</si>
  <si>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</si>
  <si>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</si>
  <si>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</si>
  <si>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</si>
  <si>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</si>
  <si>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</si>
  <si>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</si>
  <si>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</si>
  <si>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</si>
  <si>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</si>
  <si>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</si>
  <si>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</si>
  <si>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</si>
  <si>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</si>
  <si>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</si>
  <si>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</si>
  <si>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</si>
  <si>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</si>
  <si>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</si>
  <si>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</si>
  <si>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</si>
  <si>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</si>
  <si>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</si>
  <si>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</si>
  <si>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</si>
  <si>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</si>
  <si>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</si>
  <si>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</si>
  <si>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</si>
  <si>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</si>
  <si>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</si>
  <si>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</si>
  <si>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</si>
  <si>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</si>
  <si>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</si>
  <si>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</si>
  <si>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</si>
  <si>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</si>
  <si>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</si>
  <si>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</si>
  <si>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</si>
  <si>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</si>
  <si>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</si>
  <si>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</si>
  <si>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</si>
  <si>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</si>
  <si>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</si>
  <si>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</si>
  <si>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</si>
  <si>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</si>
  <si>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</si>
  <si>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</si>
  <si>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</si>
  <si>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</si>
  <si>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</si>
  <si>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</si>
  <si>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</si>
  <si>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</si>
  <si>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</si>
  <si>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</si>
  <si>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</si>
  <si>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</si>
  <si>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</si>
  <si>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</si>
  <si>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</si>
  <si>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</si>
  <si>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</si>
  <si>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</si>
  <si>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</si>
  <si>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</si>
  <si>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</si>
  <si>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</si>
  <si>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</si>
  <si>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</si>
  <si>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</si>
  <si>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</si>
  <si>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</si>
  <si>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</si>
  <si>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</si>
  <si>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</si>
  <si>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</si>
  <si>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</si>
  <si>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</si>
  <si>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</si>
  <si>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</si>
  <si>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</si>
  <si>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</si>
  <si>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</si>
  <si>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</si>
  <si>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</si>
  <si>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</si>
  <si>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</si>
  <si>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</si>
  <si>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</si>
  <si>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</si>
  <si>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</si>
  <si>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</si>
  <si>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</si>
  <si>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</si>
  <si>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</si>
  <si>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</si>
  <si>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</si>
  <si>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</si>
  <si>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</si>
  <si>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</si>
  <si>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</si>
  <si>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</si>
  <si>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</si>
  <si>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</si>
  <si>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</si>
  <si>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</si>
  <si>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</si>
  <si>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</si>
  <si>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</si>
  <si>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</si>
  <si>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</si>
  <si>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</si>
  <si>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</si>
  <si>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</si>
  <si>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</si>
  <si>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</si>
  <si>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</si>
  <si>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</si>
  <si>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</si>
  <si>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</si>
  <si>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</si>
  <si>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</si>
  <si>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</si>
  <si>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</si>
  <si>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</si>
  <si>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</si>
  <si>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</si>
  <si>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</si>
  <si>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</si>
  <si>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</si>
  <si>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</si>
  <si>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</si>
  <si>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</si>
  <si>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</si>
  <si>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</si>
  <si>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</si>
  <si>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</si>
  <si>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</si>
  <si>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</si>
  <si>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</si>
  <si>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</si>
  <si>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</si>
  <si>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</si>
  <si>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</si>
  <si>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</si>
  <si>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</si>
  <si>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</si>
  <si>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</si>
  <si>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</si>
  <si>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</si>
  <si>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</si>
  <si>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</si>
  <si>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</si>
  <si>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</si>
  <si>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</si>
  <si>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</si>
  <si>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</si>
  <si>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</si>
  <si>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</si>
  <si>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</si>
  <si>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</si>
  <si>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</si>
  <si>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</si>
  <si>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</si>
  <si>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</si>
  <si>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</si>
  <si>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</si>
  <si>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</si>
  <si>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</si>
  <si>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</si>
  <si>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</si>
  <si>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</si>
  <si>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</si>
  <si>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</si>
  <si>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</si>
  <si>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</si>
  <si>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</si>
  <si>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</si>
  <si>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</si>
  <si>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</si>
  <si>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</si>
  <si>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</si>
  <si>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</si>
  <si>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</si>
  <si>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</si>
  <si>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</si>
  <si>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</si>
  <si>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</si>
  <si>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</si>
  <si>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</si>
  <si>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</si>
  <si>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</si>
  <si>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</si>
  <si>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</si>
  <si>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</si>
  <si>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</si>
  <si>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</si>
  <si>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</si>
  <si>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</si>
  <si>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</si>
  <si>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</si>
  <si>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</si>
  <si>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</si>
  <si>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</si>
  <si>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</si>
  <si>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</si>
  <si>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</si>
  <si>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</si>
  <si>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</si>
  <si>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</si>
  <si>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</si>
  <si>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</si>
  <si>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</si>
  <si>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</si>
  <si>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</si>
  <si>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</si>
  <si>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</si>
  <si>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</si>
  <si>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</si>
  <si>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</si>
  <si>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</si>
  <si>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</si>
  <si>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</si>
  <si>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</si>
  <si>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</si>
  <si>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</si>
  <si>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</si>
  <si>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</si>
  <si>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</si>
  <si>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</si>
  <si>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</si>
  <si>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</si>
  <si>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</si>
  <si>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</si>
  <si>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</si>
  <si>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</si>
  <si>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</si>
  <si>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</si>
  <si>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</si>
  <si>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</si>
  <si>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</si>
  <si>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</si>
  <si>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</si>
  <si>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</si>
  <si>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</si>
  <si>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</si>
  <si>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</si>
  <si>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</si>
  <si>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</si>
  <si>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</si>
  <si>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</si>
  <si>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</si>
  <si>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</si>
  <si>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</si>
  <si>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</si>
  <si>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</si>
  <si>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</si>
  <si>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</si>
  <si>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</si>
  <si>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</si>
  <si>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</si>
  <si>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</si>
  <si>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</si>
  <si>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</si>
  <si>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</si>
  <si>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</si>
  <si>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</si>
  <si>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</si>
  <si>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</si>
  <si>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</si>
  <si>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</si>
  <si>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</si>
  <si>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</si>
  <si>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</si>
  <si>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</si>
  <si>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</si>
  <si>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</si>
  <si>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</si>
  <si>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</si>
  <si>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</si>
  <si>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</si>
  <si>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</si>
  <si>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</si>
  <si>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</si>
  <si>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</si>
  <si>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</si>
  <si>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</si>
  <si>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</si>
  <si>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</si>
  <si>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</si>
  <si>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</si>
  <si>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</si>
  <si>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</si>
  <si>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</si>
  <si>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</si>
  <si>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</si>
  <si>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</si>
  <si>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</si>
  <si>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</si>
  <si>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</si>
  <si>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</si>
  <si>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</si>
  <si>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</si>
  <si>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</si>
  <si>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</si>
  <si>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</si>
  <si>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</si>
  <si>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</si>
  <si>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</si>
  <si>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</si>
  <si>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</si>
  <si>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</si>
  <si>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</si>
  <si>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</si>
  <si>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</si>
  <si>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</si>
  <si>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</si>
  <si>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</si>
  <si>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</si>
  <si>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</si>
  <si>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</si>
  <si>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</si>
  <si>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</si>
  <si>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</si>
  <si>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</si>
  <si>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</si>
  <si>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</si>
  <si>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</si>
  <si>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</si>
  <si>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</si>
  <si>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</si>
  <si>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</si>
  <si>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</si>
  <si>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</si>
  <si>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</si>
  <si>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</si>
  <si>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</si>
  <si>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</si>
  <si>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</si>
  <si>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</si>
  <si>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</si>
  <si>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</si>
  <si>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</si>
  <si>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</si>
  <si>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</si>
  <si>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</si>
  <si>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</si>
  <si>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</si>
  <si>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</si>
  <si>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</si>
  <si>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</si>
  <si>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</si>
  <si>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</si>
  <si>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</si>
  <si>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</si>
  <si>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</si>
  <si>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</si>
  <si>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</si>
  <si>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</si>
  <si>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</si>
  <si>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</si>
  <si>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</si>
  <si>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</si>
  <si>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</si>
  <si>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</si>
  <si>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</si>
  <si>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</si>
  <si>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</si>
  <si>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</si>
  <si>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</si>
  <si>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</si>
  <si>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</si>
  <si>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</si>
  <si>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</si>
  <si>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</si>
  <si>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</si>
  <si>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</si>
  <si>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</si>
  <si>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</si>
  <si>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</si>
  <si>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</si>
  <si>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</si>
  <si>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</si>
  <si>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</si>
  <si>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</si>
  <si>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</si>
  <si>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</si>
  <si>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</si>
  <si>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</si>
  <si>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</si>
  <si>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</si>
  <si>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</si>
  <si>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</si>
  <si>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</si>
  <si>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</si>
  <si>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</si>
  <si>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</si>
  <si>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</si>
  <si>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</si>
  <si>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</si>
  <si>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</si>
  <si>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</si>
  <si>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</si>
  <si>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</si>
  <si>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</si>
  <si>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</si>
  <si>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</si>
  <si>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</si>
  <si>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</si>
  <si>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</si>
  <si>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</si>
  <si>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</si>
  <si>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</si>
  <si>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</si>
  <si>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</si>
  <si>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</si>
  <si>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</si>
  <si>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</si>
  <si>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</si>
  <si>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</si>
  <si>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</si>
  <si>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</si>
  <si>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</si>
  <si>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</si>
  <si>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</si>
  <si>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</si>
  <si>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</si>
  <si>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</si>
  <si>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</si>
  <si>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</si>
  <si>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</si>
  <si>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</si>
  <si>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</si>
  <si>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</si>
  <si>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</si>
  <si>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</si>
  <si>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</si>
  <si>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</si>
  <si>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</si>
  <si>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</si>
  <si>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</si>
  <si>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</si>
  <si>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</si>
  <si>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</si>
  <si>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</si>
  <si>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</si>
  <si>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</si>
  <si>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</si>
  <si>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</si>
  <si>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</si>
  <si>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</si>
  <si>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</si>
  <si>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</si>
  <si>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</si>
  <si>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</si>
  <si>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</si>
  <si>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</si>
  <si>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</si>
  <si>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</si>
  <si>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</si>
  <si>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</si>
  <si>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</si>
  <si>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</si>
  <si>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</si>
  <si>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</si>
  <si>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</si>
  <si>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</si>
  <si>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</si>
  <si>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</si>
  <si>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</si>
  <si>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</si>
  <si>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</si>
  <si>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</si>
  <si>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</si>
  <si>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</si>
  <si>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</si>
  <si>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</si>
  <si>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</si>
  <si>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</si>
  <si>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</si>
  <si>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</si>
  <si>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</si>
  <si>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</si>
  <si>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</si>
  <si>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</si>
  <si>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</si>
  <si>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</si>
  <si>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</si>
  <si>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</si>
  <si>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</si>
  <si>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</si>
  <si>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</si>
  <si>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</si>
  <si>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</si>
  <si>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</si>
  <si>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</si>
  <si>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</si>
  <si>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</si>
  <si>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</si>
  <si>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</si>
  <si>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</si>
  <si>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</si>
  <si>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</si>
  <si>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</si>
  <si>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</si>
  <si>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</si>
  <si>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</si>
  <si>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</si>
  <si>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</si>
  <si>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</si>
  <si>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</si>
  <si>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</si>
  <si>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</si>
  <si>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</si>
  <si>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</si>
  <si>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</si>
  <si>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</si>
  <si>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</si>
  <si>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</si>
  <si>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</si>
  <si>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</si>
  <si>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</si>
  <si>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</si>
  <si>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</si>
  <si>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</si>
  <si>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</si>
  <si>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</si>
  <si>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</si>
  <si>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</si>
  <si>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</si>
  <si>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</si>
  <si>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</si>
  <si>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</si>
  <si>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</si>
  <si>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</si>
  <si>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</si>
  <si>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</si>
  <si>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</si>
  <si>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</si>
  <si>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</si>
  <si>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</si>
  <si>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</si>
  <si>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</si>
  <si>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</si>
  <si>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</si>
  <si>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</si>
  <si>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</si>
  <si>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</si>
  <si>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</si>
  <si>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</si>
  <si>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</si>
  <si>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</si>
  <si>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</si>
  <si>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</si>
  <si>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</si>
  <si>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</si>
  <si>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</si>
  <si>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</si>
  <si>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</si>
  <si>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</si>
  <si>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</si>
  <si>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</si>
  <si>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</si>
  <si>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</si>
  <si>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</si>
  <si>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</si>
  <si>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</si>
  <si>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</si>
  <si>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</si>
  <si>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</si>
  <si>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</si>
  <si>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</si>
  <si>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</si>
  <si>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</si>
  <si>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</si>
  <si>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</si>
  <si>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</si>
  <si>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</si>
  <si>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</si>
  <si>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</si>
  <si>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</si>
  <si>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</si>
  <si>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</si>
  <si>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</si>
  <si>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</si>
  <si>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</si>
  <si>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</si>
  <si>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</si>
  <si>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</si>
  <si>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</si>
  <si>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</si>
  <si>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</si>
  <si>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</si>
  <si>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</si>
  <si>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</si>
  <si>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</si>
  <si>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</si>
  <si>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</si>
  <si>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</si>
  <si>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</si>
  <si>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</si>
  <si>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</si>
  <si>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</si>
  <si>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</si>
  <si>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</si>
  <si>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</si>
  <si>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</si>
  <si>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</si>
  <si>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</si>
  <si>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</si>
  <si>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</si>
  <si>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</si>
  <si>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</si>
  <si>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</si>
  <si>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</si>
  <si>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</si>
  <si>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</si>
  <si>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</si>
  <si>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</si>
  <si>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</si>
  <si>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</si>
  <si>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</si>
  <si>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</si>
  <si>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</si>
  <si>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</si>
  <si>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</si>
  <si>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</si>
  <si>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</si>
  <si>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</si>
  <si>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</si>
  <si>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</si>
  <si>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</si>
  <si>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</si>
  <si>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</si>
  <si>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</si>
  <si>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</si>
  <si>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</si>
  <si>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</si>
  <si>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</si>
  <si>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</si>
  <si>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</si>
  <si>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</si>
  <si>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</si>
  <si>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</si>
  <si>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</si>
  <si>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</si>
  <si>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</si>
  <si>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</si>
  <si>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</si>
  <si>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</si>
  <si>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</si>
  <si>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</si>
  <si>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</si>
  <si>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</si>
  <si>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</si>
  <si>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</si>
  <si>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</si>
  <si>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</si>
  <si>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</si>
  <si>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</si>
  <si>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</si>
  <si>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</si>
  <si>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</si>
  <si>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</si>
  <si>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</si>
  <si>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</si>
  <si>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</si>
  <si>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</si>
  <si>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</si>
  <si>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</si>
  <si>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</si>
  <si>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</si>
  <si>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</si>
  <si>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</si>
  <si>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</si>
  <si>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</si>
  <si>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</si>
  <si>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</si>
  <si>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</si>
  <si>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</si>
  <si>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</si>
  <si>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</si>
  <si>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</si>
  <si>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</si>
  <si>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</si>
  <si>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</si>
  <si>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</si>
  <si>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</si>
  <si>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</si>
  <si>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</si>
  <si>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</si>
  <si>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</si>
  <si>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</si>
  <si>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</si>
  <si>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</si>
  <si>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</si>
  <si>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</si>
  <si>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</si>
  <si>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</si>
  <si>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</si>
  <si>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</si>
  <si>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</si>
  <si>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</si>
  <si>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</si>
  <si>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</si>
  <si>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</si>
  <si>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</si>
  <si>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</si>
  <si>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</si>
  <si>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</si>
  <si>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</si>
  <si>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</si>
  <si>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</si>
  <si>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</si>
  <si>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</si>
  <si>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</si>
  <si>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</si>
  <si>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</si>
  <si>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</si>
  <si>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</si>
  <si>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</si>
  <si>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</si>
  <si>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</si>
  <si>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</si>
  <si>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</si>
  <si>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</si>
  <si>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</si>
  <si>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</si>
  <si>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</si>
  <si>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</si>
  <si>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</si>
  <si>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</si>
  <si>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</si>
  <si>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</si>
  <si>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</si>
  <si>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</si>
  <si>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</si>
  <si>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</si>
  <si>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</si>
  <si>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</si>
  <si>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</si>
  <si>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</si>
  <si>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</si>
  <si>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</si>
  <si>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</si>
  <si>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</si>
  <si>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</si>
  <si>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</si>
  <si>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</si>
  <si>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</si>
  <si>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</si>
  <si>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</si>
  <si>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</si>
  <si>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</si>
  <si>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</si>
  <si>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</si>
  <si>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</si>
  <si>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</si>
  <si>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</si>
  <si>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</si>
  <si>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</si>
  <si>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</si>
  <si>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</si>
  <si>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</si>
  <si>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</si>
  <si>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</si>
  <si>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</si>
  <si>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</si>
  <si>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</si>
  <si>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</si>
  <si>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</si>
  <si>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</si>
  <si>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</si>
  <si>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</si>
  <si>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</si>
  <si>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</si>
  <si>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</si>
  <si>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</si>
  <si>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</si>
  <si>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</si>
  <si>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</si>
  <si>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</si>
  <si>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</si>
  <si>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</si>
  <si>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</si>
  <si>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</si>
  <si>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</si>
  <si>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</si>
  <si>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</si>
  <si>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</si>
  <si>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</si>
  <si>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</si>
  <si>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</si>
  <si>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</si>
  <si>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</si>
  <si>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</si>
  <si>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</si>
  <si>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</si>
  <si>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</si>
  <si>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</si>
  <si>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</si>
  <si>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</si>
  <si>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</si>
  <si>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</si>
  <si>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</si>
  <si>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</si>
  <si>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</si>
  <si>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</si>
  <si>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</si>
  <si>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</si>
  <si>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</si>
  <si>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</si>
  <si>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</si>
  <si>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</si>
  <si>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</si>
  <si>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</si>
  <si>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</si>
  <si>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</si>
  <si>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</si>
  <si>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</si>
  <si>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</si>
  <si>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</si>
  <si>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</si>
  <si>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</si>
  <si>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</si>
  <si>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</si>
  <si>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</si>
  <si>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</si>
  <si>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</si>
  <si>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</si>
  <si>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</si>
  <si>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</si>
  <si>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</si>
  <si>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</si>
  <si>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</si>
  <si>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</si>
  <si>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</si>
  <si>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</si>
  <si>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</si>
  <si>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</si>
  <si>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</si>
  <si>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</si>
  <si>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</si>
  <si>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</si>
  <si>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</si>
  <si>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</si>
  <si>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</si>
  <si>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</si>
  <si>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</si>
  <si>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</si>
  <si>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</si>
  <si>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</si>
  <si>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</si>
  <si>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</si>
  <si>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</si>
  <si>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</si>
  <si>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</si>
  <si>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</si>
  <si>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</si>
  <si>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</si>
  <si>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</si>
  <si>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</si>
  <si>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</si>
  <si>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</si>
  <si>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</si>
  <si>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</si>
  <si>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</si>
  <si>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</si>
  <si>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</si>
  <si>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</si>
  <si>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</si>
  <si>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</si>
  <si>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</si>
  <si>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</si>
  <si>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</si>
  <si>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</si>
  <si>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</si>
  <si>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</si>
  <si>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</si>
  <si>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</si>
  <si>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</si>
  <si>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</si>
  <si>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</si>
  <si>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</si>
  <si>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</si>
  <si>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</si>
  <si>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</si>
  <si>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</si>
  <si>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</si>
  <si>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</si>
  <si>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</si>
  <si>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</si>
  <si>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</si>
  <si>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</si>
  <si>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</si>
  <si>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</si>
  <si>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</si>
  <si>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</si>
  <si>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</si>
  <si>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</si>
  <si>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</si>
  <si>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</si>
  <si>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</si>
  <si>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</si>
  <si>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</si>
  <si>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</si>
  <si>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</si>
  <si>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</si>
  <si>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</si>
  <si>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</si>
  <si>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</si>
  <si>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</si>
  <si>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</si>
  <si>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</si>
  <si>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</si>
  <si>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</si>
  <si>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</si>
  <si>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</si>
  <si>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</si>
  <si>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</si>
  <si>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</si>
  <si>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</si>
  <si>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</si>
  <si>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</si>
  <si>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</si>
  <si>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</si>
  <si>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</si>
  <si>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</si>
  <si>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</si>
  <si>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</si>
  <si>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</si>
  <si>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</si>
  <si>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</si>
  <si>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</si>
  <si>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</si>
  <si>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</si>
  <si>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</si>
  <si>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</si>
  <si>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</si>
  <si>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</si>
  <si>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</si>
  <si>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</si>
  <si>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</si>
  <si>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</si>
  <si>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</si>
  <si>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</si>
  <si>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</si>
  <si>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</si>
  <si>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</si>
  <si>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</si>
  <si>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</si>
  <si>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</si>
  <si>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</si>
  <si>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</si>
  <si>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</si>
  <si>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</si>
  <si>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</si>
  <si>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</si>
  <si>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</si>
  <si>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</si>
  <si>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</si>
  <si>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</si>
  <si>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</si>
  <si>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</si>
  <si>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</si>
  <si>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</si>
  <si>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</si>
  <si>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</si>
  <si>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</si>
  <si>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</si>
  <si>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</si>
  <si>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</si>
  <si>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</si>
  <si>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</si>
  <si>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</si>
  <si>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</si>
  <si>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</si>
  <si>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</si>
  <si>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</si>
  <si>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</si>
  <si>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</si>
  <si>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</si>
  <si>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</si>
  <si>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</si>
  <si>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</si>
  <si>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</si>
  <si>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</si>
  <si>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</si>
  <si>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</si>
  <si>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</si>
  <si>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</si>
  <si>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</si>
  <si>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</si>
  <si>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</si>
  <si>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</si>
  <si>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</si>
  <si>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</si>
  <si>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</si>
  <si>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</si>
  <si>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</si>
  <si>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</si>
  <si>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</si>
  <si>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</si>
  <si>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</si>
  <si>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</si>
  <si>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</si>
  <si>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</si>
  <si>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</si>
  <si>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</si>
  <si>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</si>
  <si>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</si>
  <si>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</si>
  <si>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</si>
  <si>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</si>
  <si>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</si>
  <si>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</si>
  <si>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</si>
  <si>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</si>
  <si>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</si>
  <si>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</si>
  <si>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</si>
  <si>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</si>
  <si>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</si>
  <si>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</si>
  <si>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</si>
  <si>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</si>
  <si>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</si>
  <si>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</si>
  <si>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</si>
  <si>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</si>
  <si>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</si>
  <si>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</si>
  <si>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</si>
  <si>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</si>
  <si>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</si>
  <si>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</si>
  <si>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</si>
  <si>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</si>
  <si>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</si>
  <si>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</si>
  <si>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</si>
  <si>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</si>
  <si>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</si>
  <si>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</si>
  <si>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</si>
  <si>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</si>
  <si>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</si>
  <si>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</si>
  <si>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</si>
  <si>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</si>
  <si>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</si>
  <si>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</si>
  <si>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</si>
  <si>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</si>
  <si>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</si>
  <si>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</si>
  <si>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</si>
  <si>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</si>
  <si>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</si>
  <si>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</si>
  <si>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</si>
  <si>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</si>
  <si>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</si>
  <si>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</si>
  <si>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</si>
  <si>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</si>
  <si>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</si>
  <si>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</si>
  <si>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</si>
  <si>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</si>
  <si>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</si>
  <si>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</si>
  <si>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</si>
  <si>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</si>
  <si>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</si>
  <si>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</si>
  <si>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</si>
  <si>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</si>
  <si>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</si>
  <si>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</si>
  <si>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</si>
  <si>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</si>
  <si>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</si>
  <si>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</si>
  <si>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</si>
  <si>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</si>
  <si>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</si>
  <si>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</si>
  <si>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</si>
  <si>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</si>
  <si>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</si>
  <si>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</si>
  <si>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</si>
  <si>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</si>
  <si>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</si>
  <si>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</si>
  <si>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</si>
  <si>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</si>
  <si>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</si>
  <si>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</si>
  <si>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</si>
  <si>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</si>
  <si>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</si>
  <si>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</si>
  <si>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</si>
  <si>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</si>
  <si>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</si>
  <si>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</si>
  <si>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</si>
  <si>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</si>
  <si>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</si>
  <si>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</si>
  <si>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</si>
  <si>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</si>
  <si>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</si>
  <si>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</si>
  <si>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</si>
  <si>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</si>
  <si>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</si>
  <si>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</si>
  <si>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</si>
  <si>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</si>
  <si>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</si>
  <si>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</si>
  <si>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</si>
  <si>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</si>
  <si>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</si>
  <si>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</si>
  <si>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</si>
  <si>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</si>
  <si>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</si>
  <si>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</si>
  <si>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</si>
  <si>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</si>
  <si>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</si>
  <si>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</si>
  <si>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</si>
  <si>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</si>
  <si>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</si>
  <si>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</si>
  <si>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</si>
  <si>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</si>
  <si>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</si>
  <si>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</si>
  <si>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</si>
  <si>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</si>
  <si>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</si>
  <si>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</si>
  <si>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</si>
  <si>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</si>
  <si>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</si>
  <si>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</si>
  <si>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</si>
  <si>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</si>
  <si>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</si>
  <si>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</si>
  <si>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</si>
  <si>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</si>
  <si>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</si>
  <si>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</si>
  <si>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</si>
  <si>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</si>
  <si>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</si>
  <si>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</si>
  <si>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</si>
  <si>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</si>
  <si>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</si>
  <si>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</si>
  <si>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</si>
  <si>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</si>
  <si>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</si>
  <si>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</si>
  <si>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</si>
  <si>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</si>
  <si>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</si>
  <si>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</si>
  <si>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</si>
  <si>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</si>
  <si>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</si>
  <si>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</si>
  <si>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</si>
  <si>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</si>
  <si>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</si>
  <si>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</si>
  <si>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</si>
  <si>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</si>
  <si>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</si>
  <si>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</si>
  <si>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</si>
  <si>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</si>
  <si>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</si>
  <si>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</si>
  <si>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</si>
  <si>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</si>
  <si>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</si>
  <si>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</si>
  <si>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</si>
  <si>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</si>
  <si>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</si>
  <si>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</si>
  <si>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</si>
  <si>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</si>
  <si>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</si>
  <si>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</si>
  <si>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</si>
  <si>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</si>
  <si>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</si>
  <si>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</si>
  <si>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</si>
  <si>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</si>
  <si>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</si>
  <si>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</si>
  <si>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</si>
  <si>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</si>
  <si>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</si>
  <si>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</si>
  <si>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</si>
  <si>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</si>
  <si>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</si>
  <si>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</si>
  <si>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</si>
  <si>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</si>
  <si>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</si>
  <si>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</si>
  <si>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</si>
  <si>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</si>
  <si>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</si>
  <si>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</si>
  <si>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</si>
  <si>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</si>
  <si>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</si>
  <si>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</si>
  <si>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</si>
  <si>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</si>
  <si>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</si>
  <si>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</si>
  <si>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</si>
  <si>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</si>
  <si>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</si>
  <si>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</si>
  <si>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</si>
  <si>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</si>
  <si>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</si>
  <si>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</si>
  <si>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</si>
  <si>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</si>
  <si>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</si>
  <si>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</si>
  <si>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</si>
  <si>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</si>
  <si>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</si>
  <si>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</si>
  <si>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</si>
  <si>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</si>
  <si>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</si>
  <si>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</si>
  <si>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</si>
  <si>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</si>
  <si>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</si>
  <si>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</si>
  <si>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</si>
  <si>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</si>
  <si>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</si>
  <si>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</si>
  <si>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</si>
  <si>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</si>
  <si>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</si>
  <si>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</si>
  <si>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</si>
  <si>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</si>
  <si>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</si>
  <si>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</si>
  <si>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</si>
  <si>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</si>
  <si>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</si>
  <si>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</si>
  <si>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</si>
  <si>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</si>
  <si>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</si>
  <si>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</si>
  <si>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</si>
  <si>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</si>
  <si>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</si>
  <si>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</si>
  <si>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</si>
  <si>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</si>
  <si>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</si>
  <si>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</si>
  <si>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</si>
  <si>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</si>
  <si>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</si>
  <si>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</si>
  <si>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</si>
  <si>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</si>
  <si>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</si>
  <si>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</si>
  <si>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</si>
  <si>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</si>
  <si>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</si>
  <si>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</si>
  <si>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</si>
  <si>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</si>
  <si>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</si>
  <si>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</si>
  <si>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</si>
  <si>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</si>
  <si>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</si>
  <si>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</si>
  <si>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</si>
  <si>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</si>
  <si>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</si>
  <si>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</si>
  <si>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</si>
  <si>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</si>
  <si>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</si>
  <si>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</si>
  <si>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</si>
  <si>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</si>
  <si>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</si>
  <si>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</si>
  <si>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</si>
  <si>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</si>
  <si>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</si>
  <si>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</si>
  <si>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</si>
  <si>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</si>
  <si>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</si>
  <si>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</si>
  <si>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所属技能的基本指令</t>
    <phoneticPr fontId="2" type="noConversion"/>
  </si>
  <si>
    <t>所属技能的附带指令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</si>
  <si>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</si>
  <si>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</si>
  <si>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</si>
  <si>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</si>
  <si>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championFolder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</si>
  <si>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</si>
  <si>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</si>
  <si>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</si>
  <si>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</si>
  <si>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</si>
  <si>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</si>
  <si>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</si>
  <si>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</si>
  <si>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</si>
  <si>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</si>
  <si>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</si>
  <si>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</si>
  <si>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</si>
  <si>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</si>
  <si>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</si>
  <si>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</si>
  <si>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</si>
  <si>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</si>
  <si>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</si>
  <si>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</si>
  <si>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</si>
  <si>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</si>
  <si>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</si>
  <si>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</si>
  <si>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</si>
  <si>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</si>
  <si>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</si>
  <si>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</si>
  <si>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</si>
  <si>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</si>
  <si>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</si>
  <si>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</si>
  <si>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</si>
  <si>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</si>
  <si>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</si>
  <si>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</si>
  <si>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</si>
  <si>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</si>
  <si>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</si>
  <si>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</si>
  <si>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</si>
  <si>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</si>
  <si>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</si>
  <si>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</si>
  <si>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</si>
  <si>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</si>
  <si>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</si>
  <si>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</si>
  <si>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</si>
  <si>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</si>
  <si>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</si>
  <si>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</si>
  <si>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</si>
  <si>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</si>
  <si>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</si>
  <si>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</si>
  <si>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</si>
  <si>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</si>
  <si>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</si>
  <si>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</si>
  <si>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</si>
  <si>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</si>
  <si>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</si>
  <si>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</si>
  <si>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</si>
  <si>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</si>
  <si>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</si>
  <si>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</si>
  <si>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</si>
  <si>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</si>
  <si>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</si>
  <si>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</si>
  <si>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</si>
  <si>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</si>
  <si>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</si>
  <si>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</si>
  <si>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</si>
  <si>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</si>
  <si>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</si>
  <si>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</si>
  <si>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</si>
  <si>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</si>
  <si>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</si>
  <si>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</si>
  <si>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</si>
  <si>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</si>
  <si>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</si>
  <si>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</si>
  <si>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</si>
  <si>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</si>
  <si>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</si>
  <si>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</si>
  <si>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</si>
  <si>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</si>
  <si>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</si>
  <si>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</si>
  <si>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</si>
  <si>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</si>
  <si>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</si>
  <si>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</si>
  <si>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</si>
  <si>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</si>
  <si>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</si>
  <si>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</si>
  <si>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</si>
  <si>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</si>
  <si>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</si>
  <si>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</si>
  <si>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</si>
  <si>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</si>
  <si>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</si>
  <si>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</si>
  <si>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</si>
  <si>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</si>
  <si>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</si>
  <si>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</si>
  <si>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</si>
  <si>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</si>
  <si>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</si>
  <si>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</si>
  <si>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</si>
  <si>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</si>
  <si>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</si>
  <si>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</si>
  <si>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</si>
  <si>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</si>
  <si>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</si>
  <si>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</si>
  <si>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</si>
  <si>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</si>
  <si>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</si>
  <si>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</si>
  <si>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</si>
  <si>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</si>
  <si>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</si>
  <si>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</si>
  <si>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</si>
  <si>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</si>
  <si>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</si>
  <si>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</si>
  <si>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</si>
  <si>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</si>
  <si>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</si>
  <si>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</si>
  <si>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</si>
  <si>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</si>
  <si>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</si>
  <si>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</si>
  <si>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</si>
  <si>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</si>
  <si>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</si>
  <si>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</si>
  <si>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</si>
  <si>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</si>
  <si>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</si>
  <si>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</si>
  <si>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</si>
  <si>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</si>
  <si>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</si>
  <si>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</si>
  <si>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</si>
  <si>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</si>
  <si>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</si>
  <si>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</si>
  <si>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</si>
  <si>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</si>
  <si>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</si>
  <si>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</si>
  <si>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</si>
  <si>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</si>
  <si>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</si>
  <si>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</si>
  <si>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</si>
  <si>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</si>
  <si>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</si>
  <si>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</si>
  <si>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</si>
  <si>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</si>
  <si>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</si>
  <si>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</si>
  <si>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</si>
  <si>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</si>
  <si>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</si>
  <si>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</si>
  <si>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</si>
  <si>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</si>
  <si>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</si>
  <si>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</si>
  <si>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</si>
  <si>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</si>
  <si>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</si>
  <si>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</si>
  <si>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</si>
  <si>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</si>
  <si>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</si>
  <si>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</si>
  <si>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</si>
  <si>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</si>
  <si>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</si>
  <si>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</si>
  <si>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</si>
  <si>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</si>
  <si>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</si>
  <si>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</si>
  <si>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</si>
  <si>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</si>
  <si>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</si>
  <si>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</si>
  <si>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</si>
  <si>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</si>
  <si>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</si>
  <si>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</si>
  <si>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</si>
  <si>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</si>
  <si>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</si>
  <si>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</si>
  <si>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</si>
  <si>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</si>
  <si>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</si>
  <si>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</si>
  <si>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</si>
  <si>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</si>
  <si>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</si>
  <si>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</si>
  <si>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</si>
  <si>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</si>
  <si>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</si>
  <si>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</si>
  <si>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</si>
  <si>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</si>
  <si>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</si>
  <si>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</si>
  <si>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</si>
  <si>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</si>
  <si>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</si>
  <si>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</si>
  <si>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</si>
  <si>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</si>
  <si>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</si>
  <si>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</si>
  <si>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</si>
  <si>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</si>
  <si>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</si>
  <si>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</si>
  <si>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</si>
  <si>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</si>
  <si>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</si>
  <si>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</si>
  <si>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</si>
  <si>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</si>
  <si>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</si>
  <si>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</si>
  <si>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</si>
  <si>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</si>
  <si>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</si>
  <si>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</si>
  <si>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</si>
  <si>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</si>
  <si>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</si>
  <si>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</si>
  <si>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</si>
  <si>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</si>
  <si>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</si>
  <si>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</si>
  <si>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</si>
  <si>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</si>
  <si>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</si>
  <si>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</si>
  <si>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</si>
  <si>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</si>
  <si>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</si>
  <si>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</si>
  <si>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</si>
  <si>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</si>
  <si>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</si>
  <si>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</si>
  <si>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</si>
  <si>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</si>
  <si>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</si>
  <si>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</si>
  <si>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</si>
  <si>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</si>
  <si>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</si>
  <si>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</si>
  <si>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</si>
  <si>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</si>
  <si>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</si>
  <si>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</si>
  <si>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</si>
  <si>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</si>
  <si>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</si>
  <si>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</si>
  <si>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</si>
  <si>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</si>
  <si>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</si>
  <si>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</si>
  <si>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</si>
  <si>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</si>
  <si>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</si>
  <si>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</si>
  <si>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</si>
  <si>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</si>
  <si>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</si>
  <si>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</si>
  <si>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</si>
  <si>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</si>
  <si>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</si>
  <si>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</si>
  <si>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</si>
  <si>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</si>
  <si>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</si>
  <si>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</si>
  <si>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</si>
  <si>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</si>
  <si>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</si>
  <si>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</si>
  <si>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</si>
  <si>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</si>
  <si>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</si>
  <si>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</si>
  <si>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</si>
  <si>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</si>
  <si>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</si>
  <si>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</si>
  <si>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</si>
  <si>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</si>
  <si>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</si>
  <si>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</si>
  <si>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</si>
  <si>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</si>
  <si>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</si>
  <si>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</si>
  <si>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</si>
  <si>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</si>
  <si>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</si>
  <si>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</si>
  <si>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</si>
  <si>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</si>
  <si>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</si>
  <si>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</si>
  <si>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</si>
  <si>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</si>
  <si>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</si>
  <si>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</si>
  <si>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</si>
  <si>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</si>
  <si>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</si>
  <si>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</si>
  <si>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</si>
  <si>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</si>
  <si>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</si>
  <si>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</si>
  <si>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</si>
  <si>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</si>
  <si>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</si>
  <si>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</si>
  <si>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</si>
  <si>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</si>
  <si>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</si>
  <si>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</si>
  <si>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</si>
  <si>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</si>
  <si>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</si>
  <si>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</si>
  <si>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</si>
  <si>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</si>
  <si>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</si>
  <si>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</si>
  <si>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</si>
  <si>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</si>
  <si>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</si>
  <si>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</si>
  <si>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</si>
  <si>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</si>
  <si>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</si>
  <si>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</si>
  <si>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</si>
  <si>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</si>
  <si>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</si>
  <si>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</si>
  <si>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</si>
  <si>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</si>
  <si>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</si>
  <si>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</si>
  <si>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</si>
  <si>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</si>
  <si>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</si>
  <si>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</si>
  <si>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</si>
  <si>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</si>
  <si>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</si>
  <si>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</si>
  <si>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</si>
  <si>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</si>
  <si>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</si>
  <si>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</si>
  <si>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</si>
  <si>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</si>
  <si>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</si>
  <si>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</si>
  <si>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</si>
  <si>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</si>
  <si>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</si>
  <si>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</si>
  <si>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</si>
  <si>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</si>
  <si>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</si>
  <si>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</si>
  <si>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</si>
  <si>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</si>
  <si>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</si>
  <si>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</si>
  <si>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</si>
  <si>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</si>
  <si>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</si>
  <si>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</si>
  <si>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</si>
  <si>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</si>
  <si>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</si>
  <si>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</si>
  <si>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</si>
  <si>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</si>
  <si>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</si>
  <si>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</si>
  <si>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</si>
  <si>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</si>
  <si>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</si>
  <si>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</si>
  <si>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</si>
  <si>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</si>
  <si>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</si>
  <si>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</si>
  <si>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</si>
  <si>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</si>
  <si>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</si>
  <si>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</si>
  <si>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</si>
  <si>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</si>
  <si>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</si>
  <si>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</si>
  <si>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</si>
  <si>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</si>
  <si>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</si>
  <si>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</si>
  <si>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</si>
  <si>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</si>
  <si>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</si>
  <si>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</si>
  <si>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</si>
  <si>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</si>
  <si>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</si>
  <si>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</si>
  <si>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</si>
  <si>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</si>
  <si>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</si>
  <si>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</si>
  <si>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</si>
  <si>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</si>
  <si>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</si>
  <si>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</si>
  <si>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</si>
  <si>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</si>
  <si>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</si>
  <si>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</si>
  <si>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</si>
  <si>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</si>
  <si>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</si>
  <si>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</si>
  <si>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</si>
  <si>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</si>
  <si>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</si>
  <si>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</si>
  <si>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</si>
  <si>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</si>
  <si>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</si>
  <si>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</si>
  <si>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</si>
  <si>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</si>
  <si>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</si>
  <si>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</si>
  <si>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</si>
  <si>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</si>
  <si>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</si>
  <si>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</si>
  <si>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</si>
  <si>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</si>
  <si>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</si>
  <si>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</si>
  <si>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</si>
  <si>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</si>
  <si>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</si>
  <si>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</si>
  <si>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</si>
  <si>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</si>
  <si>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</si>
  <si>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</si>
  <si>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</si>
  <si>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</si>
  <si>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</si>
  <si>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</si>
  <si>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</si>
  <si>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</si>
  <si>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</si>
  <si>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</si>
  <si>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</si>
  <si>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</si>
  <si>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</si>
  <si>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</si>
  <si>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</si>
  <si>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</si>
  <si>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</si>
  <si>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</si>
  <si>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</si>
  <si>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</si>
  <si>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</si>
  <si>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</si>
  <si>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</si>
  <si>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</si>
  <si>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</si>
  <si>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</si>
  <si>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</si>
  <si>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</si>
  <si>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</si>
  <si>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</si>
  <si>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</si>
  <si>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</si>
  <si>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</si>
  <si>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</si>
  <si>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</si>
  <si>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</si>
  <si>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</si>
  <si>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</si>
  <si>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</si>
  <si>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</si>
  <si>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</si>
  <si>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</si>
  <si>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</si>
  <si>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</si>
  <si>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</si>
  <si>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</si>
  <si>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</si>
  <si>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</si>
  <si>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</si>
  <si>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</si>
  <si>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</si>
  <si>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</si>
  <si>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</si>
  <si>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</si>
  <si>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</si>
  <si>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</si>
  <si>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</si>
  <si>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</si>
  <si>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</si>
  <si>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</si>
  <si>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</si>
  <si>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</si>
  <si>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</si>
  <si>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</si>
  <si>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</si>
  <si>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</si>
  <si>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</si>
  <si>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</si>
  <si>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</si>
  <si>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</si>
  <si>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</si>
  <si>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</si>
  <si>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</si>
  <si>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</si>
  <si>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</si>
  <si>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</si>
  <si>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</si>
  <si>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</si>
  <si>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</si>
  <si>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</si>
  <si>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</si>
  <si>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</si>
  <si>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</si>
  <si>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</si>
  <si>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</si>
  <si>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</si>
  <si>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</si>
  <si>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</si>
  <si>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</si>
  <si>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</si>
  <si>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</si>
  <si>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</si>
  <si>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</si>
  <si>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</si>
  <si>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</si>
  <si>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</si>
  <si>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</si>
  <si>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</si>
  <si>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</si>
  <si>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</si>
  <si>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</si>
  <si>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</si>
  <si>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</si>
  <si>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</si>
  <si>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</si>
  <si>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</si>
  <si>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</si>
  <si>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</si>
  <si>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</si>
  <si>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</si>
  <si>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</si>
  <si>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</si>
  <si>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</si>
  <si>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</si>
  <si>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</si>
  <si>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</si>
  <si>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</si>
  <si>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</si>
  <si>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</si>
  <si>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</si>
  <si>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</si>
  <si>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</si>
  <si>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</si>
  <si>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</si>
  <si>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</si>
  <si>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</si>
  <si>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</si>
  <si>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</si>
  <si>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</si>
  <si>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</si>
  <si>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</si>
  <si>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</si>
  <si>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</si>
  <si>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</si>
  <si>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</si>
  <si>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</si>
  <si>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</si>
  <si>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</si>
  <si>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</si>
  <si>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</si>
  <si>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</si>
  <si>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</si>
  <si>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</si>
  <si>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</si>
  <si>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</si>
  <si>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</si>
  <si>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</si>
  <si>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</si>
  <si>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</si>
  <si>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</si>
  <si>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</si>
  <si>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</si>
  <si>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</si>
  <si>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</si>
  <si>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</si>
  <si>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</si>
  <si>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</si>
  <si>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</si>
  <si>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</si>
  <si>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</si>
  <si>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</si>
  <si>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</si>
  <si>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</si>
  <si>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</si>
  <si>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</si>
  <si>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</si>
  <si>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</si>
  <si>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</si>
  <si>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</si>
  <si>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</si>
  <si>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</si>
  <si>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</si>
  <si>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</si>
  <si>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</si>
  <si>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</si>
  <si>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</si>
  <si>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</si>
  <si>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</si>
  <si>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</si>
  <si>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</si>
  <si>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</si>
  <si>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</si>
  <si>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</si>
  <si>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</si>
  <si>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</si>
  <si>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</si>
  <si>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</si>
  <si>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</si>
  <si>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</si>
  <si>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</si>
  <si>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</si>
  <si>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</si>
  <si>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</si>
  <si>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</si>
  <si>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</si>
  <si>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</si>
  <si>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</si>
  <si>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</si>
  <si>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</si>
  <si>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</si>
  <si>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</si>
  <si>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</si>
  <si>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</si>
  <si>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</si>
  <si>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</si>
  <si>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</si>
  <si>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</si>
  <si>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</si>
  <si>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</si>
  <si>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</si>
  <si>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</si>
  <si>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</si>
  <si>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</si>
  <si>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</si>
  <si>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</si>
  <si>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</si>
  <si>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</si>
  <si>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</si>
  <si>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</si>
  <si>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</si>
  <si>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</si>
  <si>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</si>
  <si>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</si>
  <si>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</si>
  <si>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</si>
  <si>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</si>
  <si>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</si>
  <si>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</si>
  <si>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</si>
  <si>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</si>
  <si>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</si>
  <si>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</si>
  <si>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</si>
  <si>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</si>
  <si>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</si>
  <si>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</si>
  <si>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</si>
  <si>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</si>
  <si>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</si>
  <si>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</si>
  <si>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</si>
  <si>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</si>
  <si>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</si>
  <si>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</si>
  <si>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</si>
  <si>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</si>
  <si>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</si>
  <si>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</si>
  <si>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</si>
  <si>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</si>
  <si>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</si>
  <si>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</si>
  <si>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</si>
  <si>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</si>
  <si>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</si>
  <si>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</si>
  <si>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</si>
  <si>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</si>
  <si>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</si>
  <si>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</si>
  <si>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</si>
  <si>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</si>
  <si>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</si>
  <si>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</si>
  <si>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</si>
  <si>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</si>
  <si>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</si>
  <si>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</si>
  <si>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</si>
  <si>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</si>
  <si>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</si>
  <si>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</si>
  <si>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</si>
  <si>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</si>
  <si>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</si>
  <si>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</si>
  <si>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</si>
  <si>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</si>
  <si>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</si>
  <si>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</si>
  <si>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</si>
  <si>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</si>
  <si>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</si>
  <si>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</si>
  <si>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</si>
  <si>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</si>
  <si>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</si>
  <si>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</si>
  <si>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</si>
  <si>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</si>
  <si>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</si>
  <si>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</si>
  <si>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</si>
  <si>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</si>
  <si>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</si>
  <si>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</si>
  <si>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</si>
  <si>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</si>
  <si>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</si>
  <si>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</si>
  <si>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</si>
  <si>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</si>
  <si>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</si>
  <si>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</si>
  <si>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</si>
  <si>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</si>
  <si>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</si>
  <si>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</si>
  <si>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</si>
  <si>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</si>
  <si>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</si>
  <si>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</si>
  <si>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</si>
  <si>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</si>
  <si>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</si>
  <si>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</si>
  <si>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</si>
  <si>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</si>
  <si>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</si>
  <si>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</si>
  <si>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</si>
  <si>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</si>
  <si>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</si>
  <si>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</si>
  <si>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</si>
  <si>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</si>
  <si>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</si>
  <si>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</si>
  <si>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</si>
  <si>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</si>
  <si>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</si>
  <si>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</si>
  <si>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</si>
  <si>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</si>
  <si>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</si>
  <si>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</si>
  <si>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</si>
  <si>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</si>
  <si>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</si>
  <si>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</si>
  <si>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</si>
  <si>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</si>
  <si>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</si>
  <si>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</si>
  <si>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</si>
  <si>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</si>
  <si>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</si>
  <si>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</si>
  <si>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</si>
  <si>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</si>
  <si>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</si>
  <si>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</si>
  <si>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</si>
  <si>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</si>
  <si>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</si>
  <si>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</si>
  <si>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</si>
  <si>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</si>
  <si>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</si>
  <si>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</si>
  <si>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</si>
  <si>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</si>
  <si>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</si>
  <si>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</si>
  <si>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</si>
  <si>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</si>
  <si>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</si>
  <si>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</si>
  <si>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</si>
  <si>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</si>
  <si>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</si>
  <si>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</si>
  <si>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</si>
  <si>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</si>
  <si>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</si>
  <si>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</si>
  <si>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</si>
  <si>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</si>
  <si>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</si>
  <si>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</si>
  <si>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</si>
  <si>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</si>
  <si>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</si>
  <si>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</si>
  <si>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</si>
  <si>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</si>
  <si>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</si>
  <si>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</si>
  <si>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</si>
  <si>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</si>
  <si>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</si>
  <si>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</si>
  <si>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</si>
  <si>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</si>
  <si>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</si>
  <si>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</si>
  <si>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</si>
  <si>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</si>
  <si>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</si>
  <si>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</si>
  <si>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</si>
  <si>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</si>
  <si>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</si>
  <si>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</si>
  <si>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</si>
  <si>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</si>
  <si>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</si>
  <si>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</si>
  <si>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</si>
  <si>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</si>
  <si>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</si>
  <si>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</si>
  <si>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</si>
  <si>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</si>
  <si>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</si>
  <si>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</si>
  <si>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</si>
  <si>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</si>
  <si>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</si>
  <si>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</si>
  <si>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</si>
  <si>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</si>
  <si>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</si>
  <si>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</si>
  <si>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</si>
  <si>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</si>
  <si>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</si>
  <si>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</si>
  <si>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</si>
  <si>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</si>
  <si>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</si>
  <si>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</si>
  <si>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</si>
  <si>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</si>
  <si>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</si>
  <si>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</si>
  <si>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</si>
  <si>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</si>
  <si>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</si>
  <si>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</si>
  <si>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</si>
  <si>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</si>
  <si>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</si>
  <si>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</si>
  <si>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</si>
  <si>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</si>
  <si>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</si>
  <si>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</si>
  <si>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</si>
  <si>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</si>
  <si>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</si>
  <si>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</si>
  <si>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</si>
  <si>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</si>
  <si>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</si>
  <si>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</si>
  <si>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</si>
  <si>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</si>
  <si>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</si>
  <si>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</si>
  <si>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</si>
  <si>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</si>
  <si>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</si>
  <si>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</si>
  <si>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</si>
  <si>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</si>
  <si>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</si>
  <si>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</si>
  <si>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</si>
  <si>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</si>
  <si>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</si>
  <si>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</si>
  <si>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</si>
  <si>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</si>
  <si>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</si>
  <si>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</si>
  <si>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</si>
  <si>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</si>
  <si>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</si>
  <si>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</si>
  <si>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</si>
  <si>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</si>
  <si>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</si>
  <si>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</si>
  <si>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</si>
  <si>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</si>
  <si>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</si>
  <si>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</si>
  <si>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</si>
  <si>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</si>
  <si>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</si>
  <si>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</si>
  <si>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</si>
  <si>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</si>
  <si>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</si>
  <si>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</si>
  <si>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</si>
  <si>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</si>
  <si>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</si>
  <si>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</si>
  <si>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</si>
  <si>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</si>
  <si>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</si>
  <si>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</si>
  <si>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</si>
  <si>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</si>
  <si>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</si>
  <si>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</si>
  <si>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</si>
  <si>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</si>
  <si>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</si>
  <si>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</si>
  <si>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</si>
  <si>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</si>
  <si>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</si>
  <si>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</si>
  <si>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</si>
  <si>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</si>
  <si>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</si>
  <si>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</si>
  <si>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</si>
  <si>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</si>
  <si>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</si>
  <si>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</si>
  <si>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</si>
  <si>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</si>
  <si>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</si>
  <si>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</si>
  <si>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</si>
  <si>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</si>
  <si>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</si>
  <si>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</si>
  <si>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</si>
  <si>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</si>
  <si>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</si>
  <si>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</si>
  <si>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</si>
  <si>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</si>
  <si>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</si>
  <si>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</si>
  <si>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</si>
  <si>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</si>
  <si>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</si>
  <si>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</si>
  <si>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</si>
  <si>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</si>
  <si>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</si>
  <si>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</si>
  <si>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</si>
  <si>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</si>
  <si>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</si>
  <si>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</si>
  <si>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</si>
  <si>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</si>
  <si>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</si>
  <si>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</si>
  <si>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</si>
  <si>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</si>
  <si>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</si>
  <si>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</si>
  <si>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</si>
  <si>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</si>
  <si>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</si>
  <si>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</si>
  <si>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</si>
  <si>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</si>
  <si>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</si>
  <si>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</si>
  <si>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</si>
  <si>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</si>
  <si>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</si>
  <si>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</si>
  <si>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</si>
  <si>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</si>
  <si>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</si>
  <si>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</si>
  <si>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</si>
  <si>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</si>
  <si>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</si>
  <si>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</si>
  <si>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</si>
  <si>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</si>
  <si>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</si>
  <si>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</si>
  <si>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</si>
  <si>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</si>
  <si>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</si>
  <si>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</si>
  <si>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</si>
  <si>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</si>
  <si>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</si>
  <si>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</si>
  <si>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</si>
  <si>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</si>
  <si>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</si>
  <si>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</si>
  <si>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</si>
  <si>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</si>
  <si>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</si>
  <si>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</si>
  <si>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</si>
  <si>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</si>
  <si>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</si>
  <si>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</si>
  <si>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</si>
  <si>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</si>
  <si>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</si>
  <si>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</si>
  <si>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</si>
  <si>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</si>
  <si>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</si>
  <si>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</si>
  <si>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</si>
  <si>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</si>
  <si>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</si>
  <si>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</si>
  <si>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</si>
  <si>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</si>
  <si>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</si>
  <si>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</si>
  <si>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</si>
  <si>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</si>
  <si>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</si>
  <si>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</si>
  <si>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</si>
  <si>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</si>
  <si>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</si>
  <si>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</si>
  <si>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</si>
  <si>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</si>
  <si>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</si>
  <si>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</si>
  <si>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</si>
  <si>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</si>
  <si>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</si>
  <si>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</si>
  <si>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</si>
  <si>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</si>
  <si>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</si>
  <si>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</si>
  <si>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</si>
  <si>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</si>
  <si>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</si>
  <si>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</si>
  <si>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</si>
  <si>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</si>
  <si>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</si>
  <si>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</si>
  <si>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</si>
  <si>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</si>
  <si>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</si>
  <si>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</si>
  <si>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</si>
  <si>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</si>
  <si>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</si>
  <si>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</si>
  <si>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</si>
  <si>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</si>
  <si>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</si>
  <si>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</si>
  <si>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</si>
  <si>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</si>
  <si>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</si>
  <si>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</si>
  <si>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</si>
  <si>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</si>
  <si>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</si>
  <si>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</si>
  <si>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</si>
  <si>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</si>
  <si>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</si>
  <si>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</si>
  <si>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</si>
  <si>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</si>
  <si>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</si>
  <si>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</si>
  <si>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</si>
  <si>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</si>
  <si>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</si>
  <si>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</si>
  <si>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</si>
  <si>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</si>
  <si>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</si>
  <si>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</si>
  <si>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</si>
  <si>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</si>
  <si>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</si>
  <si>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</si>
  <si>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</si>
  <si>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</si>
  <si>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</si>
  <si>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</si>
  <si>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</si>
  <si>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</si>
  <si>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</si>
  <si>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</si>
  <si>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</si>
  <si>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</si>
  <si>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</si>
  <si>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</si>
  <si>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</si>
  <si>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</si>
  <si>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</si>
  <si>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</si>
  <si>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</si>
  <si>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</si>
  <si>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</si>
  <si>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</si>
  <si>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</si>
  <si>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</si>
  <si>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</si>
  <si>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</si>
  <si>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</si>
  <si>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</si>
  <si>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</si>
  <si>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</si>
  <si>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</si>
  <si>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</si>
  <si>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</si>
  <si>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</si>
  <si>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</si>
  <si>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</si>
  <si>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</si>
  <si>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</si>
  <si>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</si>
  <si>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</si>
  <si>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</si>
  <si>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</si>
  <si>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</si>
  <si>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</si>
  <si>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</si>
  <si>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</si>
  <si>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</si>
  <si>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</si>
  <si>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</si>
  <si>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</si>
  <si>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</si>
  <si>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</si>
  <si>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</si>
  <si>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</si>
  <si>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</si>
  <si>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</si>
  <si>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</si>
  <si>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</si>
  <si>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</si>
  <si>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</si>
  <si>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</si>
  <si>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</si>
  <si>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</si>
  <si>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</si>
  <si>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</si>
  <si>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</si>
  <si>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</si>
  <si>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</si>
  <si>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</si>
  <si>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</si>
  <si>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</si>
  <si>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</si>
  <si>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</si>
  <si>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</si>
  <si>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</si>
  <si>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</si>
  <si>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</si>
  <si>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</si>
  <si>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</si>
  <si>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</si>
  <si>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</si>
  <si>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</si>
  <si>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</si>
  <si>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</si>
  <si>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</si>
  <si>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</si>
  <si>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</si>
  <si>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</si>
  <si>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</si>
  <si>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</si>
  <si>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</si>
  <si>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</si>
  <si>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</si>
  <si>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</si>
  <si>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</si>
  <si>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</si>
  <si>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</si>
  <si>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</si>
  <si>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</si>
  <si>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</si>
  <si>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</si>
  <si>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</si>
  <si>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</si>
  <si>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</si>
  <si>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</si>
  <si>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</si>
  <si>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</si>
  <si>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</si>
  <si>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</si>
  <si>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</si>
  <si>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</si>
  <si>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</si>
  <si>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</si>
  <si>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</si>
  <si>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</si>
  <si>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</si>
  <si>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</si>
  <si>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</si>
  <si>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</si>
  <si>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</si>
  <si>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</si>
  <si>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</si>
  <si>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</si>
  <si>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</si>
  <si>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</si>
  <si>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</si>
  <si>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</si>
  <si>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</si>
  <si>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</si>
  <si>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</si>
  <si>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</si>
  <si>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</si>
  <si>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</si>
  <si>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</si>
  <si>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</si>
  <si>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</si>
  <si>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</si>
  <si>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</si>
  <si>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</si>
  <si>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</si>
  <si>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</si>
  <si>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</si>
  <si>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</si>
  <si>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</si>
  <si>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</si>
  <si>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</si>
  <si>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</si>
  <si>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</si>
  <si>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</si>
  <si>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</si>
  <si>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</si>
  <si>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</si>
  <si>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</si>
  <si>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</si>
  <si>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</si>
  <si>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</si>
  <si>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</si>
  <si>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</si>
  <si>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</si>
  <si>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</si>
  <si>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</si>
  <si>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</si>
  <si>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</si>
  <si>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</si>
  <si>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</si>
  <si>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</si>
  <si>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</si>
  <si>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</si>
  <si>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</si>
  <si>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</si>
  <si>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</si>
  <si>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</si>
  <si>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</si>
  <si>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</si>
  <si>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</si>
  <si>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</si>
  <si>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</si>
  <si>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</si>
  <si>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</si>
  <si>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</si>
  <si>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</si>
  <si>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</si>
  <si>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</si>
  <si>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</si>
  <si>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</si>
  <si>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</si>
  <si>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</si>
  <si>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</si>
  <si>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</si>
  <si>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</si>
  <si>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</si>
  <si>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</si>
  <si>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</si>
  <si>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</si>
  <si>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</si>
  <si>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</si>
  <si>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</si>
  <si>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</si>
  <si>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</si>
  <si>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</si>
  <si>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</si>
  <si>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</si>
  <si>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</si>
  <si>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</si>
  <si>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</si>
  <si>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</si>
  <si>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</si>
  <si>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</si>
  <si>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</si>
  <si>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</si>
  <si>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</si>
  <si>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</si>
  <si>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</si>
  <si>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</si>
  <si>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</si>
  <si>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</si>
  <si>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</si>
  <si>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</si>
  <si>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</si>
  <si>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</si>
  <si>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</si>
  <si>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</si>
  <si>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</si>
  <si>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</si>
  <si>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</si>
  <si>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</si>
  <si>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</si>
  <si>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</si>
  <si>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</si>
  <si>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</si>
  <si>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</si>
  <si>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</si>
  <si>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</si>
  <si>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</si>
  <si>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</si>
  <si>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</si>
  <si>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</si>
  <si>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</si>
  <si>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</si>
  <si>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</si>
  <si>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</si>
  <si>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</si>
  <si>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</si>
  <si>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</si>
  <si>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</si>
  <si>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</si>
  <si>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</si>
  <si>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</si>
  <si>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</si>
  <si>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</si>
  <si>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</si>
  <si>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</si>
  <si>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</si>
  <si>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</si>
  <si>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</si>
  <si>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</si>
  <si>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</si>
  <si>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</si>
  <si>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</si>
  <si>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</si>
  <si>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</si>
  <si>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</si>
  <si>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</si>
  <si>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</si>
  <si>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</si>
  <si>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</si>
  <si>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</si>
  <si>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</si>
  <si>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</si>
  <si>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</si>
  <si>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</si>
  <si>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</si>
  <si>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</si>
  <si>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</si>
  <si>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</si>
  <si>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</si>
  <si>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</si>
  <si>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</si>
  <si>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</si>
  <si>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</si>
  <si>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</si>
  <si>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</si>
  <si>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</si>
  <si>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</si>
  <si>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</si>
  <si>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</si>
  <si>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</si>
  <si>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</si>
  <si>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</si>
  <si>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</si>
  <si>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</si>
  <si>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</si>
  <si>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</si>
  <si>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</si>
  <si>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</si>
  <si>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</si>
  <si>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</si>
  <si>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</si>
  <si>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</si>
  <si>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</si>
  <si>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</si>
  <si>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</si>
  <si>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</si>
  <si>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</si>
  <si>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</si>
  <si>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</si>
  <si>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</si>
  <si>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资源解析器映射字典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</si>
  <si>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</si>
  <si>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</si>
  <si>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</si>
  <si>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√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</si>
  <si>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</si>
  <si>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</si>
  <si>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</si>
  <si>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</si>
  <si>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</si>
  <si>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</si>
  <si>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</si>
  <si>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</si>
  <si>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</si>
  <si>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</si>
  <si>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</si>
  <si>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</si>
  <si>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</si>
  <si>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</si>
  <si>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</si>
  <si>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</si>
  <si>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</si>
  <si>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</si>
  <si>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</si>
  <si>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phase number</t>
    <phoneticPr fontId="2" type="noConversion"/>
  </si>
  <si>
    <t>phase type</t>
    <phoneticPr fontId="2" type="noConversion"/>
  </si>
  <si>
    <t>phase duration</t>
    <phoneticPr fontId="2" type="noConversion"/>
  </si>
  <si>
    <t>phase FlashOnTimeRemaining</t>
    <phoneticPr fontId="2" type="noConversion"/>
  </si>
  <si>
    <t>phase SecondFlashOnTimeRemaining</t>
    <phoneticPr fontId="2" type="noConversion"/>
  </si>
  <si>
    <t>phase TimerBarDefaultColor</t>
    <phoneticPr fontId="2" type="noConversion"/>
  </si>
  <si>
    <t>即将到来的事件缩略图路径</t>
    <phoneticPr fontId="2" type="noConversion"/>
  </si>
  <si>
    <t>正在发生的事件缩略图</t>
    <phoneticPr fontId="2" type="noConversion"/>
  </si>
  <si>
    <t>已经完成的事件缩略图</t>
    <phoneticPr fontId="2" type="noConversion"/>
  </si>
  <si>
    <t>阶段类型</t>
    <phoneticPr fontId="2" type="noConversion"/>
  </si>
  <si>
    <t>回合类型</t>
    <phoneticPr fontId="2" type="noConversion"/>
  </si>
  <si>
    <t>阶段持续时间（秒）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</si>
  <si>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</si>
  <si>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</si>
  <si>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</si>
  <si>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</si>
  <si>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</si>
  <si>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</si>
  <si>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</si>
  <si>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</si>
  <si>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</si>
  <si>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</si>
  <si>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</si>
  <si>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</si>
  <si>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</si>
  <si>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</si>
  <si>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</si>
  <si>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</si>
  <si>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</si>
  <si>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</si>
  <si>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</si>
  <si>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</si>
  <si>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</si>
  <si>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</si>
  <si>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</si>
  <si>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</si>
  <si>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</si>
  <si>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</si>
  <si>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</si>
  <si>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</si>
  <si>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</si>
  <si>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</si>
  <si>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</si>
  <si>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</si>
  <si>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</si>
  <si>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</si>
  <si>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</si>
  <si>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</si>
  <si>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</si>
  <si>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</si>
  <si>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</si>
  <si>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</si>
  <si>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</si>
  <si>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</si>
  <si>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</si>
  <si>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</si>
  <si>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</si>
  <si>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</si>
  <si>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</si>
  <si>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</si>
  <si>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</si>
  <si>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</si>
  <si>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</si>
  <si>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</si>
  <si>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</si>
  <si>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</si>
  <si>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</si>
  <si>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</si>
  <si>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</si>
  <si>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</si>
  <si>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</si>
  <si>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</si>
  <si>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</si>
  <si>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</si>
  <si>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</si>
  <si>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</si>
  <si>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</si>
  <si>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</si>
  <si>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</si>
  <si>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</si>
  <si>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</si>
  <si>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</si>
  <si>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</si>
  <si>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</si>
  <si>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</si>
  <si>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</si>
  <si>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</si>
  <si>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</si>
  <si>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</si>
  <si>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</si>
  <si>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</si>
  <si>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</si>
  <si>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</si>
  <si>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</si>
  <si>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</si>
  <si>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</si>
  <si>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</si>
  <si>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</si>
  <si>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</si>
  <si>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</si>
  <si>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</si>
  <si>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</si>
  <si>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</si>
  <si>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</si>
  <si>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</si>
  <si>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</si>
  <si>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</si>
  <si>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</si>
  <si>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</si>
  <si>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</si>
  <si>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</si>
  <si>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</si>
  <si>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</si>
  <si>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</si>
  <si>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</si>
  <si>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</si>
  <si>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</si>
  <si>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</si>
  <si>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</si>
  <si>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</si>
  <si>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</si>
  <si>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</si>
  <si>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</si>
  <si>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</si>
  <si>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</si>
  <si>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</si>
  <si>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</si>
  <si>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</si>
  <si>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</si>
  <si>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</si>
  <si>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</si>
  <si>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</si>
  <si>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</si>
  <si>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</si>
  <si>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</si>
  <si>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</si>
  <si>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</si>
  <si>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</si>
  <si>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</si>
  <si>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</si>
  <si>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</si>
  <si>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</si>
  <si>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</si>
  <si>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</si>
  <si>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</si>
  <si>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</si>
  <si>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</si>
  <si>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</si>
  <si>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</si>
  <si>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</si>
  <si>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</si>
  <si>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</si>
  <si>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</si>
  <si>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</si>
  <si>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</si>
  <si>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</si>
  <si>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</si>
  <si>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</si>
  <si>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</si>
  <si>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</si>
  <si>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</si>
  <si>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</si>
  <si>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</si>
  <si>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</si>
  <si>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</si>
  <si>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</si>
  <si>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</si>
  <si>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</si>
  <si>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</si>
  <si>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</si>
  <si>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</si>
  <si>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</si>
  <si>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</si>
  <si>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</si>
  <si>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</si>
  <si>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</si>
  <si>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</si>
  <si>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</si>
  <si>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</si>
  <si>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</si>
  <si>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</si>
  <si>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</si>
  <si>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</si>
  <si>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</si>
  <si>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</si>
  <si>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</si>
  <si>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</si>
  <si>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</si>
  <si>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</si>
  <si>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</si>
  <si>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</si>
  <si>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</si>
  <si>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</si>
  <si>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</si>
  <si>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</si>
  <si>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</si>
  <si>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</si>
  <si>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</si>
  <si>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</si>
  <si>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</si>
  <si>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</si>
  <si>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</si>
  <si>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</si>
  <si>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</si>
  <si>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</si>
  <si>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</si>
  <si>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</si>
  <si>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</si>
  <si>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</si>
  <si>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</si>
  <si>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</si>
  <si>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</si>
  <si>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</si>
  <si>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</si>
  <si>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</si>
  <si>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</si>
  <si>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</si>
  <si>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</si>
  <si>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</si>
  <si>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</si>
  <si>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</si>
  <si>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</si>
  <si>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</si>
  <si>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</si>
  <si>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</si>
  <si>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</si>
  <si>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</si>
  <si>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</si>
  <si>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</si>
  <si>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</si>
  <si>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</si>
  <si>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</si>
  <si>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</si>
  <si>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</si>
  <si>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</si>
  <si>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</si>
  <si>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</si>
  <si>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</si>
  <si>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</si>
  <si>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</si>
  <si>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</si>
  <si>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</si>
  <si>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</si>
  <si>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</si>
  <si>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</si>
  <si>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</si>
  <si>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</si>
  <si>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</si>
  <si>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</si>
  <si>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</si>
  <si>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</si>
  <si>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</si>
  <si>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</si>
  <si>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</si>
  <si>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</si>
  <si>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</si>
  <si>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</si>
  <si>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</si>
  <si>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</si>
  <si>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</si>
  <si>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</si>
  <si>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</si>
  <si>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</si>
  <si>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</si>
  <si>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</si>
  <si>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</si>
  <si>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</si>
  <si>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</si>
  <si>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</si>
  <si>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</si>
  <si>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</si>
  <si>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</si>
  <si>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</si>
  <si>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</si>
  <si>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</si>
  <si>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</si>
  <si>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</si>
  <si>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</si>
  <si>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</si>
  <si>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</si>
  <si>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</si>
  <si>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</si>
  <si>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</si>
  <si>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</si>
  <si>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</si>
  <si>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</si>
  <si>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</si>
  <si>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</si>
  <si>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</si>
  <si>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</si>
  <si>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</si>
  <si>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</si>
  <si>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</si>
  <si>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</si>
  <si>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</si>
  <si>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</si>
  <si>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</si>
  <si>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</si>
  <si>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</si>
  <si>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</si>
  <si>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</si>
  <si>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</si>
  <si>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</si>
  <si>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</si>
  <si>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</si>
  <si>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</si>
  <si>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</si>
  <si>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</si>
  <si>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rootAbility_mRootSpell</t>
    <phoneticPr fontId="2" type="noConversion"/>
  </si>
  <si>
    <t>rootAbility_mChildSpells</t>
    <phoneticPr fontId="2" type="noConversion"/>
  </si>
  <si>
    <t>rootAbility_AbilityTraits</t>
    <phoneticPr fontId="2" type="noConversion"/>
  </si>
  <si>
    <t>存在于当前版本</t>
    <phoneticPr fontId="2" type="noConversion"/>
  </si>
  <si>
    <t>存在于怀旧版本</t>
    <phoneticPr fontId="2" type="noConversion"/>
  </si>
  <si>
    <t>isCurrent</t>
    <phoneticPr fontId="2" type="noConversion"/>
  </si>
  <si>
    <t>isClassic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</si>
</sst>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3289</v>
      </c>
      <c r="C5" t="s">
        <v>3290</v>
      </c>
      <c r="D5" s="4" t="s">
        <v>3294</v>
      </c>
      <c r="E5" s="4" t="s">
        <v>3294</v>
      </c>
      <c r="G5">
        <v>19</v>
      </c>
    </row>
    <row r="6" spans="1:7" ht="15" x14ac:dyDescent="0.2">
      <c r="A6">
        <v>4</v>
      </c>
      <c r="B6" s="1" t="s">
        <v>3291</v>
      </c>
      <c r="C6" t="s">
        <v>3292</v>
      </c>
      <c r="D6" s="4" t="s">
        <v>3294</v>
      </c>
      <c r="E6" s="4" t="s">
        <v>3294</v>
      </c>
      <c r="G6">
        <v>20</v>
      </c>
    </row>
    <row r="7" spans="1:7" ht="15" x14ac:dyDescent="0.2">
      <c r="A7">
        <v>5</v>
      </c>
      <c r="B7" s="1" t="s">
        <v>3299</v>
      </c>
      <c r="C7" t="s">
        <v>3300</v>
      </c>
      <c r="D7" s="4" t="s">
        <v>3294</v>
      </c>
      <c r="E7" s="4" t="s">
        <v>3294</v>
      </c>
      <c r="F7" t="b">
        <v>0</v>
      </c>
      <c r="G7">
        <v>21</v>
      </c>
    </row>
    <row r="8" spans="1:7" ht="15" x14ac:dyDescent="0.2">
      <c r="A8">
        <v>6</v>
      </c>
      <c r="B8" s="1" t="s">
        <v>3293</v>
      </c>
      <c r="C8" t="s">
        <v>3301</v>
      </c>
      <c r="D8" s="4" t="s">
        <v>3294</v>
      </c>
      <c r="E8" s="4" t="s">
        <v>3294</v>
      </c>
      <c r="F8" t="b">
        <v>0</v>
      </c>
      <c r="G8">
        <v>22</v>
      </c>
    </row>
    <row r="9" spans="1:7" ht="15" x14ac:dyDescent="0.2">
      <c r="A9">
        <v>7</v>
      </c>
      <c r="B9" s="1" t="s">
        <v>3295</v>
      </c>
      <c r="C9" t="s">
        <v>3296</v>
      </c>
      <c r="D9" s="4" t="s">
        <v>3294</v>
      </c>
      <c r="E9" s="4" t="s">
        <v>3294</v>
      </c>
      <c r="G9">
        <v>23</v>
      </c>
    </row>
    <row r="10" spans="1:7" ht="15" x14ac:dyDescent="0.2">
      <c r="A10">
        <v>8</v>
      </c>
      <c r="B10" s="1" t="s">
        <v>3297</v>
      </c>
      <c r="C10" t="s">
        <v>3298</v>
      </c>
      <c r="D10" s="4" t="s">
        <v>3294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3302</v>
      </c>
      <c r="C12" t="s">
        <v>3303</v>
      </c>
      <c r="D12" s="4" t="s">
        <v>3294</v>
      </c>
      <c r="E12" s="4"/>
      <c r="G12">
        <v>25</v>
      </c>
    </row>
    <row r="13" spans="1:7" ht="15" x14ac:dyDescent="0.2">
      <c r="A13">
        <v>11</v>
      </c>
      <c r="B13" s="1" t="s">
        <v>3304</v>
      </c>
      <c r="C13" t="s">
        <v>3305</v>
      </c>
      <c r="D13" s="4" t="s">
        <v>3294</v>
      </c>
      <c r="E13" s="4" t="s">
        <v>3294</v>
      </c>
      <c r="F13" t="b">
        <v>0</v>
      </c>
      <c r="G13">
        <v>26</v>
      </c>
    </row>
    <row r="14" spans="1:7" ht="15" x14ac:dyDescent="0.2">
      <c r="A14">
        <v>12</v>
      </c>
      <c r="B14" s="1" t="s">
        <v>3306</v>
      </c>
      <c r="C14" t="s">
        <v>3307</v>
      </c>
      <c r="D14" s="4" t="s">
        <v>3294</v>
      </c>
      <c r="E14" s="4" t="s">
        <v>3294</v>
      </c>
      <c r="F14" t="b">
        <v>0</v>
      </c>
      <c r="G14">
        <v>27</v>
      </c>
    </row>
    <row r="15" spans="1:7" ht="15" x14ac:dyDescent="0.2">
      <c r="A15">
        <v>13</v>
      </c>
      <c r="B15" s="1" t="s">
        <v>3308</v>
      </c>
      <c r="C15" t="s">
        <v>3309</v>
      </c>
      <c r="D15" s="4" t="s">
        <v>3294</v>
      </c>
      <c r="E15" s="4"/>
      <c r="G15">
        <v>28</v>
      </c>
    </row>
    <row r="16" spans="1:7" ht="15" x14ac:dyDescent="0.2">
      <c r="A16">
        <v>14</v>
      </c>
      <c r="B16" s="1" t="s">
        <v>3310</v>
      </c>
      <c r="C16" t="s">
        <v>3311</v>
      </c>
      <c r="D16" s="4" t="s">
        <v>3294</v>
      </c>
      <c r="E16" s="4"/>
      <c r="G16">
        <v>29</v>
      </c>
    </row>
    <row r="17" spans="1:7" ht="15" x14ac:dyDescent="0.2">
      <c r="A17">
        <v>15</v>
      </c>
      <c r="B17" s="1" t="s">
        <v>3312</v>
      </c>
      <c r="C17" t="s">
        <v>3316</v>
      </c>
      <c r="D17" s="4" t="s">
        <v>3294</v>
      </c>
      <c r="E17" s="4"/>
      <c r="G17">
        <v>30</v>
      </c>
    </row>
    <row r="18" spans="1:7" ht="15" x14ac:dyDescent="0.2">
      <c r="A18">
        <v>16</v>
      </c>
      <c r="B18" s="1" t="s">
        <v>3313</v>
      </c>
      <c r="C18" t="s">
        <v>3317</v>
      </c>
      <c r="D18" s="4" t="s">
        <v>3294</v>
      </c>
      <c r="E18" s="4"/>
      <c r="G18">
        <v>31</v>
      </c>
    </row>
    <row r="19" spans="1:7" ht="15" x14ac:dyDescent="0.2">
      <c r="A19">
        <v>17</v>
      </c>
      <c r="B19" s="1" t="s">
        <v>3314</v>
      </c>
      <c r="C19" t="s">
        <v>3318</v>
      </c>
      <c r="D19" s="4" t="s">
        <v>3294</v>
      </c>
      <c r="E19" s="4"/>
      <c r="G19">
        <v>32</v>
      </c>
    </row>
    <row r="20" spans="1:7" ht="15" x14ac:dyDescent="0.2">
      <c r="A20">
        <v>18</v>
      </c>
      <c r="B20" s="1" t="s">
        <v>3330</v>
      </c>
      <c r="C20" t="s">
        <v>3331</v>
      </c>
      <c r="D20" s="4" t="s">
        <v>3294</v>
      </c>
      <c r="E20" s="4"/>
      <c r="G20">
        <v>33</v>
      </c>
    </row>
    <row r="21" spans="1:7" ht="15" x14ac:dyDescent="0.2">
      <c r="A21">
        <v>19</v>
      </c>
      <c r="B21" s="1" t="s">
        <v>3315</v>
      </c>
      <c r="C21" t="s">
        <v>3319</v>
      </c>
      <c r="D21" s="4" t="s">
        <v>3294</v>
      </c>
      <c r="E21" s="4"/>
      <c r="G21">
        <v>34</v>
      </c>
    </row>
    <row r="22" spans="1:7" ht="15" x14ac:dyDescent="0.2">
      <c r="A22">
        <v>20</v>
      </c>
      <c r="B22" s="1" t="s">
        <v>3320</v>
      </c>
      <c r="C22" t="s">
        <v>3321</v>
      </c>
      <c r="D22" s="4" t="s">
        <v>3294</v>
      </c>
      <c r="E22" s="4"/>
      <c r="G22">
        <v>35</v>
      </c>
    </row>
    <row r="23" spans="1:7" ht="15" x14ac:dyDescent="0.2">
      <c r="A23">
        <v>21</v>
      </c>
      <c r="B23" s="1" t="s">
        <v>3322</v>
      </c>
      <c r="C23" t="s">
        <v>3324</v>
      </c>
      <c r="D23" s="4" t="s">
        <v>3294</v>
      </c>
      <c r="E23" s="4" t="s">
        <v>3294</v>
      </c>
      <c r="F23" t="b">
        <v>0</v>
      </c>
      <c r="G23">
        <v>36</v>
      </c>
    </row>
    <row r="24" spans="1:7" ht="15" x14ac:dyDescent="0.2">
      <c r="A24">
        <v>22</v>
      </c>
      <c r="B24" s="1" t="s">
        <v>3323</v>
      </c>
      <c r="C24" t="s">
        <v>3325</v>
      </c>
      <c r="D24" s="4" t="s">
        <v>3294</v>
      </c>
      <c r="E24" s="4" t="s">
        <v>3294</v>
      </c>
      <c r="F24" t="b">
        <v>0</v>
      </c>
      <c r="G24">
        <v>37</v>
      </c>
    </row>
    <row r="25" spans="1:7" ht="15" x14ac:dyDescent="0.2">
      <c r="A25">
        <v>23</v>
      </c>
      <c r="B25" s="1" t="s">
        <v>3326</v>
      </c>
      <c r="C25" t="s">
        <v>3329</v>
      </c>
      <c r="D25" s="4" t="s">
        <v>3294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3327</v>
      </c>
      <c r="C26" t="s">
        <v>3328</v>
      </c>
      <c r="D26" s="4" t="s">
        <v>3294</v>
      </c>
      <c r="E26" s="4"/>
      <c r="G26">
        <v>39</v>
      </c>
    </row>
    <row r="27" spans="1:7" ht="15" x14ac:dyDescent="0.2">
      <c r="A27">
        <v>25</v>
      </c>
      <c r="B27" s="1" t="s">
        <v>3332</v>
      </c>
      <c r="C27" t="s">
        <v>3334</v>
      </c>
      <c r="D27" s="4" t="s">
        <v>3294</v>
      </c>
      <c r="E27" s="4" t="s">
        <v>3294</v>
      </c>
      <c r="F27" t="b">
        <v>0</v>
      </c>
      <c r="G27">
        <v>40</v>
      </c>
    </row>
    <row r="28" spans="1:7" ht="15" x14ac:dyDescent="0.2">
      <c r="A28">
        <v>26</v>
      </c>
      <c r="B28" s="1" t="s">
        <v>3333</v>
      </c>
      <c r="C28" t="s">
        <v>3335</v>
      </c>
      <c r="D28" s="4" t="s">
        <v>3294</v>
      </c>
      <c r="E28" s="4" t="s">
        <v>3294</v>
      </c>
      <c r="F28" t="b">
        <v>0</v>
      </c>
      <c r="G28">
        <v>41</v>
      </c>
    </row>
    <row r="29" spans="1:7" ht="15" x14ac:dyDescent="0.2">
      <c r="A29">
        <v>27</v>
      </c>
      <c r="B29" s="1" t="s">
        <v>3336</v>
      </c>
      <c r="C29" t="s">
        <v>3337</v>
      </c>
      <c r="D29" s="4" t="s">
        <v>3294</v>
      </c>
      <c r="E29" s="4"/>
      <c r="G29">
        <v>42</v>
      </c>
    </row>
    <row r="30" spans="1:7" ht="15" x14ac:dyDescent="0.2">
      <c r="A30">
        <v>28</v>
      </c>
      <c r="B30" s="1" t="s">
        <v>3338</v>
      </c>
      <c r="C30" t="s">
        <v>3339</v>
      </c>
      <c r="D30" s="4" t="s">
        <v>3294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3340</v>
      </c>
      <c r="C31" t="s">
        <v>3341</v>
      </c>
      <c r="D31" s="4" t="s">
        <v>3294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3342</v>
      </c>
      <c r="D32" s="4"/>
      <c r="E32" s="4"/>
      <c r="G32">
        <v>4</v>
      </c>
    </row>
    <row r="33" spans="1:7" ht="15" x14ac:dyDescent="0.2">
      <c r="A33" s="2">
        <v>31</v>
      </c>
      <c r="B33" s="3" t="s">
        <v>3343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3344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3345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3346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3347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3348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3349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3350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3351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3352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3353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3354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3355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3818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3819</v>
      </c>
      <c r="C6" t="s">
        <v>3820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3850</v>
      </c>
      <c r="C31" t="s">
        <v>3851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3821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3822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3852</v>
      </c>
      <c r="C42" t="s">
        <v>3854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3853</v>
      </c>
      <c r="C43" t="s">
        <v>3855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3856</v>
      </c>
      <c r="C128" t="s">
        <v>3857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3858</v>
      </c>
      <c r="C129" t="s">
        <v>3859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3827</v>
      </c>
      <c r="C140" t="s">
        <v>3860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3826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3828</v>
      </c>
      <c r="C177" t="s">
        <v>3861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3829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3824</v>
      </c>
      <c r="C209" t="s">
        <v>3862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3823</v>
      </c>
      <c r="C211" t="s">
        <v>3863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3830</v>
      </c>
      <c r="C214" t="s">
        <v>3866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3831</v>
      </c>
      <c r="C216" t="s">
        <v>3864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3832</v>
      </c>
      <c r="C221" t="s">
        <v>3865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3825</v>
      </c>
      <c r="C222" t="s">
        <v>3867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3868</v>
      </c>
      <c r="C231" t="s">
        <v>3870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3869</v>
      </c>
      <c r="C232" t="s">
        <v>3871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3833</v>
      </c>
      <c r="C241" t="s">
        <v>3872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3834</v>
      </c>
      <c r="C242" t="s">
        <v>3873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3835</v>
      </c>
      <c r="C243" t="s">
        <v>3874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3836</v>
      </c>
      <c r="C244" t="s">
        <v>3875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3837</v>
      </c>
      <c r="C274" t="s">
        <v>3876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3745</v>
      </c>
      <c r="C279" t="s">
        <v>3747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3746</v>
      </c>
      <c r="C280" t="s">
        <v>3748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3741</v>
      </c>
      <c r="C283" t="s">
        <v>3743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3742</v>
      </c>
      <c r="C284" t="s">
        <v>3744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2076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2077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3838</v>
      </c>
      <c r="C321" t="s">
        <v>3877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3839</v>
      </c>
      <c r="C322" t="s">
        <v>3878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3840</v>
      </c>
      <c r="C332" t="s">
        <v>3879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3841</v>
      </c>
      <c r="C340" t="s">
        <v>3880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3842</v>
      </c>
      <c r="C342" t="s">
        <v>3881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3844</v>
      </c>
      <c r="C357" t="s">
        <v>3882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3843</v>
      </c>
      <c r="C358" t="s">
        <v>3883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3884</v>
      </c>
      <c r="C359" t="s">
        <v>3886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3885</v>
      </c>
      <c r="C360" t="s">
        <v>3887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3845</v>
      </c>
      <c r="C369" t="s">
        <v>3888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3846</v>
      </c>
      <c r="C370" t="s">
        <v>3889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3847</v>
      </c>
      <c r="C371" t="s">
        <v>3890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3848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3849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3818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3819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3850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3821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3822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3852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3853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3856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3858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3827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3826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3828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3829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3824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3823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3830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3831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3832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3825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3868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3869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3833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3834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3835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3836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3837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3745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3746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3741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3742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2076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2077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3838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3839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3840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3841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3842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3844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3843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3884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3885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3845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3846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3847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3848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3849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/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3025</v>
      </c>
      <c r="C3" t="s">
        <v>3036</v>
      </c>
      <c r="D3" s="4" t="s">
        <v>22</v>
      </c>
      <c r="G3">
        <v>1</v>
      </c>
    </row>
    <row r="4" spans="1:7" ht="15" x14ac:dyDescent="0.2">
      <c r="A4">
        <v>2</v>
      </c>
      <c r="B4" s="1" t="s">
        <v>3026</v>
      </c>
      <c r="C4" t="s">
        <v>3037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3027</v>
      </c>
      <c r="C7" t="s">
        <v>3040</v>
      </c>
      <c r="D7" s="4" t="s">
        <v>22</v>
      </c>
      <c r="G7">
        <v>71</v>
      </c>
    </row>
    <row r="8" spans="1:7" ht="15" x14ac:dyDescent="0.2">
      <c r="A8">
        <v>6</v>
      </c>
      <c r="B8" s="1" t="s">
        <v>3018</v>
      </c>
      <c r="C8" t="s">
        <v>3041</v>
      </c>
      <c r="D8" s="4" t="s">
        <v>22</v>
      </c>
      <c r="G8">
        <v>80</v>
      </c>
    </row>
    <row r="9" spans="1:7" ht="15" x14ac:dyDescent="0.2">
      <c r="A9">
        <v>7</v>
      </c>
      <c r="B9" s="1" t="s">
        <v>3028</v>
      </c>
      <c r="C9" t="s">
        <v>3042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3029</v>
      </c>
      <c r="C10" t="s">
        <v>3043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3030</v>
      </c>
      <c r="C11" t="s">
        <v>3054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3055</v>
      </c>
      <c r="C12" t="s">
        <v>3058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3056</v>
      </c>
      <c r="C13" t="s">
        <v>3059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3057</v>
      </c>
      <c r="C14" t="s">
        <v>3060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3031</v>
      </c>
      <c r="C15" t="s">
        <v>3061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3032</v>
      </c>
      <c r="C16" t="s">
        <v>3066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3033</v>
      </c>
      <c r="C17" t="s">
        <v>3098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3034</v>
      </c>
      <c r="C18" t="s">
        <v>3148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3151</v>
      </c>
      <c r="C19" t="s">
        <v>3153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3152</v>
      </c>
      <c r="C20" t="s">
        <v>2165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3035</v>
      </c>
      <c r="C21" t="s">
        <v>3154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3155</v>
      </c>
      <c r="C22" t="s">
        <v>2740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8</v>
      </c>
    </row>
    <row r="26" spans="1:7" ht="15" x14ac:dyDescent="0.2">
      <c r="A26">
        <v>24</v>
      </c>
      <c r="B26" s="6" t="s">
        <v>3045</v>
      </c>
      <c r="C26" t="s">
        <v>477</v>
      </c>
      <c r="G26">
        <v>9</v>
      </c>
    </row>
    <row r="27" spans="1:7" ht="15" x14ac:dyDescent="0.2">
      <c r="A27">
        <v>25</v>
      </c>
      <c r="B27" s="6" t="s">
        <v>3046</v>
      </c>
      <c r="C27" t="s">
        <v>3048</v>
      </c>
      <c r="G27">
        <v>72</v>
      </c>
    </row>
    <row r="28" spans="1:7" ht="15" x14ac:dyDescent="0.2">
      <c r="A28">
        <v>26</v>
      </c>
      <c r="B28" s="6" t="s">
        <v>3047</v>
      </c>
      <c r="C28" t="s">
        <v>3049</v>
      </c>
      <c r="G28">
        <v>73</v>
      </c>
    </row>
    <row r="29" spans="1:7" ht="15" x14ac:dyDescent="0.2">
      <c r="A29">
        <v>27</v>
      </c>
      <c r="B29" s="6" t="s">
        <v>3052</v>
      </c>
      <c r="C29" t="s">
        <v>3050</v>
      </c>
      <c r="G29">
        <v>11</v>
      </c>
    </row>
    <row r="30" spans="1:7" ht="15" x14ac:dyDescent="0.2">
      <c r="A30">
        <v>28</v>
      </c>
      <c r="B30" s="6" t="s">
        <v>3051</v>
      </c>
      <c r="C30" t="s">
        <v>3053</v>
      </c>
      <c r="G30">
        <v>12</v>
      </c>
    </row>
    <row r="31" spans="1:7" ht="15" x14ac:dyDescent="0.2">
      <c r="A31">
        <v>29</v>
      </c>
      <c r="B31" s="6" t="s">
        <v>3062</v>
      </c>
      <c r="C31" t="s">
        <v>3064</v>
      </c>
      <c r="G31">
        <v>75</v>
      </c>
    </row>
    <row r="32" spans="1:7" ht="15" x14ac:dyDescent="0.2">
      <c r="A32">
        <v>30</v>
      </c>
      <c r="B32" s="6" t="s">
        <v>3063</v>
      </c>
      <c r="C32" t="s">
        <v>3065</v>
      </c>
      <c r="G32">
        <v>76</v>
      </c>
    </row>
    <row r="33" spans="1:7" ht="15" x14ac:dyDescent="0.2">
      <c r="A33">
        <v>31</v>
      </c>
      <c r="B33" s="6" t="s">
        <v>3183</v>
      </c>
      <c r="C33" t="s">
        <v>3067</v>
      </c>
      <c r="G33">
        <v>47</v>
      </c>
    </row>
    <row r="34" spans="1:7" ht="15" x14ac:dyDescent="0.2">
      <c r="A34">
        <v>32</v>
      </c>
      <c r="B34" s="6" t="s">
        <v>3184</v>
      </c>
      <c r="C34" t="s">
        <v>3068</v>
      </c>
      <c r="G34">
        <v>50</v>
      </c>
    </row>
    <row r="35" spans="1:7" ht="15" x14ac:dyDescent="0.2">
      <c r="A35">
        <v>33</v>
      </c>
      <c r="B35" s="6" t="s">
        <v>3185</v>
      </c>
      <c r="C35" t="s">
        <v>3069</v>
      </c>
      <c r="G35">
        <v>48</v>
      </c>
    </row>
    <row r="36" spans="1:7" ht="15" x14ac:dyDescent="0.2">
      <c r="A36">
        <v>34</v>
      </c>
      <c r="B36" s="6" t="s">
        <v>3186</v>
      </c>
      <c r="C36" t="s">
        <v>3070</v>
      </c>
      <c r="G36">
        <v>49</v>
      </c>
    </row>
    <row r="37" spans="1:7" ht="15" x14ac:dyDescent="0.2">
      <c r="A37">
        <v>35</v>
      </c>
      <c r="B37" s="6" t="s">
        <v>3187</v>
      </c>
      <c r="C37" t="s">
        <v>3071</v>
      </c>
      <c r="G37">
        <v>51</v>
      </c>
    </row>
    <row r="38" spans="1:7" ht="15" x14ac:dyDescent="0.2">
      <c r="A38">
        <v>36</v>
      </c>
      <c r="B38" s="6" t="s">
        <v>3188</v>
      </c>
      <c r="C38" t="s">
        <v>3072</v>
      </c>
      <c r="G38">
        <v>52</v>
      </c>
    </row>
    <row r="39" spans="1:7" ht="15" x14ac:dyDescent="0.2">
      <c r="A39">
        <v>37</v>
      </c>
      <c r="B39" s="6" t="s">
        <v>3189</v>
      </c>
      <c r="C39" t="s">
        <v>3073</v>
      </c>
      <c r="G39">
        <v>53</v>
      </c>
    </row>
    <row r="40" spans="1:7" ht="15" x14ac:dyDescent="0.2">
      <c r="A40">
        <v>38</v>
      </c>
      <c r="B40" s="6" t="s">
        <v>3190</v>
      </c>
      <c r="C40" t="s">
        <v>3074</v>
      </c>
      <c r="G40">
        <v>56</v>
      </c>
    </row>
    <row r="41" spans="1:7" ht="15" x14ac:dyDescent="0.2">
      <c r="A41">
        <v>39</v>
      </c>
      <c r="B41" s="6" t="s">
        <v>3191</v>
      </c>
      <c r="C41" t="s">
        <v>3075</v>
      </c>
      <c r="G41">
        <v>54</v>
      </c>
    </row>
    <row r="42" spans="1:7" ht="15" x14ac:dyDescent="0.2">
      <c r="A42">
        <v>40</v>
      </c>
      <c r="B42" s="6" t="s">
        <v>3192</v>
      </c>
      <c r="C42" t="s">
        <v>3076</v>
      </c>
      <c r="G42">
        <v>55</v>
      </c>
    </row>
    <row r="43" spans="1:7" ht="15" x14ac:dyDescent="0.2">
      <c r="A43">
        <v>41</v>
      </c>
      <c r="B43" s="6" t="s">
        <v>3193</v>
      </c>
      <c r="C43" t="s">
        <v>3077</v>
      </c>
      <c r="G43">
        <v>57</v>
      </c>
    </row>
    <row r="44" spans="1:7" ht="15" x14ac:dyDescent="0.2">
      <c r="A44">
        <v>42</v>
      </c>
      <c r="B44" s="6" t="s">
        <v>3194</v>
      </c>
      <c r="C44" t="s">
        <v>3078</v>
      </c>
      <c r="G44">
        <v>58</v>
      </c>
    </row>
    <row r="45" spans="1:7" ht="15" x14ac:dyDescent="0.2">
      <c r="A45">
        <v>43</v>
      </c>
      <c r="B45" s="6" t="s">
        <v>3195</v>
      </c>
      <c r="C45" t="s">
        <v>3079</v>
      </c>
      <c r="G45">
        <v>59</v>
      </c>
    </row>
    <row r="46" spans="1:7" ht="15" x14ac:dyDescent="0.2">
      <c r="A46">
        <v>44</v>
      </c>
      <c r="B46" s="6" t="s">
        <v>3196</v>
      </c>
      <c r="C46" t="s">
        <v>3080</v>
      </c>
      <c r="G46">
        <v>62</v>
      </c>
    </row>
    <row r="47" spans="1:7" ht="15" x14ac:dyDescent="0.2">
      <c r="A47">
        <v>45</v>
      </c>
      <c r="B47" s="6" t="s">
        <v>3197</v>
      </c>
      <c r="C47" t="s">
        <v>3081</v>
      </c>
      <c r="G47">
        <v>60</v>
      </c>
    </row>
    <row r="48" spans="1:7" ht="15" x14ac:dyDescent="0.2">
      <c r="A48">
        <v>46</v>
      </c>
      <c r="B48" s="6" t="s">
        <v>3198</v>
      </c>
      <c r="C48" t="s">
        <v>3082</v>
      </c>
      <c r="G48">
        <v>61</v>
      </c>
    </row>
    <row r="49" spans="1:7" ht="15" x14ac:dyDescent="0.2">
      <c r="A49">
        <v>47</v>
      </c>
      <c r="B49" s="6" t="s">
        <v>3199</v>
      </c>
      <c r="C49" t="s">
        <v>3083</v>
      </c>
      <c r="G49">
        <v>63</v>
      </c>
    </row>
    <row r="50" spans="1:7" ht="15" x14ac:dyDescent="0.2">
      <c r="A50">
        <v>48</v>
      </c>
      <c r="B50" s="6" t="s">
        <v>3200</v>
      </c>
      <c r="C50" t="s">
        <v>3084</v>
      </c>
      <c r="G50">
        <v>64</v>
      </c>
    </row>
    <row r="51" spans="1:7" ht="15" x14ac:dyDescent="0.2">
      <c r="A51">
        <v>49</v>
      </c>
      <c r="B51" s="6" t="s">
        <v>3201</v>
      </c>
      <c r="C51" t="s">
        <v>3085</v>
      </c>
      <c r="G51">
        <v>65</v>
      </c>
    </row>
    <row r="52" spans="1:7" ht="15" x14ac:dyDescent="0.2">
      <c r="A52">
        <v>50</v>
      </c>
      <c r="B52" s="6" t="s">
        <v>3202</v>
      </c>
      <c r="C52" t="s">
        <v>3086</v>
      </c>
      <c r="G52">
        <v>68</v>
      </c>
    </row>
    <row r="53" spans="1:7" ht="15" x14ac:dyDescent="0.2">
      <c r="A53">
        <v>51</v>
      </c>
      <c r="B53" s="6" t="s">
        <v>3203</v>
      </c>
      <c r="C53" t="s">
        <v>3087</v>
      </c>
      <c r="G53">
        <v>66</v>
      </c>
    </row>
    <row r="54" spans="1:7" ht="15" x14ac:dyDescent="0.2">
      <c r="A54">
        <v>52</v>
      </c>
      <c r="B54" s="6" t="s">
        <v>3204</v>
      </c>
      <c r="C54" t="s">
        <v>3088</v>
      </c>
      <c r="G54">
        <v>67</v>
      </c>
    </row>
    <row r="55" spans="1:7" ht="15" x14ac:dyDescent="0.2">
      <c r="A55">
        <v>53</v>
      </c>
      <c r="B55" s="6" t="s">
        <v>3205</v>
      </c>
      <c r="C55" t="s">
        <v>3089</v>
      </c>
      <c r="G55">
        <v>69</v>
      </c>
    </row>
    <row r="56" spans="1:7" ht="15" x14ac:dyDescent="0.2">
      <c r="A56">
        <v>54</v>
      </c>
      <c r="B56" s="6" t="s">
        <v>3206</v>
      </c>
      <c r="C56" t="s">
        <v>3090</v>
      </c>
      <c r="G56">
        <v>70</v>
      </c>
    </row>
    <row r="57" spans="1:7" ht="15" x14ac:dyDescent="0.2">
      <c r="A57">
        <v>55</v>
      </c>
      <c r="B57" s="6" t="s">
        <v>3091</v>
      </c>
      <c r="C57" t="s">
        <v>3099</v>
      </c>
      <c r="G57">
        <v>18</v>
      </c>
    </row>
    <row r="58" spans="1:7" ht="15" x14ac:dyDescent="0.2">
      <c r="A58">
        <v>56</v>
      </c>
      <c r="B58" s="6" t="s">
        <v>3092</v>
      </c>
      <c r="C58" t="s">
        <v>3100</v>
      </c>
      <c r="G58">
        <v>21</v>
      </c>
    </row>
    <row r="59" spans="1:7" ht="15" x14ac:dyDescent="0.2">
      <c r="A59">
        <v>57</v>
      </c>
      <c r="B59" s="6" t="s">
        <v>3093</v>
      </c>
      <c r="C59" t="s">
        <v>3101</v>
      </c>
      <c r="G59">
        <v>22</v>
      </c>
    </row>
    <row r="60" spans="1:7" ht="15" x14ac:dyDescent="0.2">
      <c r="A60">
        <v>58</v>
      </c>
      <c r="B60" s="6" t="s">
        <v>3094</v>
      </c>
      <c r="C60" t="s">
        <v>3102</v>
      </c>
      <c r="G60">
        <v>19</v>
      </c>
    </row>
    <row r="61" spans="1:7" ht="15" x14ac:dyDescent="0.2">
      <c r="A61">
        <v>59</v>
      </c>
      <c r="B61" s="6" t="s">
        <v>3095</v>
      </c>
      <c r="C61" t="s">
        <v>3103</v>
      </c>
      <c r="G61">
        <v>20</v>
      </c>
    </row>
    <row r="62" spans="1:7" ht="15" x14ac:dyDescent="0.2">
      <c r="A62">
        <v>60</v>
      </c>
      <c r="B62" s="6" t="s">
        <v>3096</v>
      </c>
      <c r="C62" t="s">
        <v>3104</v>
      </c>
      <c r="G62">
        <v>23</v>
      </c>
    </row>
    <row r="63" spans="1:7" ht="15" x14ac:dyDescent="0.2">
      <c r="A63">
        <v>61</v>
      </c>
      <c r="B63" s="6" t="s">
        <v>3097</v>
      </c>
      <c r="C63" t="s">
        <v>3105</v>
      </c>
      <c r="G63">
        <v>24</v>
      </c>
    </row>
    <row r="64" spans="1:7" ht="15" x14ac:dyDescent="0.2">
      <c r="A64">
        <v>62</v>
      </c>
      <c r="B64" s="6" t="s">
        <v>3106</v>
      </c>
      <c r="C64" t="s">
        <v>3107</v>
      </c>
      <c r="G64">
        <v>25</v>
      </c>
    </row>
    <row r="65" spans="1:7" ht="15" x14ac:dyDescent="0.2">
      <c r="A65">
        <v>63</v>
      </c>
      <c r="B65" s="6" t="s">
        <v>3108</v>
      </c>
      <c r="C65" t="s">
        <v>3109</v>
      </c>
      <c r="G65">
        <v>28</v>
      </c>
    </row>
    <row r="66" spans="1:7" ht="15" x14ac:dyDescent="0.2">
      <c r="A66">
        <v>64</v>
      </c>
      <c r="B66" s="6" t="s">
        <v>3110</v>
      </c>
      <c r="C66" t="s">
        <v>3111</v>
      </c>
      <c r="G66">
        <v>29</v>
      </c>
    </row>
    <row r="67" spans="1:7" ht="15" x14ac:dyDescent="0.2">
      <c r="A67">
        <v>65</v>
      </c>
      <c r="B67" s="6" t="s">
        <v>3112</v>
      </c>
      <c r="C67" t="s">
        <v>3113</v>
      </c>
      <c r="G67">
        <v>26</v>
      </c>
    </row>
    <row r="68" spans="1:7" ht="15" x14ac:dyDescent="0.2">
      <c r="A68">
        <v>66</v>
      </c>
      <c r="B68" s="6" t="s">
        <v>3114</v>
      </c>
      <c r="C68" t="s">
        <v>3115</v>
      </c>
      <c r="G68">
        <v>27</v>
      </c>
    </row>
    <row r="69" spans="1:7" ht="15" x14ac:dyDescent="0.2">
      <c r="A69">
        <v>67</v>
      </c>
      <c r="B69" s="6" t="s">
        <v>3116</v>
      </c>
      <c r="C69" t="s">
        <v>3117</v>
      </c>
      <c r="G69">
        <v>30</v>
      </c>
    </row>
    <row r="70" spans="1:7" ht="15" x14ac:dyDescent="0.2">
      <c r="A70">
        <v>68</v>
      </c>
      <c r="B70" s="6" t="s">
        <v>3118</v>
      </c>
      <c r="C70" t="s">
        <v>3119</v>
      </c>
      <c r="G70">
        <v>31</v>
      </c>
    </row>
    <row r="71" spans="1:7" ht="15" x14ac:dyDescent="0.2">
      <c r="A71">
        <v>69</v>
      </c>
      <c r="B71" s="6" t="s">
        <v>3120</v>
      </c>
      <c r="C71" t="s">
        <v>3121</v>
      </c>
      <c r="G71">
        <v>32</v>
      </c>
    </row>
    <row r="72" spans="1:7" ht="15" x14ac:dyDescent="0.2">
      <c r="A72">
        <v>70</v>
      </c>
      <c r="B72" s="6" t="s">
        <v>3122</v>
      </c>
      <c r="C72" t="s">
        <v>3123</v>
      </c>
      <c r="G72">
        <v>35</v>
      </c>
    </row>
    <row r="73" spans="1:7" ht="15" x14ac:dyDescent="0.2">
      <c r="A73">
        <v>71</v>
      </c>
      <c r="B73" s="6" t="s">
        <v>3124</v>
      </c>
      <c r="C73" t="s">
        <v>3125</v>
      </c>
      <c r="G73">
        <v>36</v>
      </c>
    </row>
    <row r="74" spans="1:7" ht="15" x14ac:dyDescent="0.2">
      <c r="A74">
        <v>72</v>
      </c>
      <c r="B74" s="6" t="s">
        <v>3126</v>
      </c>
      <c r="C74" t="s">
        <v>3127</v>
      </c>
      <c r="G74">
        <v>33</v>
      </c>
    </row>
    <row r="75" spans="1:7" ht="15" x14ac:dyDescent="0.2">
      <c r="A75">
        <v>73</v>
      </c>
      <c r="B75" s="6" t="s">
        <v>3128</v>
      </c>
      <c r="C75" t="s">
        <v>3129</v>
      </c>
      <c r="G75">
        <v>34</v>
      </c>
    </row>
    <row r="76" spans="1:7" ht="15" x14ac:dyDescent="0.2">
      <c r="A76">
        <v>74</v>
      </c>
      <c r="B76" s="6" t="s">
        <v>3130</v>
      </c>
      <c r="C76" t="s">
        <v>3131</v>
      </c>
      <c r="G76">
        <v>37</v>
      </c>
    </row>
    <row r="77" spans="1:7" ht="15" x14ac:dyDescent="0.2">
      <c r="A77">
        <v>75</v>
      </c>
      <c r="B77" s="6" t="s">
        <v>3132</v>
      </c>
      <c r="C77" t="s">
        <v>3133</v>
      </c>
      <c r="G77">
        <v>38</v>
      </c>
    </row>
    <row r="78" spans="1:7" ht="15" x14ac:dyDescent="0.2">
      <c r="A78">
        <v>76</v>
      </c>
      <c r="B78" s="6" t="s">
        <v>3134</v>
      </c>
      <c r="C78" t="s">
        <v>3135</v>
      </c>
      <c r="G78">
        <v>39</v>
      </c>
    </row>
    <row r="79" spans="1:7" ht="15" x14ac:dyDescent="0.2">
      <c r="A79">
        <v>77</v>
      </c>
      <c r="B79" s="6" t="s">
        <v>3136</v>
      </c>
      <c r="C79" t="s">
        <v>3137</v>
      </c>
      <c r="G79">
        <v>42</v>
      </c>
    </row>
    <row r="80" spans="1:7" ht="15" x14ac:dyDescent="0.2">
      <c r="A80">
        <v>78</v>
      </c>
      <c r="B80" s="6" t="s">
        <v>3138</v>
      </c>
      <c r="C80" t="s">
        <v>3139</v>
      </c>
      <c r="G80">
        <v>43</v>
      </c>
    </row>
    <row r="81" spans="1:7" ht="15" x14ac:dyDescent="0.2">
      <c r="A81">
        <v>79</v>
      </c>
      <c r="B81" s="6" t="s">
        <v>3140</v>
      </c>
      <c r="C81" t="s">
        <v>3141</v>
      </c>
      <c r="G81">
        <v>40</v>
      </c>
    </row>
    <row r="82" spans="1:7" ht="15" x14ac:dyDescent="0.2">
      <c r="A82">
        <v>80</v>
      </c>
      <c r="B82" s="6" t="s">
        <v>3142</v>
      </c>
      <c r="C82" t="s">
        <v>3143</v>
      </c>
      <c r="G82">
        <v>41</v>
      </c>
    </row>
    <row r="83" spans="1:7" ht="15" x14ac:dyDescent="0.2">
      <c r="A83">
        <v>81</v>
      </c>
      <c r="B83" s="6" t="s">
        <v>3144</v>
      </c>
      <c r="C83" t="s">
        <v>3145</v>
      </c>
      <c r="G83">
        <v>44</v>
      </c>
    </row>
    <row r="84" spans="1:7" ht="15" x14ac:dyDescent="0.2">
      <c r="A84">
        <v>82</v>
      </c>
      <c r="B84" s="6" t="s">
        <v>3146</v>
      </c>
      <c r="C84" t="s">
        <v>3147</v>
      </c>
      <c r="G84">
        <v>45</v>
      </c>
    </row>
    <row r="85" spans="1:7" ht="15" x14ac:dyDescent="0.2">
      <c r="A85">
        <v>83</v>
      </c>
      <c r="B85" s="6" t="s">
        <v>3181</v>
      </c>
      <c r="C85" t="s">
        <v>3149</v>
      </c>
      <c r="G85">
        <v>15</v>
      </c>
    </row>
    <row r="86" spans="1:7" ht="15" x14ac:dyDescent="0.2">
      <c r="A86">
        <v>84</v>
      </c>
      <c r="B86" s="6" t="s">
        <v>3182</v>
      </c>
      <c r="C86" t="s">
        <v>3150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0"/>
  <sheetViews>
    <sheetView workbookViewId="0"/>
  </sheetViews>
  <sheetFormatPr defaultRowHeight="14.25" x14ac:dyDescent="0.2"/>
  <cols>
    <col min="2" max="2" width="48.2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3009</v>
      </c>
      <c r="C3" t="s">
        <v>3156</v>
      </c>
      <c r="D3" s="4" t="s">
        <v>22</v>
      </c>
      <c r="G3">
        <v>1</v>
      </c>
    </row>
    <row r="4" spans="1:7" ht="15" x14ac:dyDescent="0.2">
      <c r="A4">
        <v>2</v>
      </c>
      <c r="B4" s="1" t="s">
        <v>3010</v>
      </c>
      <c r="C4" t="s">
        <v>3157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E6" s="4" t="s">
        <v>22</v>
      </c>
      <c r="G6">
        <v>9</v>
      </c>
    </row>
    <row r="7" spans="1:7" ht="15" x14ac:dyDescent="0.2">
      <c r="A7">
        <v>5</v>
      </c>
      <c r="B7" s="1" t="s">
        <v>3013</v>
      </c>
      <c r="C7" t="s">
        <v>3158</v>
      </c>
      <c r="D7" s="4" t="s">
        <v>22</v>
      </c>
      <c r="E7" s="4" t="s">
        <v>22</v>
      </c>
      <c r="G7">
        <v>15</v>
      </c>
    </row>
    <row r="8" spans="1:7" ht="15" x14ac:dyDescent="0.2">
      <c r="A8">
        <v>6</v>
      </c>
      <c r="B8" s="1" t="s">
        <v>3014</v>
      </c>
      <c r="C8" t="s">
        <v>2883</v>
      </c>
      <c r="D8" s="4" t="s">
        <v>22</v>
      </c>
      <c r="E8" s="4" t="s">
        <v>22</v>
      </c>
      <c r="G8">
        <v>18</v>
      </c>
    </row>
    <row r="9" spans="1:7" ht="15" x14ac:dyDescent="0.2">
      <c r="A9">
        <v>7</v>
      </c>
      <c r="B9" s="1" t="s">
        <v>3015</v>
      </c>
      <c r="C9" t="s">
        <v>1082</v>
      </c>
      <c r="D9" s="4" t="s">
        <v>22</v>
      </c>
      <c r="E9" s="4" t="s">
        <v>22</v>
      </c>
      <c r="G9">
        <v>23</v>
      </c>
    </row>
    <row r="10" spans="1:7" ht="15" x14ac:dyDescent="0.2">
      <c r="A10">
        <v>8</v>
      </c>
      <c r="B10" s="1" t="s">
        <v>3016</v>
      </c>
      <c r="C10" t="s">
        <v>3167</v>
      </c>
      <c r="D10" s="4" t="s">
        <v>22</v>
      </c>
      <c r="E10" s="4" t="s">
        <v>22</v>
      </c>
      <c r="G10">
        <v>28</v>
      </c>
    </row>
    <row r="11" spans="1:7" ht="15" x14ac:dyDescent="0.2">
      <c r="A11">
        <v>9</v>
      </c>
      <c r="B11" s="1" t="s">
        <v>3017</v>
      </c>
      <c r="C11" t="s">
        <v>3170</v>
      </c>
      <c r="D11" s="4" t="s">
        <v>22</v>
      </c>
      <c r="E11" s="4" t="s">
        <v>22</v>
      </c>
      <c r="G11">
        <v>14</v>
      </c>
    </row>
    <row r="12" spans="1:7" ht="15" x14ac:dyDescent="0.2">
      <c r="A12">
        <v>10</v>
      </c>
      <c r="B12" s="1" t="s">
        <v>3018</v>
      </c>
      <c r="C12" t="s">
        <v>3041</v>
      </c>
      <c r="D12" s="4" t="s">
        <v>22</v>
      </c>
      <c r="G12">
        <v>37</v>
      </c>
    </row>
    <row r="13" spans="1:7" ht="15" x14ac:dyDescent="0.2">
      <c r="A13">
        <v>11</v>
      </c>
      <c r="B13" s="1" t="s">
        <v>3019</v>
      </c>
      <c r="C13" t="s">
        <v>3171</v>
      </c>
      <c r="D13" s="4" t="s">
        <v>22</v>
      </c>
      <c r="E13" s="4" t="s">
        <v>22</v>
      </c>
      <c r="F13" t="b">
        <v>0</v>
      </c>
      <c r="G13">
        <v>7</v>
      </c>
    </row>
    <row r="14" spans="1:7" ht="15" x14ac:dyDescent="0.2">
      <c r="A14">
        <v>12</v>
      </c>
      <c r="B14" s="1" t="s">
        <v>3020</v>
      </c>
      <c r="C14" t="s">
        <v>448</v>
      </c>
      <c r="D14" s="4" t="s">
        <v>22</v>
      </c>
      <c r="E14" s="4" t="s">
        <v>22</v>
      </c>
      <c r="F14" t="b">
        <v>1</v>
      </c>
      <c r="G14">
        <v>6</v>
      </c>
    </row>
    <row r="15" spans="1:7" ht="15" x14ac:dyDescent="0.2">
      <c r="A15">
        <v>13</v>
      </c>
      <c r="B15" s="1" t="s">
        <v>3151</v>
      </c>
      <c r="C15" t="s">
        <v>3153</v>
      </c>
      <c r="D15" s="4" t="s">
        <v>22</v>
      </c>
      <c r="G15">
        <v>33</v>
      </c>
    </row>
    <row r="16" spans="1:7" ht="15" x14ac:dyDescent="0.2">
      <c r="A16">
        <v>14</v>
      </c>
      <c r="B16" s="1" t="s">
        <v>3152</v>
      </c>
      <c r="C16" t="s">
        <v>2165</v>
      </c>
      <c r="G16">
        <v>34</v>
      </c>
    </row>
    <row r="17" spans="1:7" ht="15" x14ac:dyDescent="0.2">
      <c r="A17">
        <v>15</v>
      </c>
      <c r="B17" s="1" t="s">
        <v>3021</v>
      </c>
      <c r="C17" t="s">
        <v>3172</v>
      </c>
      <c r="D17" s="4" t="s">
        <v>22</v>
      </c>
      <c r="E17" s="4" t="s">
        <v>22</v>
      </c>
      <c r="G17">
        <v>35</v>
      </c>
    </row>
    <row r="18" spans="1:7" ht="15" x14ac:dyDescent="0.2">
      <c r="A18">
        <v>16</v>
      </c>
      <c r="B18" s="1" t="s">
        <v>3173</v>
      </c>
      <c r="C18" t="s">
        <v>2740</v>
      </c>
      <c r="D18" s="4" t="s">
        <v>22</v>
      </c>
      <c r="E18" s="4" t="s">
        <v>22</v>
      </c>
      <c r="G18">
        <v>38</v>
      </c>
    </row>
    <row r="19" spans="1:7" ht="15" x14ac:dyDescent="0.2">
      <c r="A19">
        <v>17</v>
      </c>
      <c r="B19" s="1" t="s">
        <v>3175</v>
      </c>
      <c r="C19" t="s">
        <v>3174</v>
      </c>
      <c r="D19" s="4" t="s">
        <v>22</v>
      </c>
      <c r="E19" s="4" t="s">
        <v>22</v>
      </c>
      <c r="G19">
        <v>31</v>
      </c>
    </row>
    <row r="20" spans="1:7" ht="15" x14ac:dyDescent="0.2">
      <c r="A20">
        <v>18</v>
      </c>
      <c r="B20" s="1" t="s">
        <v>3022</v>
      </c>
      <c r="C20" t="s">
        <v>3176</v>
      </c>
      <c r="D20" s="4" t="s">
        <v>22</v>
      </c>
      <c r="E20" s="4" t="s">
        <v>22</v>
      </c>
      <c r="F20" t="b">
        <v>0</v>
      </c>
      <c r="G20">
        <v>8</v>
      </c>
    </row>
    <row r="21" spans="1:7" ht="15" x14ac:dyDescent="0.2">
      <c r="A21">
        <v>19</v>
      </c>
      <c r="B21" s="1" t="s">
        <v>3023</v>
      </c>
      <c r="C21" t="s">
        <v>3177</v>
      </c>
      <c r="D21" s="4" t="s">
        <v>22</v>
      </c>
      <c r="E21" s="4" t="s">
        <v>22</v>
      </c>
      <c r="G21">
        <v>32</v>
      </c>
    </row>
    <row r="22" spans="1:7" ht="15" x14ac:dyDescent="0.2">
      <c r="A22">
        <v>20</v>
      </c>
      <c r="B22" s="1" t="s">
        <v>3024</v>
      </c>
      <c r="C22" t="s">
        <v>3178</v>
      </c>
      <c r="D22" s="4" t="s">
        <v>22</v>
      </c>
      <c r="E22" s="4" t="s">
        <v>22</v>
      </c>
      <c r="G22">
        <v>36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10</v>
      </c>
    </row>
    <row r="26" spans="1:7" ht="15" x14ac:dyDescent="0.2">
      <c r="A26">
        <v>24</v>
      </c>
      <c r="B26" s="6" t="s">
        <v>3045</v>
      </c>
      <c r="C26" t="s">
        <v>477</v>
      </c>
      <c r="G26">
        <v>12</v>
      </c>
    </row>
    <row r="27" spans="1:7" ht="15" x14ac:dyDescent="0.2">
      <c r="A27">
        <v>25</v>
      </c>
      <c r="B27" s="6" t="s">
        <v>3207</v>
      </c>
      <c r="C27" t="s">
        <v>482</v>
      </c>
      <c r="G27">
        <v>11</v>
      </c>
    </row>
    <row r="28" spans="1:7" ht="15" x14ac:dyDescent="0.2">
      <c r="A28">
        <v>26</v>
      </c>
      <c r="B28" s="6" t="s">
        <v>3208</v>
      </c>
      <c r="C28" t="s">
        <v>484</v>
      </c>
      <c r="G28">
        <v>13</v>
      </c>
    </row>
    <row r="29" spans="1:7" ht="15" x14ac:dyDescent="0.2">
      <c r="A29">
        <v>27</v>
      </c>
      <c r="B29" s="6" t="s">
        <v>3159</v>
      </c>
      <c r="C29" t="s">
        <v>3161</v>
      </c>
      <c r="G29">
        <v>16</v>
      </c>
    </row>
    <row r="30" spans="1:7" ht="15" x14ac:dyDescent="0.2">
      <c r="A30">
        <v>28</v>
      </c>
      <c r="B30" s="6" t="s">
        <v>3160</v>
      </c>
      <c r="C30" t="s">
        <v>3162</v>
      </c>
      <c r="G30">
        <v>17</v>
      </c>
    </row>
    <row r="31" spans="1:7" ht="15" x14ac:dyDescent="0.2">
      <c r="A31">
        <v>29</v>
      </c>
      <c r="B31" s="6" t="s">
        <v>3163</v>
      </c>
      <c r="C31" t="s">
        <v>2900</v>
      </c>
      <c r="G31">
        <v>19</v>
      </c>
    </row>
    <row r="32" spans="1:7" ht="15" x14ac:dyDescent="0.2">
      <c r="A32">
        <v>30</v>
      </c>
      <c r="B32" s="6" t="s">
        <v>3164</v>
      </c>
      <c r="C32" t="s">
        <v>2901</v>
      </c>
      <c r="G32">
        <v>21</v>
      </c>
    </row>
    <row r="33" spans="1:7" ht="15" x14ac:dyDescent="0.2">
      <c r="A33">
        <v>31</v>
      </c>
      <c r="B33" s="6" t="s">
        <v>3209</v>
      </c>
      <c r="C33" t="s">
        <v>2902</v>
      </c>
      <c r="G33">
        <v>20</v>
      </c>
    </row>
    <row r="34" spans="1:7" ht="15" x14ac:dyDescent="0.2">
      <c r="A34">
        <v>32</v>
      </c>
      <c r="B34" s="6" t="s">
        <v>3210</v>
      </c>
      <c r="C34" t="s">
        <v>2903</v>
      </c>
      <c r="G34">
        <v>22</v>
      </c>
    </row>
    <row r="35" spans="1:7" ht="15" x14ac:dyDescent="0.2">
      <c r="A35">
        <v>33</v>
      </c>
      <c r="B35" s="6" t="s">
        <v>3165</v>
      </c>
      <c r="C35" t="s">
        <v>1312</v>
      </c>
      <c r="G35">
        <v>24</v>
      </c>
    </row>
    <row r="36" spans="1:7" ht="15" x14ac:dyDescent="0.2">
      <c r="A36">
        <v>34</v>
      </c>
      <c r="B36" s="6" t="s">
        <v>3166</v>
      </c>
      <c r="C36" t="s">
        <v>1313</v>
      </c>
      <c r="G36">
        <v>26</v>
      </c>
    </row>
    <row r="37" spans="1:7" ht="15" x14ac:dyDescent="0.2">
      <c r="A37">
        <v>35</v>
      </c>
      <c r="B37" s="6" t="s">
        <v>3211</v>
      </c>
      <c r="C37" t="s">
        <v>3213</v>
      </c>
      <c r="G37">
        <v>25</v>
      </c>
    </row>
    <row r="38" spans="1:7" ht="15" x14ac:dyDescent="0.2">
      <c r="A38">
        <v>36</v>
      </c>
      <c r="B38" s="6" t="s">
        <v>3212</v>
      </c>
      <c r="C38" t="s">
        <v>3214</v>
      </c>
      <c r="G38">
        <v>27</v>
      </c>
    </row>
    <row r="39" spans="1:7" ht="15" x14ac:dyDescent="0.2">
      <c r="A39">
        <v>37</v>
      </c>
      <c r="B39" s="6" t="s">
        <v>3179</v>
      </c>
      <c r="C39" t="s">
        <v>3168</v>
      </c>
      <c r="G39">
        <v>29</v>
      </c>
    </row>
    <row r="40" spans="1:7" ht="15" x14ac:dyDescent="0.2">
      <c r="A40">
        <v>38</v>
      </c>
      <c r="B40" s="6" t="s">
        <v>3180</v>
      </c>
      <c r="C40" t="s">
        <v>3169</v>
      </c>
      <c r="G40">
        <v>30</v>
      </c>
    </row>
  </sheetData>
  <sortState xmlns:xlrd2="http://schemas.microsoft.com/office/spreadsheetml/2017/richdata2" ref="A2:G40">
    <sortCondition ref="A1:A40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3285</v>
      </c>
      <c r="I1" t="s">
        <v>3286</v>
      </c>
      <c r="J1" t="s">
        <v>3287</v>
      </c>
      <c r="K1" t="s">
        <v>3288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2068</v>
      </c>
      <c r="C139" t="s">
        <v>2070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2069</v>
      </c>
      <c r="C140" t="s">
        <v>2071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3493</v>
      </c>
      <c r="C146" s="2" t="s">
        <v>3270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3494</v>
      </c>
      <c r="C147" s="2" t="s">
        <v>3271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3495</v>
      </c>
      <c r="C148" s="2" t="s">
        <v>3272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3496</v>
      </c>
      <c r="C149" s="2" t="s">
        <v>3273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3497</v>
      </c>
      <c r="C150" s="2" t="s">
        <v>3274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3498</v>
      </c>
      <c r="C151" s="2" t="s">
        <v>3275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3499</v>
      </c>
      <c r="C152" s="2" t="s">
        <v>3276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3500</v>
      </c>
      <c r="C153" s="2" t="s">
        <v>3277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3501</v>
      </c>
      <c r="C154" s="2" t="s">
        <v>3278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3502</v>
      </c>
      <c r="C155" s="2" t="s">
        <v>3279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3503</v>
      </c>
      <c r="C156" s="2" t="s">
        <v>3280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3504</v>
      </c>
      <c r="C157" s="2" t="s">
        <v>3281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3505</v>
      </c>
      <c r="C158" s="2" t="s">
        <v>3282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3506</v>
      </c>
      <c r="C159" s="2" t="s">
        <v>3283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3507</v>
      </c>
      <c r="C160" s="2" t="s">
        <v>3284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3508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3509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3510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3511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3512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3513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3514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2072</v>
      </c>
      <c r="C2" t="s">
        <v>2073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3891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3892</v>
      </c>
      <c r="C5" t="s">
        <v>2066</v>
      </c>
      <c r="D5" s="4" t="s">
        <v>22</v>
      </c>
      <c r="G5">
        <v>13</v>
      </c>
    </row>
    <row r="6" spans="1:7" ht="15" x14ac:dyDescent="0.2">
      <c r="A6">
        <v>4</v>
      </c>
      <c r="B6" s="6" t="s">
        <v>3893</v>
      </c>
      <c r="C6" t="s">
        <v>2067</v>
      </c>
      <c r="E6" s="4" t="s">
        <v>22</v>
      </c>
      <c r="G6">
        <v>14</v>
      </c>
    </row>
    <row r="7" spans="1:7" ht="15" x14ac:dyDescent="0.2">
      <c r="A7">
        <v>5</v>
      </c>
      <c r="B7" s="6" t="s">
        <v>2059</v>
      </c>
      <c r="C7" t="s">
        <v>2062</v>
      </c>
      <c r="E7" s="4" t="s">
        <v>22</v>
      </c>
      <c r="F7" t="b">
        <v>0</v>
      </c>
      <c r="G7">
        <v>12</v>
      </c>
    </row>
    <row r="8" spans="1:7" ht="15" x14ac:dyDescent="0.2">
      <c r="A8">
        <v>6</v>
      </c>
      <c r="B8" s="6" t="s">
        <v>2060</v>
      </c>
      <c r="C8" t="s">
        <v>2063</v>
      </c>
      <c r="G8">
        <v>9</v>
      </c>
    </row>
    <row r="9" spans="1:7" ht="15" x14ac:dyDescent="0.2">
      <c r="A9">
        <v>7</v>
      </c>
      <c r="B9" s="6" t="s">
        <v>2061</v>
      </c>
      <c r="C9" t="s">
        <v>2064</v>
      </c>
      <c r="E9" s="4" t="s">
        <v>22</v>
      </c>
      <c r="G9">
        <v>10</v>
      </c>
    </row>
    <row r="10" spans="1:7" ht="15" x14ac:dyDescent="0.2">
      <c r="A10">
        <v>8</v>
      </c>
      <c r="B10" s="6" t="s">
        <v>3894</v>
      </c>
      <c r="C10" t="s">
        <v>2054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2075</v>
      </c>
      <c r="C11" t="s">
        <v>2074</v>
      </c>
      <c r="G11">
        <v>3</v>
      </c>
    </row>
    <row r="12" spans="1:7" ht="15" x14ac:dyDescent="0.2">
      <c r="A12">
        <v>10</v>
      </c>
      <c r="B12" s="1" t="s">
        <v>855</v>
      </c>
      <c r="C12" t="str">
        <f>_xlfn.LET(_xlpm.x,VLOOKUP($B12,spell_header!$B$2:$G$373,2,FALSE),IF(_xlpm.x="","",_xlpm.x))</f>
        <v>主键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0</v>
      </c>
    </row>
    <row r="13" spans="1:7" ht="15" x14ac:dyDescent="0.2">
      <c r="A13">
        <v>11</v>
      </c>
      <c r="B13" s="1" t="s">
        <v>1422</v>
      </c>
      <c r="C13" t="str">
        <f>_xlfn.LET(_xlpm.x,VLOOKUP($B13,spell_header!$B$2:$G$373,2,FALSE),IF(_xlpm.x="","",_xlpm.x))</f>
        <v>指令对象名称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/>
      </c>
      <c r="F13" t="str">
        <f>_xlfn.LET(_xlpm.x,VLOOKUP($B13,spell_header!$B$2:$G$373,5,FALSE),IF(_xlpm.x="","",_xlpm.x))</f>
        <v/>
      </c>
      <c r="G13">
        <v>1</v>
      </c>
    </row>
    <row r="14" spans="1:7" ht="15" x14ac:dyDescent="0.2">
      <c r="A14">
        <v>12</v>
      </c>
      <c r="B14" s="1" t="s">
        <v>1423</v>
      </c>
      <c r="C14" t="str">
        <f>_xlfn.LET(_xlpm.x,VLOOKUP($B14,spell_header!$B$2:$G$373,2,FALSE),IF(_xlpm.x="","",_xlpm.x))</f>
        <v>脚本名称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/>
      </c>
      <c r="F14" t="str">
        <f>_xlfn.LET(_xlpm.x,VLOOKUP($B14,spell_header!$B$2:$G$373,5,FALSE),IF(_xlpm.x="","",_xlpm.x))</f>
        <v/>
      </c>
      <c r="G14">
        <v>17</v>
      </c>
    </row>
    <row r="15" spans="1:7" ht="15" x14ac:dyDescent="0.2">
      <c r="A15">
        <v>13</v>
      </c>
      <c r="B15" s="1" t="s">
        <v>3818</v>
      </c>
      <c r="C15" t="str">
        <f>_xlfn.LET(_xlpm.x,VLOOKUP($B15,spell_header!$B$2:$G$373,2,FALSE),IF(_xlpm.x="","",_xlpm.x))</f>
        <v/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15</v>
      </c>
    </row>
    <row r="16" spans="1:7" ht="15" x14ac:dyDescent="0.2">
      <c r="A16">
        <v>14</v>
      </c>
      <c r="B16" s="1" t="s">
        <v>3819</v>
      </c>
      <c r="C16" t="str">
        <f>_xlfn.LET(_xlpm.x,VLOOKUP($B16,spell_header!$B$2:$G$373,2,FALSE),IF(_xlpm.x="","",_xlpm.x))</f>
        <v>脚本主键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16</v>
      </c>
    </row>
    <row r="17" spans="1:7" ht="15" x14ac:dyDescent="0.2">
      <c r="A17">
        <v>15</v>
      </c>
      <c r="B17" s="1" t="s">
        <v>1587</v>
      </c>
      <c r="C17" t="str">
        <f>_xlfn.LET(_xlpm.x,VLOOKUP($B17,spell_header!$B$2:$G$373,2,FALSE),IF(_xlpm.x="","",_xlpm.x))</f>
        <v>指令旗标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1589</v>
      </c>
      <c r="C18" t="str">
        <f>_xlfn.LET(_xlpm.x,VLOOKUP($B18,spell_header!$B$2:$G$373,2,FALSE),IF(_xlpm.x="","",_xlpm.x))</f>
        <v>作用目标类型旗标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20</v>
      </c>
    </row>
    <row r="19" spans="1:7" ht="15" x14ac:dyDescent="0.2">
      <c r="A19">
        <v>17</v>
      </c>
      <c r="B19" s="1" t="s">
        <v>1590</v>
      </c>
      <c r="C19" t="str">
        <f>_xlfn.LET(_xlpm.x,VLOOKUP($B19,spell_header!$B$2:$G$373,2,FALSE),IF(_xlpm.x="","",_xlpm.x))</f>
        <v>作用状态旗标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21</v>
      </c>
    </row>
    <row r="20" spans="1:7" ht="15" x14ac:dyDescent="0.2">
      <c r="A20">
        <v>18</v>
      </c>
      <c r="B20" s="1" t="s">
        <v>1729</v>
      </c>
      <c r="C20" t="str">
        <f>_xlfn.LET(_xlpm.x,VLOOKUP($B20,spell_header!$B$2:$G$373,2,FALSE),IF(_xlpm.x="","",_xlpm.x))</f>
        <v>所需目标单位标签列表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/>
      </c>
      <c r="F20" t="str">
        <f>_xlfn.LET(_xlpm.x,VLOOKUP($B20,spell_header!$B$2:$G$373,5,FALSE),IF(_xlpm.x="","",_xlpm.x))</f>
        <v/>
      </c>
      <c r="G20">
        <v>81</v>
      </c>
    </row>
    <row r="21" spans="1:7" ht="15" x14ac:dyDescent="0.2">
      <c r="A21">
        <v>19</v>
      </c>
      <c r="B21" s="1" t="s">
        <v>1735</v>
      </c>
      <c r="C21" t="str">
        <f>_xlfn.LET(_xlpm.x,VLOOKUP($B21,spell_header!$B$2:$G$373,2,FALSE),IF(_xlpm.x="","",_xlpm.x))</f>
        <v>无效目标单位标签列表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/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1731</v>
      </c>
      <c r="C22" t="str">
        <f>_xlfn.LET(_xlpm.x,VLOOKUP($B22,spell_header!$B$2:$G$373,2,FALSE),IF(_xlpm.x="","",_xlpm.x))</f>
        <v>展现化身所需等级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85</v>
      </c>
    </row>
    <row r="23" spans="1:7" ht="15" x14ac:dyDescent="0.2">
      <c r="A23">
        <v>21</v>
      </c>
      <c r="B23" s="1" t="s">
        <v>1732</v>
      </c>
      <c r="C23" t="str">
        <f>_xlfn.LET(_xlpm.x,VLOOKUP($B23,spell_header!$B$2:$G$373,2,FALSE),IF(_xlpm.x="","",_xlpm.x))</f>
        <v>指令序号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84</v>
      </c>
    </row>
    <row r="24" spans="1:7" ht="15" x14ac:dyDescent="0.2">
      <c r="A24">
        <v>22</v>
      </c>
      <c r="B24" s="1" t="s">
        <v>1733</v>
      </c>
      <c r="C24" t="str">
        <f>_xlfn.LET(_xlpm.x,VLOOKUP($B24,spell_header!$B$2:$G$373,2,FALSE),IF(_xlpm.x="","",_xlpm.x))</f>
        <v>可用性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b">
        <f>_xlfn.LET(_xlpm.x,VLOOKUP($B24,spell_header!$B$2:$G$373,5,FALSE),IF(_xlpm.x="","",_xlpm.x))</f>
        <v>0</v>
      </c>
      <c r="G24">
        <v>86</v>
      </c>
    </row>
    <row r="25" spans="1:7" ht="15" x14ac:dyDescent="0.2">
      <c r="A25">
        <v>23</v>
      </c>
      <c r="B25" s="1" t="s">
        <v>1734</v>
      </c>
      <c r="C25" t="str">
        <f>_xlfn.LET(_xlpm.x,VLOOKUP($B25,spell_header!$B$2:$G$373,2,FALSE),IF(_xlpm.x="","",_xlpm.x))</f>
        <v>适用游戏模式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87</v>
      </c>
    </row>
    <row r="26" spans="1:7" ht="15" x14ac:dyDescent="0.2">
      <c r="A26">
        <v>24</v>
      </c>
      <c r="B26" s="1" t="s">
        <v>1591</v>
      </c>
      <c r="C26" t="str">
        <f>_xlfn.LET(_xlpm.x,VLOOKUP($B26,spell_header!$B$2:$G$373,2,FALSE),IF(_xlpm.x="","",_xlpm.x))</f>
        <v>施法条件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77</v>
      </c>
    </row>
    <row r="27" spans="1:7" ht="15" x14ac:dyDescent="0.2">
      <c r="A27">
        <v>25</v>
      </c>
      <c r="B27" s="1" t="s">
        <v>1592</v>
      </c>
      <c r="C27" t="str">
        <f>_xlfn.LET(_xlpm.x,VLOOKUP($B27,spell_header!$B$2:$G$373,2,FALSE),IF(_xlpm.x="","",_xlpm.x))</f>
        <v>施法目标条件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78</v>
      </c>
    </row>
    <row r="28" spans="1:7" ht="15" x14ac:dyDescent="0.2">
      <c r="A28">
        <v>26</v>
      </c>
      <c r="B28" s="1" t="s">
        <v>1593</v>
      </c>
      <c r="C28" t="str">
        <f>_xlfn.LET(_xlpm.x,VLOOKUP($B28,spell_header!$B$2:$G$373,2,FALSE),IF(_xlpm.x="","",_xlpm.x))</f>
        <v>指令别名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18</v>
      </c>
    </row>
    <row r="29" spans="1:7" ht="15" x14ac:dyDescent="0.2">
      <c r="A29">
        <v>27</v>
      </c>
      <c r="B29" s="1" t="s">
        <v>1594</v>
      </c>
      <c r="C29" t="str">
        <f>_xlfn.LET(_xlpm.x,VLOOKUP($B29,spell_header!$B$2:$G$373,2,FALSE),IF(_xlpm.x="","",_xlpm.x))</f>
        <v>指令标签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22</v>
      </c>
    </row>
    <row r="30" spans="1:7" ht="15" x14ac:dyDescent="0.2">
      <c r="A30">
        <v>28</v>
      </c>
      <c r="B30" s="1" t="s">
        <v>1595</v>
      </c>
      <c r="C30" t="str">
        <f>_xlfn.LET(_xlpm.x,VLOOKUP($B30,spell_header!$B$2:$G$373,2,FALSE),IF(_xlpm.x="","",_xlpm.x))</f>
        <v>效应因子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1596</v>
      </c>
      <c r="C31" t="str">
        <f>_xlfn.LET(_xlpm.x,VLOOKUP($B31,spell_header!$B$2:$G$373,2,FALSE),IF(_xlpm.x="","",_xlpm.x))</f>
        <v>数值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44</v>
      </c>
    </row>
    <row r="32" spans="1:7" ht="15" x14ac:dyDescent="0.2">
      <c r="A32">
        <v>30</v>
      </c>
      <c r="B32" s="1" t="s">
        <v>1597</v>
      </c>
      <c r="C32" t="str">
        <f>_xlfn.LET(_xlpm.x,VLOOKUP($B32,spell_header!$B$2:$G$373,2,FALSE),IF(_xlpm.x="","",_xlpm.x))</f>
        <v>模式覆盖数值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45</v>
      </c>
    </row>
    <row r="33" spans="1:7" ht="15" x14ac:dyDescent="0.2">
      <c r="A33">
        <v>31</v>
      </c>
      <c r="B33" s="1" t="s">
        <v>1598</v>
      </c>
      <c r="C33" t="str">
        <f>_xlfn.LET(_xlpm.x,VLOOKUP($B33,spell_header!$B$2:$G$373,2,FALSE),IF(_xlpm.x="","",_xlpm.x))</f>
        <v>模式覆盖基础充能时间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40</v>
      </c>
    </row>
    <row r="34" spans="1:7" ht="15" x14ac:dyDescent="0.2">
      <c r="A34">
        <v>32</v>
      </c>
      <c r="B34" s="1" t="s">
        <v>1599</v>
      </c>
      <c r="C34" t="str">
        <f>_xlfn.LET(_xlpm.x,VLOOKUP($B34,spell_header!$B$2:$G$373,2,FALSE),IF(_xlpm.x="","",_xlpm.x))</f>
        <v>模式覆盖基础冷却时间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33</v>
      </c>
    </row>
    <row r="35" spans="1:7" ht="15" x14ac:dyDescent="0.2">
      <c r="A35">
        <v>33</v>
      </c>
      <c r="B35" s="1" t="s">
        <v>1600</v>
      </c>
      <c r="C35" t="str">
        <f>_xlfn.LET(_xlpm.x,VLOOKUP($B35,spell_header!$B$2:$G$373,2,FALSE),IF(_xlpm.x="","",_xlpm.x))</f>
        <v>数值计算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46</v>
      </c>
    </row>
    <row r="36" spans="1:7" ht="15" x14ac:dyDescent="0.2">
      <c r="A36">
        <v>34</v>
      </c>
      <c r="B36" s="1" t="s">
        <v>1601</v>
      </c>
      <c r="C36" t="str">
        <f>_xlfn.LET(_xlpm.x,VLOOKUP($B36,spell_header!$B$2:$G$373,2,FALSE),IF(_xlpm.x="","",_xlpm.x))</f>
        <v>系数1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48</v>
      </c>
    </row>
    <row r="37" spans="1:7" ht="15" x14ac:dyDescent="0.2">
      <c r="A37">
        <v>35</v>
      </c>
      <c r="B37" s="1" t="s">
        <v>1602</v>
      </c>
      <c r="C37" t="str">
        <f>_xlfn.LET(_xlpm.x,VLOOKUP($B37,spell_header!$B$2:$G$373,2,FALSE),IF(_xlpm.x="","",_xlpm.x))</f>
        <v>系数2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49</v>
      </c>
    </row>
    <row r="38" spans="1:7" ht="15" x14ac:dyDescent="0.2">
      <c r="A38">
        <v>36</v>
      </c>
      <c r="B38" s="1" t="s">
        <v>1603</v>
      </c>
      <c r="C38" t="str">
        <f>_xlfn.LET(_xlpm.x,VLOOKUP($B38,spell_header!$B$2:$G$373,2,FALSE),IF(_xlpm.x="","",_xlpm.x))</f>
        <v>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1604</v>
      </c>
      <c r="C39" t="str">
        <f>_xlfn.LET(_xlpm.x,VLOOKUP($B39,spell_header!$B$2:$G$373,2,FALSE),IF(_xlpm.x="","",_xlpm.x))</f>
        <v>动画循环名称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1605</v>
      </c>
      <c r="C40" t="str">
        <f>_xlfn.LET(_xlpm.x,VLOOKUP($B40,spell_header!$B$2:$G$373,2,FALSE),IF(_xlpm.x="","",_xlpm.x))</f>
        <v>淡出动画名称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143</v>
      </c>
    </row>
    <row r="41" spans="1:7" ht="15" x14ac:dyDescent="0.2">
      <c r="A41">
        <v>39</v>
      </c>
      <c r="B41" s="1" t="s">
        <v>3850</v>
      </c>
      <c r="C41" t="str">
        <f>_xlfn.LET(_xlpm.x,VLOOKUP($B41,spell_header!$B$2:$G$373,2,FALSE),IF(_xlpm.x="","",_xlpm.x))</f>
        <v>收尾动画名称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144</v>
      </c>
    </row>
    <row r="42" spans="1:7" ht="15" x14ac:dyDescent="0.2">
      <c r="A42">
        <v>40</v>
      </c>
      <c r="B42" s="1" t="s">
        <v>1606</v>
      </c>
      <c r="C42" t="str">
        <f>_xlfn.LET(_xlpm.x,VLOOKUP($B42,spell_header!$B$2:$G$373,2,FALSE),IF(_xlpm.x="","",_xlpm.x))</f>
        <v>缩略图路径列表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str">
        <f>_xlfn.LET(_xlpm.x,VLOOKUP($B42,spell_header!$B$2:$G$373,5,FALSE),IF(_xlpm.x="","",_xlpm.x))</f>
        <v/>
      </c>
      <c r="G42">
        <v>253</v>
      </c>
    </row>
    <row r="43" spans="1:7" ht="15" x14ac:dyDescent="0.2">
      <c r="A43">
        <v>41</v>
      </c>
      <c r="B43" s="1" t="s">
        <v>1607</v>
      </c>
      <c r="C43" t="str">
        <f>_xlfn.LET(_xlpm.x,VLOOKUP($B43,spell_header!$B$2:$G$373,2,FALSE),IF(_xlpm.x="","",_xlpm.x))</f>
        <v>获得技能时的关键字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88</v>
      </c>
    </row>
    <row r="44" spans="1:7" ht="15" x14ac:dyDescent="0.2">
      <c r="A44">
        <v>42</v>
      </c>
      <c r="B44" s="1" t="s">
        <v>1608</v>
      </c>
      <c r="C44" t="str">
        <f>_xlfn.LET(_xlpm.x,VLOOKUP($B44,spell_header!$B$2:$G$373,2,FALSE),IF(_xlpm.x="","",_xlpm.x))</f>
        <v>被动技能冷却时间受技能急速影响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b">
        <f>_xlfn.LET(_xlpm.x,VLOOKUP($B44,spell_header!$B$2:$G$373,5,FALSE),IF(_xlpm.x="","",_xlpm.x))</f>
        <v>0</v>
      </c>
      <c r="G44">
        <v>34</v>
      </c>
    </row>
    <row r="45" spans="1:7" ht="15" x14ac:dyDescent="0.2">
      <c r="A45">
        <v>43</v>
      </c>
      <c r="B45" s="1" t="s">
        <v>1609</v>
      </c>
      <c r="C45" t="str">
        <f>_xlfn.LET(_xlpm.x,VLOOKUP($B45,spell_header!$B$2:$G$373,2,FALSE),IF(_xlpm.x="","",_xlpm.x))</f>
        <v>缩略图路径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252</v>
      </c>
    </row>
    <row r="46" spans="1:7" ht="15" x14ac:dyDescent="0.2">
      <c r="A46">
        <v>44</v>
      </c>
      <c r="B46" s="1" t="s">
        <v>1610</v>
      </c>
      <c r="C46" t="str">
        <f>_xlfn.LET(_xlpm.x,VLOOKUP($B46,spell_header!$B$2:$G$373,2,FALSE),IF(_xlpm.x="","",_xlpm.x))</f>
        <v>小地图缩略图路径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254</v>
      </c>
    </row>
    <row r="47" spans="1:7" ht="15" x14ac:dyDescent="0.2">
      <c r="A47">
        <v>45</v>
      </c>
      <c r="B47" s="1" t="s">
        <v>1611</v>
      </c>
      <c r="C47" t="str">
        <f>_xlfn.LET(_xlpm.x,VLOOKUP($B47,spell_header!$B$2:$G$373,2,FALSE),IF(_xlpm.x="","",_xlpm.x))</f>
        <v>施法时间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str">
        <f>_xlfn.LET(_xlpm.x,VLOOKUP($B47,spell_header!$B$2:$G$373,5,FALSE),IF(_xlpm.x="","",_xlpm.x))</f>
        <v/>
      </c>
      <c r="G47">
        <v>62</v>
      </c>
    </row>
    <row r="48" spans="1:7" ht="15" x14ac:dyDescent="0.2">
      <c r="A48">
        <v>46</v>
      </c>
      <c r="B48" s="1" t="s">
        <v>3821</v>
      </c>
      <c r="C48" t="str">
        <f>_xlfn.LET(_xlpm.x,VLOOKUP($B48,spell_header!$B$2:$G$373,2,FALSE),IF(_xlpm.x="","",_xlpm.x))</f>
        <v/>
      </c>
      <c r="D48" s="4" t="str">
        <f>IF(VLOOKUP($B48,spell_header!$B$2:$G$373,3,FALSE)="√","√","")</f>
        <v>√</v>
      </c>
      <c r="E48" s="4" t="str">
        <f>IF(VLOOKUP($B48,spell_header!$B$2:$G$373,4,FALSE)="√","√","")</f>
        <v/>
      </c>
      <c r="F48" t="str">
        <f>_xlfn.LET(_xlpm.x,VLOOKUP($B48,spell_header!$B$2:$G$373,5,FALSE),IF(_xlpm.x="","",_xlpm.x))</f>
        <v/>
      </c>
      <c r="G48">
        <v>93</v>
      </c>
    </row>
    <row r="49" spans="1:7" ht="15" x14ac:dyDescent="0.2">
      <c r="A49">
        <v>47</v>
      </c>
      <c r="B49" s="1" t="s">
        <v>3822</v>
      </c>
      <c r="C49" t="str">
        <f>_xlfn.LET(_xlpm.x,VLOOKUP($B49,spell_header!$B$2:$G$373,2,FALSE),IF(_xlpm.x="","",_xlpm.x))</f>
        <v/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94</v>
      </c>
    </row>
    <row r="50" spans="1:7" ht="15" x14ac:dyDescent="0.2">
      <c r="A50">
        <v>48</v>
      </c>
      <c r="B50" s="1" t="s">
        <v>1612</v>
      </c>
      <c r="C50" t="str">
        <f>_xlfn.LET(_xlpm.x,VLOOKUP($B50,spell_header!$B$2:$G$373,2,FALSE),IF(_xlpm.x="","",_xlpm.x))</f>
        <v>引导持续时间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63</v>
      </c>
    </row>
    <row r="51" spans="1:7" ht="15" x14ac:dyDescent="0.2">
      <c r="A51">
        <v>49</v>
      </c>
      <c r="B51" s="1" t="s">
        <v>1613</v>
      </c>
      <c r="C51" t="str">
        <f>_xlfn.LET(_xlpm.x,VLOOKUP($B51,spell_header!$B$2:$G$373,2,FALSE),IF(_xlpm.x="","",_xlpm.x))</f>
        <v>基础冷却时间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3852</v>
      </c>
      <c r="C52" t="str">
        <f>_xlfn.LET(_xlpm.x,VLOOKUP($B52,spell_header!$B$2:$G$373,2,FALSE),IF(_xlpm.x="","",_xlpm.x))</f>
        <v>基础冷却时间值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/>
      </c>
      <c r="F52" t="str">
        <f>_xlfn.LET(_xlpm.x,VLOOKUP($B52,spell_header!$B$2:$G$373,5,FALSE),IF(_xlpm.x="","",_xlpm.x))</f>
        <v/>
      </c>
      <c r="G52">
        <v>31</v>
      </c>
    </row>
    <row r="53" spans="1:7" ht="15" x14ac:dyDescent="0.2">
      <c r="A53">
        <v>51</v>
      </c>
      <c r="B53" s="1" t="s">
        <v>3853</v>
      </c>
      <c r="C53" t="str">
        <f>_xlfn.LET(_xlpm.x,VLOOKUP($B53,spell_header!$B$2:$G$373,2,FALSE),IF(_xlpm.x="","",_xlpm.x))</f>
        <v>基础冷却时间值简化表示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32</v>
      </c>
    </row>
    <row r="54" spans="1:7" ht="15" x14ac:dyDescent="0.2">
      <c r="A54">
        <v>52</v>
      </c>
      <c r="B54" s="1" t="s">
        <v>1614</v>
      </c>
      <c r="C54" t="str">
        <f>_xlfn.LET(_xlpm.x,VLOOKUP($B54,spell_header!$B$2:$G$373,2,FALSE),IF(_xlpm.x="","",_xlpm.x))</f>
        <v>施法偏移百分比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70</v>
      </c>
    </row>
    <row r="55" spans="1:7" ht="15" x14ac:dyDescent="0.2">
      <c r="A55">
        <v>53</v>
      </c>
      <c r="B55" s="1" t="s">
        <v>1615</v>
      </c>
      <c r="C55" t="str">
        <f>_xlfn.LET(_xlpm.x,VLOOKUP($B55,spell_header!$B$2:$G$373,2,FALSE),IF(_xlpm.x="","",_xlpm.x))</f>
        <v>施法总时间百分比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71</v>
      </c>
    </row>
    <row r="56" spans="1:7" ht="15" x14ac:dyDescent="0.2">
      <c r="A56">
        <v>54</v>
      </c>
      <c r="B56" s="1" t="s">
        <v>1616</v>
      </c>
      <c r="C56" t="str">
        <f>_xlfn.LET(_xlpm.x,VLOOKUP($B56,spell_header!$B$2:$G$373,2,FALSE),IF(_xlpm.x="","",_xlpm.x))</f>
        <v>冷却计时时间点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36</v>
      </c>
    </row>
    <row r="57" spans="1:7" ht="15" x14ac:dyDescent="0.2">
      <c r="A57">
        <v>55</v>
      </c>
      <c r="B57" s="1" t="s">
        <v>1617</v>
      </c>
      <c r="C57" t="str">
        <f>_xlfn.LET(_xlpm.x,VLOOKUP($B57,spell_header!$B$2:$G$373,2,FALSE),IF(_xlpm.x="","",_xlpm.x))</f>
        <v>施法锁定延迟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b">
        <f>_xlfn.LET(_xlpm.x,VLOOKUP($B57,spell_header!$B$2:$G$373,5,FALSE),IF(_xlpm.x="","",_xlpm.x))</f>
        <v>0</v>
      </c>
      <c r="G57">
        <v>76</v>
      </c>
    </row>
    <row r="58" spans="1:7" ht="15" x14ac:dyDescent="0.2">
      <c r="A58">
        <v>56</v>
      </c>
      <c r="B58" s="1" t="s">
        <v>1618</v>
      </c>
      <c r="C58" t="str">
        <f>_xlfn.LET(_xlpm.x,VLOOKUP($B58,spell_header!$B$2:$G$373,2,FALSE),IF(_xlpm.x="","",_xlpm.x))</f>
        <v>施法前锁定状态时间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1765</v>
      </c>
      <c r="C59" t="str">
        <f>_xlfn.LET(_xlpm.x,VLOOKUP($B59,spell_header!$B$2:$G$373,2,FALSE),IF(_xlpm.x="","",_xlpm.x))</f>
        <v>施法前锁定状态时间计算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/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1619</v>
      </c>
      <c r="C60" t="str">
        <f>_xlfn.LET(_xlpm.x,VLOOKUP($B60,spell_header!$B$2:$G$373,2,FALSE),IF(_xlpm.x="","",_xlpm.x))</f>
        <v>施法后锁定状态时间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74</v>
      </c>
    </row>
    <row r="61" spans="1:7" ht="15" x14ac:dyDescent="0.2">
      <c r="A61">
        <v>59</v>
      </c>
      <c r="B61" s="1" t="s">
        <v>1620</v>
      </c>
      <c r="C61" t="str">
        <f>_xlfn.LET(_xlpm.x,VLOOKUP($B61,spell_header!$B$2:$G$373,2,FALSE),IF(_xlpm.x="","",_xlpm.x))</f>
        <v>施法后更新施法者位置参数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75</v>
      </c>
    </row>
    <row r="62" spans="1:7" ht="15" x14ac:dyDescent="0.2">
      <c r="A62">
        <v>60</v>
      </c>
      <c r="B62" s="1" t="s">
        <v>1621</v>
      </c>
      <c r="C62" t="str">
        <f>_xlfn.LET(_xlpm.x,VLOOKUP($B62,spell_header!$B$2:$G$373,2,FALSE),IF(_xlpm.x="","",_xlpm.x))</f>
        <v>被动技能增益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89</v>
      </c>
    </row>
    <row r="63" spans="1:7" ht="15" x14ac:dyDescent="0.2">
      <c r="A63">
        <v>61</v>
      </c>
      <c r="B63" s="1" t="s">
        <v>1622</v>
      </c>
      <c r="C63" t="str">
        <f>_xlfn.LET(_xlpm.x,VLOOKUP($B63,spell_header!$B$2:$G$373,2,FALSE),IF(_xlpm.x="","",_xlpm.x))</f>
        <v>充能数更新间隔（秒）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83</v>
      </c>
    </row>
    <row r="64" spans="1:7" ht="15" x14ac:dyDescent="0.2">
      <c r="A64">
        <v>62</v>
      </c>
      <c r="B64" s="1" t="s">
        <v>1623</v>
      </c>
      <c r="C64" t="str">
        <f>_xlfn.LET(_xlpm.x,VLOOKUP($B64,spell_header!$B$2:$G$373,2,FALSE),IF(_xlpm.x="","",_xlpm.x))</f>
        <v>取消冲锋的再次施法冻结时间（秒）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90</v>
      </c>
    </row>
    <row r="65" spans="1:7" ht="15" x14ac:dyDescent="0.2">
      <c r="A65">
        <v>63</v>
      </c>
      <c r="B65" s="1" t="s">
        <v>1624</v>
      </c>
      <c r="C65" t="str">
        <f>_xlfn.LET(_xlpm.x,VLOOKUP($B65,spell_header!$B$2:$G$373,2,FALSE),IF(_xlpm.x="","",_xlpm.x))</f>
        <v>施法范围成长最大值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1625</v>
      </c>
      <c r="C66" t="str">
        <f>_xlfn.LET(_xlpm.x,VLOOKUP($B66,spell_header!$B$2:$G$373,2,FALSE),IF(_xlpm.x="","",_xlpm.x))</f>
        <v>施法范围成长开始时间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57</v>
      </c>
    </row>
    <row r="67" spans="1:7" ht="15" x14ac:dyDescent="0.2">
      <c r="A67">
        <v>65</v>
      </c>
      <c r="B67" s="1" t="s">
        <v>1626</v>
      </c>
      <c r="C67" t="str">
        <f>_xlfn.LET(_xlpm.x,VLOOKUP($B67,spell_header!$B$2:$G$373,2,FALSE),IF(_xlpm.x="","",_xlpm.x))</f>
        <v>施法范围成长持续时间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58</v>
      </c>
    </row>
    <row r="68" spans="1:7" ht="15" x14ac:dyDescent="0.2">
      <c r="A68">
        <v>66</v>
      </c>
      <c r="B68" s="1" t="s">
        <v>1627</v>
      </c>
      <c r="C68" t="str">
        <f>_xlfn.LET(_xlpm.x,VLOOKUP($B68,spell_header!$B$2:$G$373,2,FALSE),IF(_xlpm.x="","",_xlpm.x))</f>
        <v/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91</v>
      </c>
    </row>
    <row r="69" spans="1:7" ht="15" x14ac:dyDescent="0.2">
      <c r="A69">
        <v>67</v>
      </c>
      <c r="B69" s="1" t="s">
        <v>1628</v>
      </c>
      <c r="C69" t="str">
        <f>_xlfn.LET(_xlpm.x,VLOOKUP($B69,spell_header!$B$2:$G$373,2,FALSE),IF(_xlpm.x="","",_xlpm.x))</f>
        <v/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92</v>
      </c>
    </row>
    <row r="70" spans="1:7" ht="15" x14ac:dyDescent="0.2">
      <c r="A70">
        <v>68</v>
      </c>
      <c r="B70" s="1" t="s">
        <v>1629</v>
      </c>
      <c r="C70" t="str">
        <f>_xlfn.LET(_xlpm.x,VLOOKUP($B70,spell_header!$B$2:$G$373,2,FALSE),IF(_xlpm.x="","",_xlpm.x))</f>
        <v>最大充能数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1630</v>
      </c>
      <c r="C71" t="str">
        <f>_xlfn.LET(_xlpm.x,VLOOKUP($B71,spell_header!$B$2:$G$373,2,FALSE),IF(_xlpm.x="","",_xlpm.x))</f>
        <v>可用充能数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str">
        <f>_xlfn.LET(_xlpm.x,VLOOKUP($B71,spell_header!$B$2:$G$373,5,FALSE),IF(_xlpm.x="","",_xlpm.x))</f>
        <v/>
      </c>
      <c r="G71">
        <v>38</v>
      </c>
    </row>
    <row r="72" spans="1:7" ht="15" x14ac:dyDescent="0.2">
      <c r="A72">
        <v>70</v>
      </c>
      <c r="B72" s="1" t="s">
        <v>1631</v>
      </c>
      <c r="C72" t="str">
        <f>_xlfn.LET(_xlpm.x,VLOOKUP($B72,spell_header!$B$2:$G$373,2,FALSE),IF(_xlpm.x="","",_xlpm.x))</f>
        <v>基础充能时间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str">
        <f>_xlfn.LET(_xlpm.x,VLOOKUP($B72,spell_header!$B$2:$G$373,5,FALSE),IF(_xlpm.x="","",_xlpm.x))</f>
        <v/>
      </c>
      <c r="G72">
        <v>39</v>
      </c>
    </row>
    <row r="73" spans="1:7" ht="15" x14ac:dyDescent="0.2">
      <c r="A73">
        <v>71</v>
      </c>
      <c r="B73" s="1" t="s">
        <v>1632</v>
      </c>
      <c r="C73" t="str">
        <f>_xlfn.LET(_xlpm.x,VLOOKUP($B73,spell_header!$B$2:$G$373,2,FALSE),IF(_xlpm.x="","",_xlpm.x))</f>
        <v>充能时间不受冷却缩减影响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41</v>
      </c>
    </row>
    <row r="74" spans="1:7" ht="15" x14ac:dyDescent="0.2">
      <c r="A74">
        <v>72</v>
      </c>
      <c r="B74" s="1" t="s">
        <v>1633</v>
      </c>
      <c r="C74" t="str">
        <f>_xlfn.LET(_xlpm.x,VLOOKUP($B74,spell_header!$B$2:$G$373,2,FALSE),IF(_xlpm.x="","",_xlpm.x))</f>
        <v>总是显示技能消耗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28</v>
      </c>
    </row>
    <row r="75" spans="1:7" ht="15" x14ac:dyDescent="0.2">
      <c r="A75">
        <v>73</v>
      </c>
      <c r="B75" s="1" t="s">
        <v>1634</v>
      </c>
      <c r="C75" t="str">
        <f>_xlfn.LET(_xlpm.x,VLOOKUP($B75,spell_header!$B$2:$G$373,2,FALSE),IF(_xlpm.x="","",_xlpm.x))</f>
        <v>冷却时间不受冷却缩减影响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35</v>
      </c>
    </row>
    <row r="76" spans="1:7" ht="15" x14ac:dyDescent="0.2">
      <c r="A76">
        <v>74</v>
      </c>
      <c r="B76" s="1" t="s">
        <v>1635</v>
      </c>
      <c r="C76" t="str">
        <f>_xlfn.LET(_xlpm.x,VLOOKUP($B76,spell_header!$B$2:$G$373,2,FALSE),IF(_xlpm.x="","",_xlpm.x))</f>
        <v>充能数隐藏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42</v>
      </c>
    </row>
    <row r="77" spans="1:7" ht="15" x14ac:dyDescent="0.2">
      <c r="A77">
        <v>75</v>
      </c>
      <c r="B77" s="1" t="s">
        <v>1636</v>
      </c>
      <c r="C77" t="str">
        <f>_xlfn.LET(_xlpm.x,VLOOKUP($B77,spell_header!$B$2:$G$373,2,FALSE),IF(_xlpm.x="","",_xlpm.x))</f>
        <v>不受压制影响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109</v>
      </c>
    </row>
    <row r="78" spans="1:7" ht="15" x14ac:dyDescent="0.2">
      <c r="A78">
        <v>76</v>
      </c>
      <c r="B78" s="1" t="s">
        <v>1637</v>
      </c>
      <c r="C78" t="str">
        <f>_xlfn.LET(_xlpm.x,VLOOKUP($B78,spell_header!$B$2:$G$373,2,FALSE),IF(_xlpm.x="","",_xlpm.x))</f>
        <v>受到限制效果时仍能触发冲锋技能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101</v>
      </c>
    </row>
    <row r="79" spans="1:7" ht="15" x14ac:dyDescent="0.2">
      <c r="A79">
        <v>77</v>
      </c>
      <c r="B79" s="1" t="s">
        <v>1638</v>
      </c>
      <c r="C79" t="str">
        <f>_xlfn.LET(_xlpm.x,VLOOKUP($B79,spell_header!$B$2:$G$373,2,FALSE),IF(_xlpm.x="","",_xlpm.x))</f>
        <v>受到限制效果时仍能施法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100</v>
      </c>
    </row>
    <row r="80" spans="1:7" ht="15" x14ac:dyDescent="0.2">
      <c r="A80">
        <v>78</v>
      </c>
      <c r="B80" s="1" t="s">
        <v>1639</v>
      </c>
      <c r="C80" t="str">
        <f>_xlfn.LET(_xlpm.x,VLOOKUP($B80,spell_header!$B$2:$G$373,2,FALSE),IF(_xlpm.x="","",_xlpm.x))</f>
        <v>施放其它技能时允许施法或进入施法队列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110</v>
      </c>
    </row>
    <row r="81" spans="1:7" ht="15" x14ac:dyDescent="0.2">
      <c r="A81">
        <v>79</v>
      </c>
      <c r="B81" s="1" t="s">
        <v>1640</v>
      </c>
      <c r="C81" t="str">
        <f>_xlfn.LET(_xlpm.x,VLOOKUP($B81,spell_header!$B$2:$G$373,2,FALSE),IF(_xlpm.x="","",_xlpm.x))</f>
        <v>施法后无法取消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1641</v>
      </c>
      <c r="C82" t="str">
        <f>_xlfn.LET(_xlpm.x,VLOOKUP($B82,spell_header!$B$2:$G$373,2,FALSE),IF(_xlpm.x="","",_xlpm.x))</f>
        <v>对目标英雄施放后无法取消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105</v>
      </c>
    </row>
    <row r="83" spans="1:7" ht="15" x14ac:dyDescent="0.2">
      <c r="A83">
        <v>81</v>
      </c>
      <c r="B83" s="1" t="s">
        <v>1642</v>
      </c>
      <c r="C83" t="str">
        <f>_xlfn.LET(_xlpm.x,VLOOKUP($B83,spell_header!$B$2:$G$373,2,FALSE),IF(_xlpm.x="","",_xlpm.x))</f>
        <v>引导时无法取消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0</v>
      </c>
      <c r="G83">
        <v>106</v>
      </c>
    </row>
    <row r="84" spans="1:7" ht="15" x14ac:dyDescent="0.2">
      <c r="A84">
        <v>82</v>
      </c>
      <c r="B84" s="1" t="s">
        <v>1643</v>
      </c>
      <c r="C84" t="str">
        <f>_xlfn.LET(_xlpm.x,VLOOKUP($B84,spell_header!$B$2:$G$373,2,FALSE),IF(_xlpm.x="","",_xlpm.x))</f>
        <v>定身时无法施放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102</v>
      </c>
    </row>
    <row r="85" spans="1:7" ht="15" x14ac:dyDescent="0.2">
      <c r="A85">
        <v>83</v>
      </c>
      <c r="B85" s="1" t="s">
        <v>1644</v>
      </c>
      <c r="C85" t="str">
        <f>_xlfn.LET(_xlpm.x,VLOOKUP($B85,spell_header!$B$2:$G$373,2,FALSE),IF(_xlpm.x="","",_xlpm.x))</f>
        <v>引导过程会被限制效果打断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1</v>
      </c>
      <c r="G85">
        <v>113</v>
      </c>
    </row>
    <row r="86" spans="1:7" ht="15" x14ac:dyDescent="0.2">
      <c r="A86">
        <v>84</v>
      </c>
      <c r="B86" s="1" t="s">
        <v>1645</v>
      </c>
      <c r="C86" t="str">
        <f>_xlfn.LET(_xlpm.x,VLOOKUP($B86,spell_header!$B$2:$G$373,2,FALSE),IF(_xlpm.x="","",_xlpm.x))</f>
        <v>引导过程会被普通攻击打断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1</v>
      </c>
      <c r="G86">
        <v>114</v>
      </c>
    </row>
    <row r="87" spans="1:7" ht="15" x14ac:dyDescent="0.2">
      <c r="A87">
        <v>85</v>
      </c>
      <c r="B87" s="1" t="s">
        <v>1646</v>
      </c>
      <c r="C87" t="str">
        <f>_xlfn.LET(_xlpm.x,VLOOKUP($B87,spell_header!$B$2:$G$373,2,FALSE),IF(_xlpm.x="","",_xlpm.x))</f>
        <v>施加攻击伤害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96</v>
      </c>
    </row>
    <row r="88" spans="1:7" ht="15" x14ac:dyDescent="0.2">
      <c r="A88">
        <v>86</v>
      </c>
      <c r="B88" s="1" t="s">
        <v>1647</v>
      </c>
      <c r="C88" t="str">
        <f>_xlfn.LET(_xlpm.x,VLOOKUP($B88,spell_header!$B$2:$G$373,2,FALSE),IF(_xlpm.x="","",_xlpm.x))</f>
        <v>施加攻击效果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97</v>
      </c>
    </row>
    <row r="89" spans="1:7" ht="15" x14ac:dyDescent="0.2">
      <c r="A89">
        <v>87</v>
      </c>
      <c r="B89" s="1" t="s">
        <v>1648</v>
      </c>
      <c r="C89" t="str">
        <f>_xlfn.LET(_xlpm.x,VLOOKUP($B89,spell_header!$B$2:$G$373,2,FALSE),IF(_xlpm.x="","",_xlpm.x))</f>
        <v>命中时触发音效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118</v>
      </c>
    </row>
    <row r="90" spans="1:7" ht="15" x14ac:dyDescent="0.2">
      <c r="A90">
        <v>88</v>
      </c>
      <c r="B90" s="1" t="s">
        <v>1649</v>
      </c>
      <c r="C90" t="str">
        <f>_xlfn.LET(_xlpm.x,VLOOKUP($B90,spell_header!$B$2:$G$373,2,FALSE),IF(_xlpm.x="","",_xlpm.x))</f>
        <v>不打断引导过程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112</v>
      </c>
    </row>
    <row r="91" spans="1:7" ht="15" x14ac:dyDescent="0.2">
      <c r="A91">
        <v>89</v>
      </c>
      <c r="B91" s="1" t="s">
        <v>1650</v>
      </c>
      <c r="C91" t="str">
        <f>_xlfn.LET(_xlpm.x,VLOOKUP($B91,spell_header!$B$2:$G$373,2,FALSE),IF(_xlpm.x="","",_xlpm.x))</f>
        <v>鼠标指针在草丛中变化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0</v>
      </c>
      <c r="G91">
        <v>119</v>
      </c>
    </row>
    <row r="92" spans="1:7" ht="15" x14ac:dyDescent="0.2">
      <c r="A92">
        <v>90</v>
      </c>
      <c r="B92" s="1" t="s">
        <v>1651</v>
      </c>
      <c r="C92" t="str">
        <f>_xlfn.LET(_xlpm.x,VLOOKUP($B92,spell_header!$B$2:$G$373,2,FALSE),IF(_xlpm.x="","",_xlpm.x))</f>
        <v>鼠标指针在地形中变化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120</v>
      </c>
    </row>
    <row r="93" spans="1:7" ht="15" x14ac:dyDescent="0.2">
      <c r="A93">
        <v>91</v>
      </c>
      <c r="B93" s="1" t="s">
        <v>1652</v>
      </c>
      <c r="C93" t="str">
        <f>_xlfn.LET(_xlpm.x,VLOOKUP($B93,spell_header!$B$2:$G$373,2,FALSE),IF(_xlpm.x="","",_xlpm.x))</f>
        <v>阵亡时禁用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1</v>
      </c>
      <c r="G93">
        <v>116</v>
      </c>
    </row>
    <row r="94" spans="1:7" ht="15" x14ac:dyDescent="0.2">
      <c r="A94">
        <v>92</v>
      </c>
      <c r="B94" s="1" t="s">
        <v>1653</v>
      </c>
      <c r="C94" t="str">
        <f>_xlfn.LET(_xlpm.x,VLOOKUP($B94,spell_header!$B$2:$G$373,2,FALSE),IF(_xlpm.x="","",_xlpm.x))</f>
        <v>仅阵亡时可施放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117</v>
      </c>
    </row>
    <row r="95" spans="1:7" ht="15" x14ac:dyDescent="0.2">
      <c r="A95">
        <v>93</v>
      </c>
      <c r="B95" s="1" t="s">
        <v>1654</v>
      </c>
      <c r="C95" t="str">
        <f>_xlfn.LET(_xlpm.x,VLOOKUP($B95,spell_header!$B$2:$G$373,2,FALSE),IF(_xlpm.x="","",_xlpm.x))</f>
        <v>化身型技能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0</v>
      </c>
      <c r="G95">
        <v>95</v>
      </c>
    </row>
    <row r="96" spans="1:7" ht="15" x14ac:dyDescent="0.2">
      <c r="A96">
        <v>94</v>
      </c>
      <c r="B96" s="1" t="s">
        <v>1655</v>
      </c>
      <c r="C96" t="str">
        <f>_xlfn.LET(_xlpm.x,VLOOKUP($B96,spell_header!$B$2:$G$373,2,FALSE),IF(_xlpm.x="","",_xlpm.x))</f>
        <v>仅在最大施法位置处施放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121</v>
      </c>
    </row>
    <row r="97" spans="1:7" ht="15" x14ac:dyDescent="0.2">
      <c r="A97">
        <v>95</v>
      </c>
      <c r="B97" s="1" t="s">
        <v>1656</v>
      </c>
      <c r="C97" t="str">
        <f>_xlfn.LET(_xlpm.x,VLOOKUP($B97,spell_header!$B$2:$G$373,2,FALSE),IF(_xlpm.x="","",_xlpm.x))</f>
        <v>技能暴露施法者视野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1</v>
      </c>
      <c r="G97">
        <v>124</v>
      </c>
    </row>
    <row r="98" spans="1:7" ht="15" x14ac:dyDescent="0.2">
      <c r="A98">
        <v>96</v>
      </c>
      <c r="B98" s="1" t="s">
        <v>1657</v>
      </c>
      <c r="C98" t="str">
        <f>_xlfn.LET(_xlpm.x,VLOOKUP($B98,spell_header!$B$2:$G$373,2,FALSE),IF(_xlpm.x="","",_xlpm.x))</f>
        <v>允许通过小地图施法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98</v>
      </c>
    </row>
    <row r="99" spans="1:7" ht="15" x14ac:dyDescent="0.2">
      <c r="A99">
        <v>97</v>
      </c>
      <c r="B99" s="1" t="s">
        <v>1658</v>
      </c>
      <c r="C99" t="str">
        <f>_xlfn.LET(_xlpm.x,VLOOKUP($B99,spell_header!$B$2:$G$373,2,FALSE),IF(_xlpm.x="","",_xlpm.x))</f>
        <v>小地图图标可旋转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99</v>
      </c>
    </row>
    <row r="100" spans="1:7" ht="15" x14ac:dyDescent="0.2">
      <c r="A100">
        <v>98</v>
      </c>
      <c r="B100" s="1" t="s">
        <v>1659</v>
      </c>
      <c r="C100" t="str">
        <f>_xlfn.LET(_xlpm.x,VLOOKUP($B100,spell_header!$B$2:$G$373,2,FALSE),IF(_xlpm.x="","",_xlpm.x))</f>
        <v>引导时冲锋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107</v>
      </c>
    </row>
    <row r="101" spans="1:7" ht="15" x14ac:dyDescent="0.2">
      <c r="A101">
        <v>99</v>
      </c>
      <c r="B101" s="1" t="s">
        <v>1660</v>
      </c>
      <c r="C101" t="str">
        <f>_xlfn.LET(_xlpm.x,VLOOKUP($B101,spell_header!$B$2:$G$373,2,FALSE),IF(_xlpm.x="","",_xlpm.x))</f>
        <v>不同等级是否展示引导条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str">
        <f>_xlfn.LET(_xlpm.x,VLOOKUP($B101,spell_header!$B$2:$G$373,5,FALSE),IF(_xlpm.x="","",_xlpm.x))</f>
        <v/>
      </c>
      <c r="G101">
        <v>115</v>
      </c>
    </row>
    <row r="102" spans="1:7" ht="15" x14ac:dyDescent="0.2">
      <c r="A102">
        <v>100</v>
      </c>
      <c r="B102" s="1" t="s">
        <v>1661</v>
      </c>
      <c r="C102" t="str">
        <f>_xlfn.LET(_xlpm.x,VLOOKUP($B102,spell_header!$B$2:$G$373,2,FALSE),IF(_xlpm.x="","",_xlpm.x))</f>
        <v>从边界框开始计算施法距离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59</v>
      </c>
    </row>
    <row r="103" spans="1:7" ht="15" x14ac:dyDescent="0.2">
      <c r="A103">
        <v>101</v>
      </c>
      <c r="B103" s="1" t="s">
        <v>1662</v>
      </c>
      <c r="C103" t="str">
        <f>_xlfn.LET(_xlpm.x,VLOOKUP($B103,spell_header!$B$2:$G$373,2,FALSE),IF(_xlpm.x="","",_xlpm.x))</f>
        <v>引导时可移动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0</v>
      </c>
      <c r="G103">
        <v>108</v>
      </c>
    </row>
    <row r="104" spans="1:7" ht="15" x14ac:dyDescent="0.2">
      <c r="A104">
        <v>102</v>
      </c>
      <c r="B104" s="1" t="s">
        <v>1663</v>
      </c>
      <c r="C104" t="str">
        <f>_xlfn.LET(_xlpm.x,VLOOKUP($B104,spell_header!$B$2:$G$373,2,FALSE),IF(_xlpm.x="","",_xlpm.x))</f>
        <v>禁用施法条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68</v>
      </c>
    </row>
    <row r="105" spans="1:7" ht="15" x14ac:dyDescent="0.2">
      <c r="A105">
        <v>103</v>
      </c>
      <c r="B105" s="1" t="s">
        <v>1664</v>
      </c>
      <c r="C105" t="str">
        <f>_xlfn.LET(_xlpm.x,VLOOKUP($B105,spell_header!$B$2:$G$373,2,FALSE),IF(_xlpm.x="","",_xlpm.x))</f>
        <v>显示引导条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1</v>
      </c>
      <c r="G105">
        <v>69</v>
      </c>
    </row>
    <row r="106" spans="1:7" ht="15" x14ac:dyDescent="0.2">
      <c r="A106">
        <v>104</v>
      </c>
      <c r="B106" s="1" t="s">
        <v>1665</v>
      </c>
      <c r="C106" t="str">
        <f>_xlfn.LET(_xlpm.x,VLOOKUP($B106,spell_header!$B$2:$G$373,2,FALSE),IF(_xlpm.x="","",_xlpm.x))</f>
        <v>施法时立即转向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79</v>
      </c>
    </row>
    <row r="107" spans="1:7" ht="15" x14ac:dyDescent="0.2">
      <c r="A107">
        <v>105</v>
      </c>
      <c r="B107" s="1" t="s">
        <v>1666</v>
      </c>
      <c r="C107" t="str">
        <f>_xlfn.LET(_xlpm.x,VLOOKUP($B107,spell_header!$B$2:$G$373,2,FALSE),IF(_xlpm.x="","",_xlpm.x))</f>
        <v>使用动画生成器帧率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1667</v>
      </c>
      <c r="C108" t="str">
        <f>_xlfn.LET(_xlpm.x,VLOOKUP($B108,spell_header!$B$2:$G$373,2,FALSE),IF(_xlpm.x="","",_xlpm.x))</f>
        <v>具有命中特效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162</v>
      </c>
    </row>
    <row r="109" spans="1:7" ht="15" x14ac:dyDescent="0.2">
      <c r="A109">
        <v>107</v>
      </c>
      <c r="B109" s="1" t="s">
        <v>1668</v>
      </c>
      <c r="C109" t="str">
        <f>_xlfn.LET(_xlpm.x,VLOOKUP($B109,spell_header!$B$2:$G$373,2,FALSE),IF(_xlpm.x="","",_xlpm.x))</f>
        <v>从玩家定义纹理半径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147</v>
      </c>
    </row>
    <row r="110" spans="1:7" ht="15" x14ac:dyDescent="0.2">
      <c r="A110">
        <v>108</v>
      </c>
      <c r="B110" s="1" t="s">
        <v>1669</v>
      </c>
      <c r="C110" t="str">
        <f>_xlfn.LET(_xlpm.x,VLOOKUP($B110,spell_header!$B$2:$G$373,2,FALSE),IF(_xlpm.x="","",_xlpm.x))</f>
        <v>开关型技能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23</v>
      </c>
    </row>
    <row r="111" spans="1:7" ht="15" x14ac:dyDescent="0.2">
      <c r="A111">
        <v>109</v>
      </c>
      <c r="B111" s="1" t="s">
        <v>1670</v>
      </c>
      <c r="C111" t="str">
        <f>_xlfn.LET(_xlpm.x,VLOOKUP($B111,spell_header!$B$2:$G$373,2,FALSE),IF(_xlpm.x="","",_xlpm.x))</f>
        <v>施法时不需要面向目标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0</v>
      </c>
      <c r="G111">
        <v>80</v>
      </c>
    </row>
    <row r="112" spans="1:7" ht="15" x14ac:dyDescent="0.2">
      <c r="A112">
        <v>110</v>
      </c>
      <c r="B112" s="1" t="s">
        <v>1671</v>
      </c>
      <c r="C112" t="str">
        <f>_xlfn.LET(_xlpm.x,VLOOKUP($B112,spell_header!$B$2:$G$373,2,FALSE),IF(_xlpm.x="","",_xlpm.x))</f>
        <v>打断后不会触发技能结束效果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128</v>
      </c>
    </row>
    <row r="113" spans="1:7" ht="15" x14ac:dyDescent="0.2">
      <c r="A113">
        <v>111</v>
      </c>
      <c r="B113" s="1" t="s">
        <v>1672</v>
      </c>
      <c r="C113" t="str">
        <f>_xlfn.LET(_xlpm.x,VLOOKUP($B113,spell_header!$B$2:$G$373,2,FALSE),IF(_xlpm.x="","",_xlpm.x))</f>
        <v>转向速度标量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str">
        <f>_xlfn.LET(_xlpm.x,VLOOKUP($B113,spell_header!$B$2:$G$373,5,FALSE),IF(_xlpm.x="","",_xlpm.x))</f>
        <v/>
      </c>
      <c r="G113">
        <v>149</v>
      </c>
    </row>
    <row r="114" spans="1:7" ht="15" x14ac:dyDescent="0.2">
      <c r="A114">
        <v>112</v>
      </c>
      <c r="B114" s="1" t="s">
        <v>1673</v>
      </c>
      <c r="C114" t="str">
        <f>_xlfn.LET(_xlpm.x,VLOOKUP($B114,spell_header!$B$2:$G$373,2,FALSE),IF(_xlpm.x="","",_xlpm.x))</f>
        <v>施法时不检查距离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122</v>
      </c>
    </row>
    <row r="115" spans="1:7" ht="15" x14ac:dyDescent="0.2">
      <c r="A115">
        <v>113</v>
      </c>
      <c r="B115" s="1" t="s">
        <v>1674</v>
      </c>
      <c r="C115" t="str">
        <f>_xlfn.LET(_xlpm.x,VLOOKUP($B115,spell_header!$B$2:$G$373,2,FALSE),IF(_xlpm.x="","",_xlpm.x))</f>
        <v>施法时更新服务器轮转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152</v>
      </c>
    </row>
    <row r="116" spans="1:7" ht="15" x14ac:dyDescent="0.2">
      <c r="A116">
        <v>114</v>
      </c>
      <c r="B116" s="1" t="s">
        <v>1675</v>
      </c>
      <c r="C116" t="str">
        <f>_xlfn.LET(_xlpm.x,VLOOKUP($B116,spell_header!$B$2:$G$373,2,FALSE),IF(_xlpm.x="","",_xlpm.x))</f>
        <v>禁用时可标记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103</v>
      </c>
    </row>
    <row r="117" spans="1:7" ht="15" x14ac:dyDescent="0.2">
      <c r="A117">
        <v>115</v>
      </c>
      <c r="B117" s="1" t="s">
        <v>1821</v>
      </c>
      <c r="C117" t="str">
        <f>_xlfn.LET(_xlpm.x,VLOOKUP($B117,spell_header!$B$2:$G$373,2,FALSE),IF(_xlpm.x="","",_xlpm.x))</f>
        <v>覆盖攻击时间计算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154</v>
      </c>
    </row>
    <row r="118" spans="1:7" ht="15" x14ac:dyDescent="0.2">
      <c r="A118">
        <v>116</v>
      </c>
      <c r="B118" s="1" t="s">
        <v>1822</v>
      </c>
      <c r="C118" t="str">
        <f>_xlfn.LET(_xlpm.x,VLOOKUP($B118,spell_header!$B$2:$G$373,2,FALSE),IF(_xlpm.x="","",_xlpm.x))</f>
        <v>启用攻击延迟覆盖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1</v>
      </c>
      <c r="G118">
        <v>153</v>
      </c>
    </row>
    <row r="119" spans="1:7" ht="15" x14ac:dyDescent="0.2">
      <c r="A119">
        <v>117</v>
      </c>
      <c r="B119" s="1" t="s">
        <v>1823</v>
      </c>
      <c r="C119" t="str">
        <f>_xlfn.LET(_xlpm.x,VLOOKUP($B119,spell_header!$B$2:$G$373,2,FALSE),IF(_xlpm.x="","",_xlpm.x))</f>
        <v>施放时间百分比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155</v>
      </c>
    </row>
    <row r="120" spans="1:7" ht="15" x14ac:dyDescent="0.2">
      <c r="A120">
        <v>118</v>
      </c>
      <c r="B120" s="1" t="s">
        <v>1827</v>
      </c>
      <c r="C120" t="str">
        <f>_xlfn.LET(_xlpm.x,VLOOKUP($B120,spell_header!$B$2:$G$373,2,FALSE),IF(_xlpm.x="","",_xlpm.x))</f>
        <v>自动攻击时间计算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str">
        <f>_xlfn.LET(_xlpm.x,VLOOKUP($B120,spell_header!$B$2:$G$373,5,FALSE),IF(_xlpm.x="","",_xlpm.x))</f>
        <v/>
      </c>
      <c r="G120">
        <v>157</v>
      </c>
    </row>
    <row r="121" spans="1:7" ht="15" x14ac:dyDescent="0.2">
      <c r="A121">
        <v>119</v>
      </c>
      <c r="B121" s="1" t="s">
        <v>1828</v>
      </c>
      <c r="C121" t="str">
        <f>_xlfn.LET(_xlpm.x,VLOOKUP($B121,spell_header!$B$2:$G$373,2,FALSE),IF(_xlpm.x="","",_xlpm.x))</f>
        <v>自动攻击时间作为总攻击时间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1</v>
      </c>
      <c r="G121">
        <v>158</v>
      </c>
    </row>
    <row r="122" spans="1:7" ht="15" x14ac:dyDescent="0.2">
      <c r="A122">
        <v>120</v>
      </c>
      <c r="B122" s="1" t="s">
        <v>1676</v>
      </c>
      <c r="C122" t="str">
        <f>_xlfn.LET(_xlpm.x,VLOOKUP($B122,spell_header!$B$2:$G$373,2,FALSE),IF(_xlpm.x="","",_xlpm.x))</f>
        <v>视为自动攻击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156</v>
      </c>
    </row>
    <row r="123" spans="1:7" ht="15" x14ac:dyDescent="0.2">
      <c r="A123">
        <v>121</v>
      </c>
      <c r="B123" s="1" t="s">
        <v>1677</v>
      </c>
      <c r="C123" t="str">
        <f>_xlfn.LET(_xlpm.x,VLOOKUP($B123,spell_header!$B$2:$G$373,2,FALSE),IF(_xlpm.x="","",_xlpm.x))</f>
        <v>动画直到施放帧时持续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148</v>
      </c>
    </row>
    <row r="124" spans="1:7" ht="15" x14ac:dyDescent="0.2">
      <c r="A124">
        <v>122</v>
      </c>
      <c r="B124" s="1" t="s">
        <v>1678</v>
      </c>
      <c r="C124" t="str">
        <f>_xlfn.LET(_xlpm.x,VLOOKUP($B124,spell_header!$B$2:$G$373,2,FALSE),IF(_xlpm.x="","",_xlpm.x))</f>
        <v>施法时隐藏距离指示器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123</v>
      </c>
    </row>
    <row r="125" spans="1:7" ht="15" x14ac:dyDescent="0.2">
      <c r="A125">
        <v>123</v>
      </c>
      <c r="B125" s="1" t="s">
        <v>1679</v>
      </c>
      <c r="C125" t="str">
        <f>_xlfn.LET(_xlpm.x,VLOOKUP($B125,spell_header!$B$2:$G$373,2,FALSE),IF(_xlpm.x="","",_xlpm.x))</f>
        <v>不消耗法力值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24</v>
      </c>
    </row>
    <row r="126" spans="1:7" ht="15" x14ac:dyDescent="0.2">
      <c r="A126">
        <v>124</v>
      </c>
      <c r="B126" s="1" t="s">
        <v>1680</v>
      </c>
      <c r="C126" t="str">
        <f>_xlfn.LET(_xlpm.x,VLOOKUP($B126,spell_header!$B$2:$G$373,2,FALSE),IF(_xlpm.x="","",_xlpm.x))</f>
        <v>激活时锁定技能施放起源ID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130</v>
      </c>
    </row>
    <row r="127" spans="1:7" ht="15" x14ac:dyDescent="0.2">
      <c r="A127">
        <v>125</v>
      </c>
      <c r="B127" s="1" t="s">
        <v>1681</v>
      </c>
      <c r="C127" t="str">
        <f>_xlfn.LET(_xlpm.x,VLOOKUP($B127,spell_header!$B$2:$G$373,2,FALSE),IF(_xlpm.x="","",_xlpm.x))</f>
        <v>不立即进入冷却时间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b">
        <f>_xlfn.LET(_xlpm.x,VLOOKUP($B127,spell_header!$B$2:$G$373,5,FALSE),IF(_xlpm.x="","",_xlpm.x))</f>
        <v>0</v>
      </c>
      <c r="G127">
        <v>129</v>
      </c>
    </row>
    <row r="128" spans="1:7" ht="15" x14ac:dyDescent="0.2">
      <c r="A128">
        <v>126</v>
      </c>
      <c r="B128" s="1" t="s">
        <v>1682</v>
      </c>
      <c r="C128" t="str">
        <f>_xlfn.LET(_xlpm.x,VLOOKUP($B128,spell_header!$B$2:$G$373,2,FALSE),IF(_xlpm.x="","",_xlpm.x))</f>
        <v>参与暴击概率计算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131</v>
      </c>
    </row>
    <row r="129" spans="1:7" ht="15" x14ac:dyDescent="0.2">
      <c r="A129">
        <v>127</v>
      </c>
      <c r="B129" s="1" t="s">
        <v>1683</v>
      </c>
      <c r="C129" t="str">
        <f>_xlfn.LET(_xlpm.x,VLOOKUP($B129,spell_header!$B$2:$G$373,2,FALSE),IF(_xlpm.x="","",_xlpm.x))</f>
        <v>小地图缩略图显示旗标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159</v>
      </c>
    </row>
    <row r="130" spans="1:7" ht="15" x14ac:dyDescent="0.2">
      <c r="A130">
        <v>128</v>
      </c>
      <c r="B130" s="1" t="s">
        <v>1684</v>
      </c>
      <c r="C130" t="str">
        <f>_xlfn.LET(_xlpm.x,VLOOKUP($B130,spell_header!$B$2:$G$373,2,FALSE),IF(_xlpm.x="","",_xlpm.x))</f>
        <v>需要接收输入事件以保持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b">
        <f>_xlfn.LET(_xlpm.x,VLOOKUP($B130,spell_header!$B$2:$G$373,5,FALSE),IF(_xlpm.x="","",_xlpm.x))</f>
        <v>0</v>
      </c>
      <c r="G130">
        <v>132</v>
      </c>
    </row>
    <row r="131" spans="1:7" ht="15" x14ac:dyDescent="0.2">
      <c r="A131">
        <v>129</v>
      </c>
      <c r="B131" s="1" t="s">
        <v>1685</v>
      </c>
      <c r="C131" t="str">
        <f>_xlfn.LET(_xlpm.x,VLOOKUP($B131,spell_header!$B$2:$G$373,2,FALSE),IF(_xlpm.x="","",_xlpm.x))</f>
        <v>施法范围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52</v>
      </c>
    </row>
    <row r="132" spans="1:7" ht="15" x14ac:dyDescent="0.2">
      <c r="A132">
        <v>130</v>
      </c>
      <c r="B132" s="1" t="s">
        <v>1686</v>
      </c>
      <c r="C132" t="str">
        <f>_xlfn.LET(_xlpm.x,VLOOKUP($B132,spell_header!$B$2:$G$373,2,FALSE),IF(_xlpm.x="","",_xlpm.x))</f>
        <v>显示施法范围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55</v>
      </c>
    </row>
    <row r="133" spans="1:7" ht="15" x14ac:dyDescent="0.2">
      <c r="A133">
        <v>131</v>
      </c>
      <c r="B133" s="1" t="s">
        <v>1687</v>
      </c>
      <c r="C133" t="str">
        <f>_xlfn.LET(_xlpm.x,VLOOKUP($B133,spell_header!$B$2:$G$373,2,FALSE),IF(_xlpm.x="","",_xlpm.x))</f>
        <v>施法半径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60</v>
      </c>
    </row>
    <row r="134" spans="1:7" ht="15" x14ac:dyDescent="0.2">
      <c r="A134">
        <v>132</v>
      </c>
      <c r="B134" s="1" t="s">
        <v>1688</v>
      </c>
      <c r="C134" t="str">
        <f>_xlfn.LET(_xlpm.x,VLOOKUP($B134,spell_header!$B$2:$G$373,2,FALSE),IF(_xlpm.x="","",_xlpm.x))</f>
        <v>次要施法半径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61</v>
      </c>
    </row>
    <row r="135" spans="1:7" ht="15" x14ac:dyDescent="0.2">
      <c r="A135">
        <v>133</v>
      </c>
      <c r="B135" s="1" t="s">
        <v>1689</v>
      </c>
      <c r="C135" t="str">
        <f>_xlfn.LET(_xlpm.x,VLOOKUP($B135,spell_header!$B$2:$G$373,2,FALSE),IF(_xlpm.x="","",_xlpm.x))</f>
        <v>施法锥角度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1690</v>
      </c>
      <c r="C136" t="str">
        <f>_xlfn.LET(_xlpm.x,VLOOKUP($B136,spell_header!$B$2:$G$373,2,FALSE),IF(_xlpm.x="","",_xlpm.x))</f>
        <v>施法锥距离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66</v>
      </c>
    </row>
    <row r="137" spans="1:7" ht="15" x14ac:dyDescent="0.2">
      <c r="A137">
        <v>135</v>
      </c>
      <c r="B137" s="1" t="s">
        <v>1691</v>
      </c>
      <c r="C137" t="str">
        <f>_xlfn.LET(_xlpm.x,VLOOKUP($B137,spell_header!$B$2:$G$373,2,FALSE),IF(_xlpm.x="","",_xlpm.x))</f>
        <v>施法物体作用半径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67</v>
      </c>
    </row>
    <row r="138" spans="1:7" ht="15" x14ac:dyDescent="0.2">
      <c r="A138">
        <v>136</v>
      </c>
      <c r="B138" s="1" t="s">
        <v>3856</v>
      </c>
      <c r="C138" t="str">
        <f>_xlfn.LET(_xlpm.x,VLOOKUP($B138,spell_header!$B$2:$G$373,2,FALSE),IF(_xlpm.x="","",_xlpm.x))</f>
        <v>施法范围值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/>
      </c>
      <c r="F138" t="str">
        <f>_xlfn.LET(_xlpm.x,VLOOKUP($B138,spell_header!$B$2:$G$373,5,FALSE),IF(_xlpm.x="","",_xlpm.x))</f>
        <v/>
      </c>
      <c r="G138">
        <v>53</v>
      </c>
    </row>
    <row r="139" spans="1:7" ht="15" x14ac:dyDescent="0.2">
      <c r="A139">
        <v>137</v>
      </c>
      <c r="B139" s="1" t="s">
        <v>3858</v>
      </c>
      <c r="C139" t="str">
        <f>_xlfn.LET(_xlpm.x,VLOOKUP($B139,spell_header!$B$2:$G$373,2,FALSE),IF(_xlpm.x="","",_xlpm.x))</f>
        <v>施法范围值简化表示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54</v>
      </c>
    </row>
    <row r="140" spans="1:7" ht="15" x14ac:dyDescent="0.2">
      <c r="A140">
        <v>138</v>
      </c>
      <c r="B140" s="1" t="s">
        <v>1692</v>
      </c>
      <c r="C140" t="str">
        <f>_xlfn.LET(_xlpm.x,VLOOKUP($B140,spell_header!$B$2:$G$373,2,FALSE),IF(_xlpm.x="","",_xlpm.x))</f>
        <v>Lua脚本更新导弹距离间隔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160</v>
      </c>
    </row>
    <row r="141" spans="1:7" ht="15" x14ac:dyDescent="0.2">
      <c r="A141">
        <v>139</v>
      </c>
      <c r="B141" s="1" t="s">
        <v>1847</v>
      </c>
      <c r="C141" t="str">
        <f>_xlfn.LET(_xlpm.x,VLOOKUP($B141,spell_header!$B$2:$G$373,2,FALSE),IF(_xlpm.x="","",_xlpm.x))</f>
        <v>弹体宽度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298</v>
      </c>
    </row>
    <row r="142" spans="1:7" ht="15" x14ac:dyDescent="0.2">
      <c r="A142">
        <v>140</v>
      </c>
      <c r="B142" s="1" t="s">
        <v>1851</v>
      </c>
      <c r="C142" t="str">
        <f>_xlfn.LET(_xlpm.x,VLOOKUP($B142,spell_header!$B$2:$G$373,2,FALSE),IF(_xlpm.x="","",_xlpm.x))</f>
        <v>弹体移动要素：在目标位置使用高度偏移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304</v>
      </c>
    </row>
    <row r="143" spans="1:7" ht="15" x14ac:dyDescent="0.2">
      <c r="A143">
        <v>141</v>
      </c>
      <c r="B143" s="1" t="s">
        <v>1852</v>
      </c>
      <c r="C143" t="str">
        <f>_xlfn.LET(_xlpm.x,VLOOKUP($B143,spell_header!$B$2:$G$373,2,FALSE),IF(_xlpm.x="","",_xlpm.x))</f>
        <v>弹体移动要素：视觉效果追踪隐形目标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301</v>
      </c>
    </row>
    <row r="144" spans="1:7" ht="15" x14ac:dyDescent="0.2">
      <c r="A144">
        <v>142</v>
      </c>
      <c r="B144" s="1" t="s">
        <v>1853</v>
      </c>
      <c r="C144" t="str">
        <f>_xlfn.LET(_xlpm.x,VLOOKUP($B144,spell_header!$B$2:$G$373,2,FALSE),IF(_xlpm.x="","",_xlpm.x))</f>
        <v/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305</v>
      </c>
    </row>
    <row r="145" spans="1:7" ht="15" x14ac:dyDescent="0.2">
      <c r="A145">
        <v>143</v>
      </c>
      <c r="B145" s="1" t="s">
        <v>1854</v>
      </c>
      <c r="C145" t="str">
        <f>_xlfn.LET(_xlpm.x,VLOOKUP($B145,spell_header!$B$2:$G$373,2,FALSE),IF(_xlpm.x="","",_xlpm.x))</f>
        <v>弹体移动要素：追踪目标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b">
        <f>_xlfn.LET(_xlpm.x,VLOOKUP($B145,spell_header!$B$2:$G$373,5,FALSE),IF(_xlpm.x="","",_xlpm.x))</f>
        <v>1</v>
      </c>
      <c r="G145">
        <v>300</v>
      </c>
    </row>
    <row r="146" spans="1:7" ht="15" x14ac:dyDescent="0.2">
      <c r="A146">
        <v>144</v>
      </c>
      <c r="B146" s="1" t="s">
        <v>1855</v>
      </c>
      <c r="C146" t="str">
        <f>_xlfn.LET(_xlpm.x,VLOOKUP($B146,spell_header!$B$2:$G$373,2,FALSE),IF(_xlpm.x="","",_xlpm.x))</f>
        <v>弹体移动要素：目标高度调整值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302</v>
      </c>
    </row>
    <row r="147" spans="1:7" ht="15" x14ac:dyDescent="0.2">
      <c r="A147">
        <v>145</v>
      </c>
      <c r="B147" s="1" t="s">
        <v>1856</v>
      </c>
      <c r="C147" t="str">
        <f>_xlfn.LET(_xlpm.x,VLOOKUP($B147,spell_header!$B$2:$G$373,2,FALSE),IF(_xlpm.x="","",_xlpm.x))</f>
        <v>弹体移动要素：初始目标高度偏移量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303</v>
      </c>
    </row>
    <row r="148" spans="1:7" ht="15" x14ac:dyDescent="0.2">
      <c r="A148">
        <v>146</v>
      </c>
      <c r="B148" s="1" t="s">
        <v>1857</v>
      </c>
      <c r="C148" t="str">
        <f>_xlfn.LET(_xlpm.x,VLOOKUP($B148,spell_header!$B$2:$G$373,2,FALSE),IF(_xlpm.x="","",_xlpm.x))</f>
        <v>弹体移动要素：起始骨骼名称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308</v>
      </c>
    </row>
    <row r="149" spans="1:7" ht="15" x14ac:dyDescent="0.2">
      <c r="A149">
        <v>147</v>
      </c>
      <c r="B149" s="1" t="s">
        <v>1858</v>
      </c>
      <c r="C149" t="str">
        <f>_xlfn.LET(_xlpm.x,VLOOKUP($B149,spell_header!$B$2:$G$373,2,FALSE),IF(_xlpm.x="","",_xlpm.x))</f>
        <v>弹体移动要素：皮肤覆盖起始骨骼名称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3827</v>
      </c>
      <c r="C150" t="str">
        <f>_xlfn.LET(_xlpm.x,VLOOKUP($B150,spell_header!$B$2:$G$373,2,FALSE),IF(_xlpm.x="","",_xlpm.x))</f>
        <v>弹体移动要素：起始延迟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str">
        <f>_xlfn.LET(_xlpm.x,VLOOKUP($B150,spell_header!$B$2:$G$373,5,FALSE),IF(_xlpm.x="","",_xlpm.x))</f>
        <v/>
      </c>
      <c r="G150">
        <v>316</v>
      </c>
    </row>
    <row r="151" spans="1:7" ht="15" x14ac:dyDescent="0.2">
      <c r="A151">
        <v>149</v>
      </c>
      <c r="B151" s="1" t="s">
        <v>1859</v>
      </c>
      <c r="C151" t="str">
        <f>_xlfn.LET(_xlpm.x,VLOOKUP($B151,spell_header!$B$2:$G$373,2,FALSE),IF(_xlpm.x="","",_xlpm.x))</f>
        <v>弹体移动要素：目标骨骼名称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str">
        <f>_xlfn.LET(_xlpm.x,VLOOKUP($B151,spell_header!$B$2:$G$373,5,FALSE),IF(_xlpm.x="","",_xlpm.x))</f>
        <v/>
      </c>
      <c r="G151">
        <v>310</v>
      </c>
    </row>
    <row r="152" spans="1:7" ht="15" x14ac:dyDescent="0.2">
      <c r="A152">
        <v>150</v>
      </c>
      <c r="B152" s="1" t="s">
        <v>1860</v>
      </c>
      <c r="C152" t="str">
        <f>_xlfn.LET(_xlpm.x,VLOOKUP($B152,spell_header!$B$2:$G$373,2,FALSE),IF(_xlpm.x="","",_xlpm.x))</f>
        <v>弹体移动要素：需要时从面向推断移动方向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1</v>
      </c>
      <c r="G152">
        <v>311</v>
      </c>
    </row>
    <row r="153" spans="1:7" ht="15" x14ac:dyDescent="0.2">
      <c r="A153">
        <v>151</v>
      </c>
      <c r="B153" s="1" t="s">
        <v>1861</v>
      </c>
      <c r="C153" t="str">
        <f>_xlfn.LET(_xlpm.x,VLOOKUP($B153,spell_header!$B$2:$G$373,2,FALSE),IF(_xlpm.x="","",_xlpm.x))</f>
        <v>弹体移动要素：将弹体投射到施法范围内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0</v>
      </c>
      <c r="G153">
        <v>312</v>
      </c>
    </row>
    <row r="154" spans="1:7" ht="15" x14ac:dyDescent="0.2">
      <c r="A154">
        <v>152</v>
      </c>
      <c r="B154" s="1" t="s">
        <v>1862</v>
      </c>
      <c r="C154" t="str">
        <f>_xlfn.LET(_xlpm.x,VLOOKUP($B154,spell_header!$B$2:$G$373,2,FALSE),IF(_xlpm.x="","",_xlpm.x))</f>
        <v>弹体移动要素：基于额外攻击距离提升施法距离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0</v>
      </c>
      <c r="G154">
        <v>313</v>
      </c>
    </row>
    <row r="155" spans="1:7" ht="15" x14ac:dyDescent="0.2">
      <c r="A155">
        <v>153</v>
      </c>
      <c r="B155" s="1" t="s">
        <v>1887</v>
      </c>
      <c r="C155" t="str">
        <f>_xlfn.LET(_xlpm.x,VLOOKUP($B155,spell_header!$B$2:$G$373,2,FALSE),IF(_xlpm.x="","",_xlpm.x))</f>
        <v>弹体移动要素：基于等级的转向半径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1863</v>
      </c>
      <c r="C156" t="str">
        <f>_xlfn.LET(_xlpm.x,VLOOKUP($B156,spell_header!$B$2:$G$373,2,FALSE),IF(_xlpm.x="","",_xlpm.x))</f>
        <v>弹体移动要素：在目标位置使用地面高度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1</v>
      </c>
      <c r="G156">
        <v>315</v>
      </c>
    </row>
    <row r="157" spans="1:7" ht="15" x14ac:dyDescent="0.2">
      <c r="A157">
        <v>155</v>
      </c>
      <c r="B157" s="1" t="s">
        <v>1921</v>
      </c>
      <c r="C157" t="str">
        <f>_xlfn.LET(_xlpm.x,VLOOKUP($B157,spell_header!$B$2:$G$373,2,FALSE),IF(_xlpm.x="","",_xlpm.x))</f>
        <v>弹体移动要素：样条曲线信息：起始位置偏移量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1922</v>
      </c>
      <c r="C158" t="str">
        <f>_xlfn.LET(_xlpm.x,VLOOKUP($B158,spell_header!$B$2:$G$373,2,FALSE),IF(_xlpm.x="","",_xlpm.x))</f>
        <v>弹体移动要素：样条曲线信息：使用弹体当前位置作为曲线原点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b">
        <f>_xlfn.LET(_xlpm.x,VLOOKUP($B158,spell_header!$B$2:$G$373,5,FALSE),IF(_xlpm.x="","",_xlpm.x))</f>
        <v>0</v>
      </c>
      <c r="G158">
        <v>318</v>
      </c>
    </row>
    <row r="159" spans="1:7" ht="15" x14ac:dyDescent="0.2">
      <c r="A159">
        <v>157</v>
      </c>
      <c r="B159" s="1" t="s">
        <v>1923</v>
      </c>
      <c r="C159" t="str">
        <f>_xlfn.LET(_xlpm.x,VLOOKUP($B159,spell_header!$B$2:$G$373,2,FALSE),IF(_xlpm.x="","",_xlpm.x))</f>
        <v>弹体移动要素：样条曲线信息：控制点1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1924</v>
      </c>
      <c r="C160" t="str">
        <f>_xlfn.LET(_xlpm.x,VLOOKUP($B160,spell_header!$B$2:$G$373,2,FALSE),IF(_xlpm.x="","",_xlpm.x))</f>
        <v>弹体移动要素：样条曲线信息：控制点2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/>
      </c>
      <c r="F160" t="str">
        <f>_xlfn.LET(_xlpm.x,VLOOKUP($B160,spell_header!$B$2:$G$373,5,FALSE),IF(_xlpm.x="","",_xlpm.x))</f>
        <v/>
      </c>
      <c r="G160">
        <v>320</v>
      </c>
    </row>
    <row r="161" spans="1:7" ht="15" x14ac:dyDescent="0.2">
      <c r="A161">
        <v>159</v>
      </c>
      <c r="B161" s="1" t="s">
        <v>1925</v>
      </c>
      <c r="C161" t="str">
        <f>_xlfn.LET(_xlpm.x,VLOOKUP($B161,spell_header!$B$2:$G$373,2,FALSE),IF(_xlpm.x="","",_xlpm.x))</f>
        <v>弹体移动要素：样条曲线信息：曲线类型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/>
      </c>
      <c r="F161" t="str">
        <f>_xlfn.LET(_xlpm.x,VLOOKUP($B161,spell_header!$B$2:$G$373,5,FALSE),IF(_xlpm.x="","",_xlpm.x))</f>
        <v/>
      </c>
      <c r="G161">
        <v>321</v>
      </c>
    </row>
    <row r="162" spans="1:7" ht="15" x14ac:dyDescent="0.2">
      <c r="A162">
        <v>160</v>
      </c>
      <c r="B162" s="1" t="s">
        <v>3826</v>
      </c>
      <c r="C162" t="str">
        <f>_xlfn.LET(_xlpm.x,VLOOKUP($B162,spell_header!$B$2:$G$373,2,FALSE),IF(_xlpm.x="","",_xlpm.x))</f>
        <v/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338</v>
      </c>
    </row>
    <row r="163" spans="1:7" ht="15" x14ac:dyDescent="0.2">
      <c r="A163">
        <v>161</v>
      </c>
      <c r="B163" s="1" t="s">
        <v>1866</v>
      </c>
      <c r="C163" t="str">
        <f>_xlfn.LET(_xlpm.x,VLOOKUP($B163,spell_header!$B$2:$G$373,2,FALSE),IF(_xlpm.x="","",_xlpm.x))</f>
        <v>弹体移动要素：使用弹体当前位置作为原点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b">
        <f>_xlfn.LET(_xlpm.x,VLOOKUP($B163,spell_header!$B$2:$G$373,5,FALSE),IF(_xlpm.x="","",_xlpm.x))</f>
        <v>1</v>
      </c>
      <c r="G163">
        <v>322</v>
      </c>
    </row>
    <row r="164" spans="1:7" ht="15" x14ac:dyDescent="0.2">
      <c r="A164">
        <v>162</v>
      </c>
      <c r="B164" s="1" t="s">
        <v>1864</v>
      </c>
      <c r="C164" t="str">
        <f>_xlfn.LET(_xlpm.x,VLOOKUP($B164,spell_header!$B$2:$G$373,2,FALSE),IF(_xlpm.x="","",_xlpm.x))</f>
        <v>弹体移动要素：移动速度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1867</v>
      </c>
      <c r="C165" t="str">
        <f>_xlfn.LET(_xlpm.x,VLOOKUP($B165,spell_header!$B$2:$G$373,2,FALSE),IF(_xlpm.x="","",_xlpm.x))</f>
        <v>弹体移动要素：飞行时间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1868</v>
      </c>
      <c r="C166" t="str">
        <f>_xlfn.LET(_xlpm.x,VLOOKUP($B166,spell_header!$B$2:$G$373,2,FALSE),IF(_xlpm.x="","",_xlpm.x))</f>
        <v>弹体移动要素：加速度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1869</v>
      </c>
      <c r="C167" t="str">
        <f>_xlfn.LET(_xlpm.x,VLOOKUP($B167,spell_header!$B$2:$G$373,2,FALSE),IF(_xlpm.x="","",_xlpm.x))</f>
        <v>弹体移动要素：最小速度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1870</v>
      </c>
      <c r="C168" t="str">
        <f>_xlfn.LET(_xlpm.x,VLOOKUP($B168,spell_header!$B$2:$G$373,2,FALSE),IF(_xlpm.x="","",_xlpm.x))</f>
        <v>弹体移动要素：最大速度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1871</v>
      </c>
      <c r="C169" t="str">
        <f>_xlfn.LET(_xlpm.x,VLOOKUP($B169,spell_header!$B$2:$G$373,2,FALSE),IF(_xlpm.x="","",_xlpm.x))</f>
        <v>弹体移动要素：初始速度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1872</v>
      </c>
      <c r="C170" t="str">
        <f>_xlfn.LET(_xlpm.x,VLOOKUP($B170,spell_header!$B$2:$G$373,2,FALSE),IF(_xlpm.x="","",_xlpm.x))</f>
        <v>弹体移动要素：角速度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1876</v>
      </c>
      <c r="C171" t="str">
        <f>_xlfn.LET(_xlpm.x,VLOOKUP($B171,spell_header!$B$2:$G$373,2,FALSE),IF(_xlpm.x="","",_xlpm.x))</f>
        <v>弹体移动要素：线速度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1873</v>
      </c>
      <c r="C172" t="str">
        <f>_xlfn.LET(_xlpm.x,VLOOKUP($B172,spell_header!$B$2:$G$373,2,FALSE),IF(_xlpm.x="","",_xlpm.x))</f>
        <v>弹体移动要素：生命周期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331</v>
      </c>
    </row>
    <row r="173" spans="1:7" ht="15" x14ac:dyDescent="0.2">
      <c r="A173">
        <v>171</v>
      </c>
      <c r="B173" s="1" t="s">
        <v>1874</v>
      </c>
      <c r="C173" t="str">
        <f>_xlfn.LET(_xlpm.x,VLOOKUP($B173,spell_header!$B$2:$G$373,2,FALSE),IF(_xlpm.x="","",_xlpm.x))</f>
        <v>弹体移动要素：旋转轴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1875</v>
      </c>
      <c r="C174" t="str">
        <f>_xlfn.LET(_xlpm.x,VLOOKUP($B174,spell_header!$B$2:$G$373,2,FALSE),IF(_xlpm.x="","",_xlpm.x))</f>
        <v>弹体移动要素：围绕施法者面向方向旋转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1877</v>
      </c>
      <c r="C175" t="str">
        <f>_xlfn.LET(_xlpm.x,VLOOKUP($B175,spell_header!$B$2:$G$373,2,FALSE),IF(_xlpm.x="","",_xlpm.x))</f>
        <v>弹体移动要素：阻力系数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1878</v>
      </c>
      <c r="C176" t="str">
        <f>_xlfn.LET(_xlpm.x,VLOOKUP($B176,spell_header!$B$2:$G$373,2,FALSE),IF(_xlpm.x="","",_xlpm.x))</f>
        <v>弹体移动要素：是否沿墙壁滑动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b">
        <f>_xlfn.LET(_xlpm.x,VLOOKUP($B176,spell_header!$B$2:$G$373,5,FALSE),IF(_xlpm.x="","",_xlpm.x))</f>
        <v>0</v>
      </c>
      <c r="G176">
        <v>335</v>
      </c>
    </row>
    <row r="177" spans="1:7" ht="15" x14ac:dyDescent="0.2">
      <c r="A177">
        <v>175</v>
      </c>
      <c r="B177" s="1" t="s">
        <v>1879</v>
      </c>
      <c r="C177" t="str">
        <f>_xlfn.LET(_xlpm.x,VLOOKUP($B177,spell_header!$B$2:$G$373,2,FALSE),IF(_xlpm.x="","",_xlpm.x))</f>
        <v>弹体移动要素：墙壁滑动摩擦系数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336</v>
      </c>
    </row>
    <row r="178" spans="1:7" ht="15" x14ac:dyDescent="0.2">
      <c r="A178">
        <v>176</v>
      </c>
      <c r="B178" s="1" t="s">
        <v>1946</v>
      </c>
      <c r="C178" t="str">
        <f>_xlfn.LET(_xlpm.x,VLOOKUP($B178,spell_header!$B$2:$G$373,2,FALSE),IF(_xlpm.x="","",_xlpm.x))</f>
        <v>弹体移动要素：参数化移动类型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/>
      </c>
      <c r="F178" t="str">
        <f>_xlfn.LET(_xlpm.x,VLOOKUP($B178,spell_header!$B$2:$G$373,5,FALSE),IF(_xlpm.x="","",_xlpm.x))</f>
        <v/>
      </c>
      <c r="G178">
        <v>340</v>
      </c>
    </row>
    <row r="179" spans="1:7" ht="15" x14ac:dyDescent="0.2">
      <c r="A179">
        <v>177</v>
      </c>
      <c r="B179" s="1" t="s">
        <v>1880</v>
      </c>
      <c r="C179" t="str">
        <f>_xlfn.LET(_xlpm.x,VLOOKUP($B179,spell_header!$B$2:$G$373,2,FALSE),IF(_xlpm.x="","",_xlpm.x))</f>
        <v>弹体移动要素：移动项目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1881</v>
      </c>
      <c r="C180" t="str">
        <f>_xlfn.LET(_xlpm.x,VLOOKUP($B180,spell_header!$B$2:$G$373,2,FALSE),IF(_xlpm.x="","",_xlpm.x))</f>
        <v>弹体移动要素：逆时针旋转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b">
        <f>_xlfn.LET(_xlpm.x,VLOOKUP($B180,spell_header!$B$2:$G$373,5,FALSE),IF(_xlpm.x="","",_xlpm.x))</f>
        <v>0</v>
      </c>
      <c r="G180">
        <v>342</v>
      </c>
    </row>
    <row r="181" spans="1:7" ht="15" x14ac:dyDescent="0.2">
      <c r="A181">
        <v>179</v>
      </c>
      <c r="B181" s="1" t="s">
        <v>1882</v>
      </c>
      <c r="C181" t="str">
        <f>_xlfn.LET(_xlpm.x,VLOOKUP($B181,spell_header!$B$2:$G$373,2,FALSE),IF(_xlpm.x="","",_xlpm.x))</f>
        <v>弹体移动要素：向墙外偏移量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1883</v>
      </c>
      <c r="C182" t="str">
        <f>_xlfn.LET(_xlpm.x,VLOOKUP($B182,spell_header!$B$2:$G$373,2,FALSE),IF(_xlpm.x="","",_xlpm.x))</f>
        <v>弹体移动要素：沿墙壁移动长度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str">
        <f>_xlfn.LET(_xlpm.x,VLOOKUP($B182,spell_header!$B$2:$G$373,5,FALSE),IF(_xlpm.x="","",_xlpm.x))</f>
        <v/>
      </c>
      <c r="G182">
        <v>344</v>
      </c>
    </row>
    <row r="183" spans="1:7" ht="15" x14ac:dyDescent="0.2">
      <c r="A183">
        <v>181</v>
      </c>
      <c r="B183" s="1" t="s">
        <v>1884</v>
      </c>
      <c r="C183" t="str">
        <f>_xlfn.LET(_xlpm.x,VLOOKUP($B183,spell_header!$B$2:$G$373,2,FALSE),IF(_xlpm.x="","",_xlpm.x))</f>
        <v>弹体移动要素：墙壁搜索半径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345</v>
      </c>
    </row>
    <row r="184" spans="1:7" ht="15" x14ac:dyDescent="0.2">
      <c r="A184">
        <v>182</v>
      </c>
      <c r="B184" s="1" t="s">
        <v>1885</v>
      </c>
      <c r="C184" t="str">
        <f>_xlfn.LET(_xlpm.x,VLOOKUP($B184,spell_header!$B$2:$G$373,2,FALSE),IF(_xlpm.x="","",_xlpm.x))</f>
        <v>弹体移动要素：中途停止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346</v>
      </c>
    </row>
    <row r="185" spans="1:7" ht="15" x14ac:dyDescent="0.2">
      <c r="A185">
        <v>183</v>
      </c>
      <c r="B185" s="1" t="s">
        <v>1886</v>
      </c>
      <c r="C185" t="str">
        <f>_xlfn.LET(_xlpm.x,VLOOKUP($B185,spell_header!$B$2:$G$373,2,FALSE),IF(_xlpm.x="","",_xlpm.x))</f>
        <v>弹体移动要素：使用点平滑处理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b">
        <f>_xlfn.LET(_xlpm.x,VLOOKUP($B185,spell_header!$B$2:$G$373,5,FALSE),IF(_xlpm.x="","",_xlpm.x))</f>
        <v>0</v>
      </c>
      <c r="G185">
        <v>347</v>
      </c>
    </row>
    <row r="186" spans="1:7" ht="15" x14ac:dyDescent="0.2">
      <c r="A186">
        <v>184</v>
      </c>
      <c r="B186" s="1" t="s">
        <v>1888</v>
      </c>
      <c r="C186" t="str">
        <f>_xlfn.LET(_xlpm.x,VLOOKUP($B186,spell_header!$B$2:$G$373,2,FALSE),IF(_xlpm.x="","",_xlpm.x))</f>
        <v>弹体移动要素：实时引导抗延迟补偿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348</v>
      </c>
    </row>
    <row r="187" spans="1:7" ht="15" x14ac:dyDescent="0.2">
      <c r="A187">
        <v>185</v>
      </c>
      <c r="B187" s="1" t="s">
        <v>3828</v>
      </c>
      <c r="C187" t="str">
        <f>_xlfn.LET(_xlpm.x,VLOOKUP($B187,spell_header!$B$2:$G$373,2,FALSE),IF(_xlpm.x="","",_xlpm.x))</f>
        <v>弹体移动要素：缩放比例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>√</v>
      </c>
      <c r="F187" t="str">
        <f>_xlfn.LET(_xlpm.x,VLOOKUP($B187,spell_header!$B$2:$G$373,5,FALSE),IF(_xlpm.x="","",_xlpm.x))</f>
        <v/>
      </c>
      <c r="G187">
        <v>337</v>
      </c>
    </row>
    <row r="188" spans="1:7" ht="15" x14ac:dyDescent="0.2">
      <c r="A188">
        <v>186</v>
      </c>
      <c r="B188" s="1" t="s">
        <v>3829</v>
      </c>
      <c r="C188" t="str">
        <f>_xlfn.LET(_xlpm.x,VLOOKUP($B188,spell_header!$B$2:$G$373,2,FALSE),IF(_xlpm.x="","",_xlpm.x))</f>
        <v/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339</v>
      </c>
    </row>
    <row r="189" spans="1:7" ht="15" x14ac:dyDescent="0.2">
      <c r="A189">
        <v>187</v>
      </c>
      <c r="B189" s="1" t="s">
        <v>1865</v>
      </c>
      <c r="C189" t="str">
        <f>_xlfn.LET(_xlpm.x,VLOOKUP($B189,spell_header!$B$2:$G$373,2,FALSE),IF(_xlpm.x="","",_xlpm.x))</f>
        <v>弹体移动要素类型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/>
      </c>
      <c r="F189" t="str">
        <f>_xlfn.LET(_xlpm.x,VLOOKUP($B189,spell_header!$B$2:$G$373,5,FALSE),IF(_xlpm.x="","",_xlpm.x))</f>
        <v/>
      </c>
      <c r="G189">
        <v>299</v>
      </c>
    </row>
    <row r="190" spans="1:7" ht="15" x14ac:dyDescent="0.2">
      <c r="A190">
        <v>188</v>
      </c>
      <c r="B190" s="1" t="s">
        <v>1848</v>
      </c>
      <c r="C190" t="str">
        <f>_xlfn.LET(_xlpm.x,VLOOKUP($B190,spell_header!$B$2:$G$373,2,FALSE),IF(_xlpm.x="","",_xlpm.x))</f>
        <v>弹体组生成器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349</v>
      </c>
    </row>
    <row r="191" spans="1:7" ht="15" x14ac:dyDescent="0.2">
      <c r="A191">
        <v>189</v>
      </c>
      <c r="B191" s="1" t="s">
        <v>1900</v>
      </c>
      <c r="C191" t="str">
        <f>_xlfn.LET(_xlpm.x,VLOOKUP($B191,spell_header!$B$2:$G$373,2,FALSE),IF(_xlpm.x="","",_xlpm.x))</f>
        <v>弹体可视要素：目标可见性可控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b">
        <f>_xlfn.LET(_xlpm.x,VLOOKUP($B191,spell_header!$B$2:$G$373,5,FALSE),IF(_xlpm.x="","",_xlpm.x))</f>
        <v>0</v>
      </c>
      <c r="G191">
        <v>351</v>
      </c>
    </row>
    <row r="192" spans="1:7" ht="15" x14ac:dyDescent="0.2">
      <c r="A192">
        <v>190</v>
      </c>
      <c r="B192" s="1" t="s">
        <v>1901</v>
      </c>
      <c r="C192" t="str">
        <f>_xlfn.LET(_xlpm.x,VLOOKUP($B192,spell_header!$B$2:$G$373,2,FALSE),IF(_xlpm.x="","",_xlpm.x))</f>
        <v>弹体可视要素：预测弹体脱离战争迷雾时的移动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1902</v>
      </c>
      <c r="C193" t="str">
        <f>_xlfn.LET(_xlpm.x,VLOOKUP($B193,spell_header!$B$2:$G$373,2,FALSE),IF(_xlpm.x="","",_xlpm.x))</f>
        <v>弹体可视要素：感知气泡半径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1903</v>
      </c>
      <c r="C194" t="str">
        <f>_xlfn.LET(_xlpm.x,VLOOKUP($B194,spell_header!$B$2:$G$373,2,FALSE),IF(_xlpm.x="","",_xlpm.x))</f>
        <v>弹体可视要素：客户端显示弹体前等待目标更新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1904</v>
      </c>
      <c r="C195" t="str">
        <f>_xlfn.LET(_xlpm.x,VLOOKUP($B195,spell_header!$B$2:$G$373,2,FALSE),IF(_xlpm.x="","",_xlpm.x))</f>
        <v>弹体可视要素：用于可见性考虑的轨迹存留时间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1905</v>
      </c>
      <c r="C196" t="str">
        <f>_xlfn.LET(_xlpm.x,VLOOKUP($B196,spell_header!$B$2:$G$373,2,FALSE),IF(_xlpm.x="","",_xlpm.x))</f>
        <v>弹体可视要素：仅对友方可见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b">
        <f>_xlfn.LET(_xlpm.x,VLOOKUP($B196,spell_header!$B$2:$G$373,5,FALSE),IF(_xlpm.x="","",_xlpm.x))</f>
        <v>0</v>
      </c>
      <c r="G196">
        <v>356</v>
      </c>
    </row>
    <row r="197" spans="1:7" ht="15" x14ac:dyDescent="0.2">
      <c r="A197">
        <v>195</v>
      </c>
      <c r="B197" s="1" t="s">
        <v>1906</v>
      </c>
      <c r="C197" t="str">
        <f>_xlfn.LET(_xlpm.x,VLOOKUP($B197,spell_header!$B$2:$G$373,2,FALSE),IF(_xlpm.x="","",_xlpm.x))</f>
        <v>弹体可视要素类型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350</v>
      </c>
    </row>
    <row r="198" spans="1:7" ht="15" x14ac:dyDescent="0.2">
      <c r="A198">
        <v>196</v>
      </c>
      <c r="B198" s="1" t="s">
        <v>1889</v>
      </c>
      <c r="C198" t="str">
        <f>_xlfn.LET(_xlpm.x,VLOOKUP($B198,spell_header!$B$2:$G$373,2,FALSE),IF(_xlpm.x="","",_xlpm.x))</f>
        <v>弹体高度求解器：高度偏移量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1890</v>
      </c>
      <c r="C199" t="str">
        <f>_xlfn.LET(_xlpm.x,VLOOKUP($B199,spell_header!$B$2:$G$373,2,FALSE),IF(_xlpm.x="","",_xlpm.x))</f>
        <v>弹体高度求解器：最大坡度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1891</v>
      </c>
      <c r="C200" t="str">
        <f>_xlfn.LET(_xlpm.x,VLOOKUP($B200,spell_header!$B$2:$G$373,2,FALSE),IF(_xlpm.x="","",_xlpm.x))</f>
        <v>弹体高度求解器：重力因子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1892</v>
      </c>
      <c r="C201" t="str">
        <f>_xlfn.LET(_xlpm.x,VLOOKUP($B201,spell_header!$B$2:$G$373,2,FALSE),IF(_xlpm.x="","",_xlpm.x))</f>
        <v/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1893</v>
      </c>
      <c r="C202" t="str">
        <f>_xlfn.LET(_xlpm.x,VLOOKUP($B202,spell_header!$B$2:$G$373,2,FALSE),IF(_xlpm.x="","",_xlpm.x))</f>
        <v>弹体高度求解器：垂直偏移量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1894</v>
      </c>
      <c r="C203" t="str">
        <f>_xlfn.LET(_xlpm.x,VLOOKUP($B203,spell_header!$B$2:$G$373,2,FALSE),IF(_xlpm.x="","",_xlpm.x))</f>
        <v>弹体高度求解器：波形振幅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1895</v>
      </c>
      <c r="C204" t="str">
        <f>_xlfn.LET(_xlpm.x,VLOOKUP($B204,spell_header!$B$2:$G$373,2,FALSE),IF(_xlpm.x="","",_xlpm.x))</f>
        <v>弹体高度求解器：波形周期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1896</v>
      </c>
      <c r="C205" t="str">
        <f>_xlfn.LET(_xlpm.x,VLOOKUP($B205,spell_header!$B$2:$G$373,2,FALSE),IF(_xlpm.x="","",_xlpm.x))</f>
        <v/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365</v>
      </c>
    </row>
    <row r="206" spans="1:7" ht="15" x14ac:dyDescent="0.2">
      <c r="A206">
        <v>204</v>
      </c>
      <c r="B206" s="1" t="s">
        <v>1897</v>
      </c>
      <c r="C206" t="str">
        <f>_xlfn.LET(_xlpm.x,VLOOKUP($B206,spell_header!$B$2:$G$373,2,FALSE),IF(_xlpm.x="","",_xlpm.x))</f>
        <v>弹体高度求解器：初始目标高度偏移量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366</v>
      </c>
    </row>
    <row r="207" spans="1:7" ht="15" x14ac:dyDescent="0.2">
      <c r="A207">
        <v>205</v>
      </c>
      <c r="B207" s="1" t="s">
        <v>1898</v>
      </c>
      <c r="C207" t="str">
        <f>_xlfn.LET(_xlpm.x,VLOOKUP($B207,spell_header!$B$2:$G$373,2,FALSE),IF(_xlpm.x="","",_xlpm.x))</f>
        <v>弹体高度求解器类型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/>
      </c>
      <c r="F207" t="str">
        <f>_xlfn.LET(_xlpm.x,VLOOKUP($B207,spell_header!$B$2:$G$373,5,FALSE),IF(_xlpm.x="","",_xlpm.x))</f>
        <v/>
      </c>
      <c r="G207">
        <v>357</v>
      </c>
    </row>
    <row r="208" spans="1:7" ht="15" x14ac:dyDescent="0.2">
      <c r="A208">
        <v>206</v>
      </c>
      <c r="B208" s="1" t="s">
        <v>1899</v>
      </c>
      <c r="C208" t="str">
        <f>_xlfn.LET(_xlpm.x,VLOOKUP($B208,spell_header!$B$2:$G$373,2,FALSE),IF(_xlpm.x="","",_xlpm.x))</f>
        <v>弹体垂直朝向类型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/>
      </c>
      <c r="F208" t="str">
        <f>_xlfn.LET(_xlpm.x,VLOOKUP($B208,spell_header!$B$2:$G$373,5,FALSE),IF(_xlpm.x="","",_xlpm.x))</f>
        <v/>
      </c>
      <c r="G208">
        <v>367</v>
      </c>
    </row>
    <row r="209" spans="1:7" ht="15" x14ac:dyDescent="0.2">
      <c r="A209">
        <v>207</v>
      </c>
      <c r="B209" s="1" t="s">
        <v>1849</v>
      </c>
      <c r="C209" t="str">
        <f>_xlfn.LET(_xlpm.x,VLOOKUP($B209,spell_header!$B$2:$G$373,2,FALSE),IF(_xlpm.x="","",_xlpm.x))</f>
        <v>弹体行为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368</v>
      </c>
    </row>
    <row r="210" spans="1:7" ht="15" x14ac:dyDescent="0.2">
      <c r="A210">
        <v>208</v>
      </c>
      <c r="B210" s="1" t="s">
        <v>1850</v>
      </c>
      <c r="C210" t="str">
        <f>_xlfn.LET(_xlpm.x,VLOOKUP($B210,spell_header!$B$2:$G$373,2,FALSE),IF(_xlpm.x="","",_xlpm.x))</f>
        <v/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b">
        <f>_xlfn.LET(_xlpm.x,VLOOKUP($B210,spell_header!$B$2:$G$373,5,FALSE),IF(_xlpm.x="","",_xlpm.x))</f>
        <v>0</v>
      </c>
      <c r="G210">
        <v>369</v>
      </c>
    </row>
    <row r="211" spans="1:7" ht="15" x14ac:dyDescent="0.2">
      <c r="A211">
        <v>209</v>
      </c>
      <c r="B211" s="1" t="s">
        <v>1693</v>
      </c>
      <c r="C211" t="str">
        <f>_xlfn.LET(_xlpm.x,VLOOKUP($B211,spell_header!$B$2:$G$373,2,FALSE),IF(_xlpm.x="","",_xlpm.x))</f>
        <v>施法类型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51</v>
      </c>
    </row>
    <row r="212" spans="1:7" ht="15" x14ac:dyDescent="0.2">
      <c r="A212">
        <v>210</v>
      </c>
      <c r="B212" s="1" t="s">
        <v>1694</v>
      </c>
      <c r="C212" t="str">
        <f>_xlfn.LET(_xlpm.x,VLOOKUP($B212,spell_header!$B$2:$G$373,2,FALSE),IF(_xlpm.x="","",_xlpm.x))</f>
        <v>施法帧数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64</v>
      </c>
    </row>
    <row r="213" spans="1:7" ht="15" x14ac:dyDescent="0.2">
      <c r="A213">
        <v>211</v>
      </c>
      <c r="B213" s="1" t="s">
        <v>1695</v>
      </c>
      <c r="C213" t="str">
        <f>_xlfn.LET(_xlpm.x,VLOOKUP($B213,spell_header!$B$2:$G$373,2,FALSE),IF(_xlpm.x="","",_xlpm.x))</f>
        <v>弹体速度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1696</v>
      </c>
      <c r="C214" t="str">
        <f>_xlfn.LET(_xlpm.x,VLOOKUP($B214,spell_header!$B$2:$G$373,2,FALSE),IF(_xlpm.x="","",_xlpm.x))</f>
        <v>弹体特效名称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1697</v>
      </c>
      <c r="C215" t="str">
        <f>_xlfn.LET(_xlpm.x,VLOOKUP($B215,spell_header!$B$2:$G$373,2,FALSE),IF(_xlpm.x="","",_xlpm.x))</f>
        <v>弹体特效键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1698</v>
      </c>
      <c r="C216" t="str">
        <f>_xlfn.LET(_xlpm.x,VLOOKUP($B216,spell_header!$B$2:$G$373,2,FALSE),IF(_xlpm.x="","",_xlpm.x))</f>
        <v>弹体最大转向速度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1699</v>
      </c>
      <c r="C217" t="str">
        <f>_xlfn.LET(_xlpm.x,VLOOKUP($B217,spell_header!$B$2:$G$373,2,FALSE),IF(_xlpm.x="","",_xlpm.x))</f>
        <v>弹体最大转动角度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1700</v>
      </c>
      <c r="C218" t="str">
        <f>_xlfn.LET(_xlpm.x,VLOOKUP($B218,spell_header!$B$2:$G$373,2,FALSE),IF(_xlpm.x="","",_xlpm.x))</f>
        <v>玩家弹体特效键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3824</v>
      </c>
      <c r="C219" t="str">
        <f>_xlfn.LET(_xlpm.x,VLOOKUP($B219,spell_header!$B$2:$G$373,2,FALSE),IF(_xlpm.x="","",_xlpm.x))</f>
        <v>玩家弹体特效名称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1701</v>
      </c>
      <c r="C220" t="str">
        <f>_xlfn.LET(_xlpm.x,VLOOKUP($B220,spell_header!$B$2:$G$373,2,FALSE),IF(_xlpm.x="","",_xlpm.x))</f>
        <v>敌方弹体特效键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296</v>
      </c>
    </row>
    <row r="221" spans="1:7" ht="15" x14ac:dyDescent="0.2">
      <c r="A221">
        <v>219</v>
      </c>
      <c r="B221" s="1" t="s">
        <v>3823</v>
      </c>
      <c r="C221" t="str">
        <f>_xlfn.LET(_xlpm.x,VLOOKUP($B221,spell_header!$B$2:$G$373,2,FALSE),IF(_xlpm.x="","",_xlpm.x))</f>
        <v>敌方弹体特效名称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297</v>
      </c>
    </row>
    <row r="222" spans="1:7" ht="15" x14ac:dyDescent="0.2">
      <c r="A222">
        <v>220</v>
      </c>
      <c r="B222" s="1" t="s">
        <v>1702</v>
      </c>
      <c r="C222" t="str">
        <f>_xlfn.LET(_xlpm.x,VLOOKUP($B222,spell_header!$B$2:$G$373,2,FALSE),IF(_xlpm.x="","",_xlpm.x))</f>
        <v>线条宽度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150</v>
      </c>
    </row>
    <row r="223" spans="1:7" ht="15" x14ac:dyDescent="0.2">
      <c r="A223">
        <v>221</v>
      </c>
      <c r="B223" s="1" t="s">
        <v>1703</v>
      </c>
      <c r="C223" t="str">
        <f>_xlfn.LET(_xlpm.x,VLOOKUP($B223,spell_header!$B$2:$G$373,2,FALSE),IF(_xlpm.x="","",_xlpm.x))</f>
        <v>线条拖拽长度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151</v>
      </c>
    </row>
    <row r="224" spans="1:7" ht="15" x14ac:dyDescent="0.2">
      <c r="A224">
        <v>222</v>
      </c>
      <c r="B224" s="1" t="s">
        <v>3830</v>
      </c>
      <c r="C224" t="str">
        <f>_xlfn.LET(_xlpm.x,VLOOKUP($B224,spell_header!$B$2:$G$373,2,FALSE),IF(_xlpm.x="","",_xlpm.x))</f>
        <v>海克斯核心键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372</v>
      </c>
    </row>
    <row r="225" spans="1:7" ht="15" x14ac:dyDescent="0.2">
      <c r="A225">
        <v>223</v>
      </c>
      <c r="B225" s="1" t="s">
        <v>1704</v>
      </c>
      <c r="C225" t="str">
        <f>_xlfn.LET(_xlpm.x,VLOOKUP($B225,spell_header!$B$2:$G$373,2,FALSE),IF(_xlpm.x="","",_xlpm.x))</f>
        <v>资源解析列表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251</v>
      </c>
    </row>
    <row r="226" spans="1:7" ht="15" x14ac:dyDescent="0.2">
      <c r="A226">
        <v>224</v>
      </c>
      <c r="B226" s="1" t="s">
        <v>3831</v>
      </c>
      <c r="C226" t="str">
        <f>_xlfn.LET(_xlpm.x,VLOOKUP($B226,spell_header!$B$2:$G$373,2,FALSE),IF(_xlpm.x="","",_xlpm.x))</f>
        <v>音频库单元路径列表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373</v>
      </c>
    </row>
    <row r="227" spans="1:7" ht="15" x14ac:dyDescent="0.2">
      <c r="A227">
        <v>225</v>
      </c>
      <c r="B227" s="1" t="s">
        <v>1705</v>
      </c>
      <c r="C227" t="str">
        <f>_xlfn.LET(_xlpm.x,VLOOKUP($B227,spell_header!$B$2:$G$373,2,FALSE),IF(_xlpm.x="","",_xlpm.x))</f>
        <v>观察策略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161</v>
      </c>
    </row>
    <row r="228" spans="1:7" ht="15" x14ac:dyDescent="0.2">
      <c r="A228">
        <v>226</v>
      </c>
      <c r="B228" s="1" t="s">
        <v>1706</v>
      </c>
      <c r="C228" t="str">
        <f>_xlfn.LET(_xlpm.x,VLOOKUP($B228,spell_header!$B$2:$G$373,2,FALSE),IF(_xlpm.x="","",_xlpm.x))</f>
        <v>命中效果定向类型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163</v>
      </c>
    </row>
    <row r="229" spans="1:7" ht="15" x14ac:dyDescent="0.2">
      <c r="A229">
        <v>227</v>
      </c>
      <c r="B229" s="1" t="s">
        <v>1708</v>
      </c>
      <c r="C229" t="str">
        <f>_xlfn.LET(_xlpm.x,VLOOKUP($B229,spell_header!$B$2:$G$373,2,FALSE),IF(_xlpm.x="","",_xlpm.x))</f>
        <v>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165</v>
      </c>
    </row>
    <row r="230" spans="1:7" ht="15" x14ac:dyDescent="0.2">
      <c r="A230">
        <v>228</v>
      </c>
      <c r="B230" s="1" t="s">
        <v>1707</v>
      </c>
      <c r="C230" t="str">
        <f>_xlfn.LET(_xlpm.x,VLOOKUP($B230,spell_header!$B$2:$G$373,2,FALSE),IF(_xlpm.x="","",_xlpm.x))</f>
        <v>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164</v>
      </c>
    </row>
    <row r="231" spans="1:7" ht="15" x14ac:dyDescent="0.2">
      <c r="A231">
        <v>229</v>
      </c>
      <c r="B231" s="1" t="s">
        <v>3832</v>
      </c>
      <c r="C231" t="str">
        <f>_xlfn.LET(_xlpm.x,VLOOKUP($B231,spell_header!$B$2:$G$373,2,FALSE),IF(_xlpm.x="","",_xlpm.x))</f>
        <v>玩家命中效果键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370</v>
      </c>
    </row>
    <row r="232" spans="1:7" ht="15" x14ac:dyDescent="0.2">
      <c r="A232">
        <v>230</v>
      </c>
      <c r="B232" s="1" t="s">
        <v>3825</v>
      </c>
      <c r="C232" t="str">
        <f>_xlfn.LET(_xlpm.x,VLOOKUP($B232,spell_header!$B$2:$G$373,2,FALSE),IF(_xlpm.x="","",_xlpm.x))</f>
        <v>玩家命中效果名称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371</v>
      </c>
    </row>
    <row r="233" spans="1:7" ht="15" x14ac:dyDescent="0.2">
      <c r="A233">
        <v>231</v>
      </c>
      <c r="B233" s="1" t="s">
        <v>1709</v>
      </c>
      <c r="C233" t="str">
        <f>_xlfn.LET(_xlpm.x,VLOOKUP($B233,spell_header!$B$2:$G$373,2,FALSE),IF(_xlpm.x="","",_xlpm.x))</f>
        <v>后续效果键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166</v>
      </c>
    </row>
    <row r="234" spans="1:7" ht="15" x14ac:dyDescent="0.2">
      <c r="A234">
        <v>232</v>
      </c>
      <c r="B234" s="1" t="s">
        <v>1710</v>
      </c>
      <c r="C234" t="str">
        <f>_xlfn.LET(_xlpm.x,VLOOKUP($B234,spell_header!$B$2:$G$373,2,FALSE),IF(_xlpm.x="","",_xlpm.x))</f>
        <v>后续效果名称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167</v>
      </c>
    </row>
    <row r="235" spans="1:7" ht="15" x14ac:dyDescent="0.2">
      <c r="A235">
        <v>233</v>
      </c>
      <c r="B235" s="1" t="s">
        <v>1711</v>
      </c>
      <c r="C235" t="str">
        <f>_xlfn.LET(_xlpm.x,VLOOKUP($B235,spell_header!$B$2:$G$373,2,FALSE),IF(_xlpm.x="","",_xlpm.x))</f>
        <v>具有命中骨骼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306</v>
      </c>
    </row>
    <row r="236" spans="1:7" ht="15" x14ac:dyDescent="0.2">
      <c r="A236">
        <v>234</v>
      </c>
      <c r="B236" s="1" t="s">
        <v>1712</v>
      </c>
      <c r="C236" t="str">
        <f>_xlfn.LET(_xlpm.x,VLOOKUP($B236,spell_header!$B$2:$G$373,2,FALSE),IF(_xlpm.x="","",_xlpm.x))</f>
        <v>命中骨骼名称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307</v>
      </c>
    </row>
    <row r="237" spans="1:7" ht="15" x14ac:dyDescent="0.2">
      <c r="A237">
        <v>235</v>
      </c>
      <c r="B237" s="1" t="s">
        <v>1713</v>
      </c>
      <c r="C237" t="str">
        <f>_xlfn.LET(_xlpm.x,VLOOKUP($B237,spell_header!$B$2:$G$373,2,FALSE),IF(_xlpm.x="","",_xlpm.x))</f>
        <v>粒子起始偏移量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168</v>
      </c>
    </row>
    <row r="238" spans="1:7" ht="15" x14ac:dyDescent="0.2">
      <c r="A238">
        <v>236</v>
      </c>
      <c r="B238" s="1" t="s">
        <v>1714</v>
      </c>
      <c r="C238" t="str">
        <f>_xlfn.LET(_xlpm.x,VLOOKUP($B238,spell_header!$B$2:$G$373,2,FALSE),IF(_xlpm.x="","",_xlpm.x))</f>
        <v>浮点数显示精度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47</v>
      </c>
    </row>
    <row r="239" spans="1:7" ht="15" x14ac:dyDescent="0.2">
      <c r="A239">
        <v>237</v>
      </c>
      <c r="B239" s="1" t="s">
        <v>1715</v>
      </c>
      <c r="C239" t="str">
        <f>_xlfn.LET(_xlpm.x,VLOOKUP($B239,spell_header!$B$2:$G$373,2,FALSE),IF(_xlpm.x="","",_xlpm.x))</f>
        <v>法力值消耗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25</v>
      </c>
    </row>
    <row r="240" spans="1:7" ht="15" x14ac:dyDescent="0.2">
      <c r="A240">
        <v>238</v>
      </c>
      <c r="B240" s="1" t="s">
        <v>1716</v>
      </c>
      <c r="C240" t="str">
        <f>_xlfn.LET(_xlpm.x,VLOOKUP($B240,spell_header!$B$2:$G$373,2,FALSE),IF(_xlpm.x="","",_xlpm.x))</f>
        <v>显示法力值消耗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29</v>
      </c>
    </row>
    <row r="241" spans="1:7" ht="15" x14ac:dyDescent="0.2">
      <c r="A241">
        <v>239</v>
      </c>
      <c r="B241" s="1" t="s">
        <v>3868</v>
      </c>
      <c r="C241" t="str">
        <f>_xlfn.LET(_xlpm.x,VLOOKUP($B241,spell_header!$B$2:$G$373,2,FALSE),IF(_xlpm.x="","",_xlpm.x))</f>
        <v>法力值消耗值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/>
      </c>
      <c r="F241" t="str">
        <f>_xlfn.LET(_xlpm.x,VLOOKUP($B241,spell_header!$B$2:$G$373,5,FALSE),IF(_xlpm.x="","",_xlpm.x))</f>
        <v/>
      </c>
      <c r="G241">
        <v>26</v>
      </c>
    </row>
    <row r="242" spans="1:7" ht="15" x14ac:dyDescent="0.2">
      <c r="A242">
        <v>240</v>
      </c>
      <c r="B242" s="1" t="s">
        <v>3869</v>
      </c>
      <c r="C242" t="str">
        <f>_xlfn.LET(_xlpm.x,VLOOKUP($B242,spell_header!$B$2:$G$373,2,FALSE),IF(_xlpm.x="","",_xlpm.x))</f>
        <v>法力值消耗值简化表示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27</v>
      </c>
    </row>
    <row r="243" spans="1:7" ht="15" x14ac:dyDescent="0.2">
      <c r="A243">
        <v>241</v>
      </c>
      <c r="B243" s="1" t="s">
        <v>1717</v>
      </c>
      <c r="C243" t="str">
        <f>_xlfn.LET(_xlpm.x,VLOOKUP($B243,spell_header!$B$2:$G$373,2,FALSE),IF(_xlpm.x="","",_xlpm.x))</f>
        <v>选择优先级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50</v>
      </c>
    </row>
    <row r="244" spans="1:7" ht="15" x14ac:dyDescent="0.2">
      <c r="A244">
        <v>242</v>
      </c>
      <c r="B244" s="1" t="s">
        <v>1998</v>
      </c>
      <c r="C244" t="str">
        <f>_xlfn.LET(_xlpm.x,VLOOKUP($B244,spell_header!$B$2:$G$373,2,FALSE),IF(_xlpm.x="","",_xlpm.x))</f>
        <v/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b">
        <f>_xlfn.LET(_xlpm.x,VLOOKUP($B244,spell_header!$B$2:$G$373,5,FALSE),IF(_xlpm.x="","",_xlpm.x))</f>
        <v>0</v>
      </c>
      <c r="G244">
        <v>134</v>
      </c>
    </row>
    <row r="245" spans="1:7" ht="15" x14ac:dyDescent="0.2">
      <c r="A245">
        <v>243</v>
      </c>
      <c r="B245" s="1" t="s">
        <v>1999</v>
      </c>
      <c r="C245" t="str">
        <f>_xlfn.LET(_xlpm.x,VLOOKUP($B245,spell_header!$B$2:$G$373,2,FALSE),IF(_xlpm.x="","",_xlpm.x))</f>
        <v>目标类型数据：在目标消失时可完成施法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b">
        <f>_xlfn.LET(_xlpm.x,VLOOKUP($B245,spell_header!$B$2:$G$373,5,FALSE),IF(_xlpm.x="","",_xlpm.x))</f>
        <v>0</v>
      </c>
      <c r="G245">
        <v>135</v>
      </c>
    </row>
    <row r="246" spans="1:7" ht="15" x14ac:dyDescent="0.2">
      <c r="A246">
        <v>244</v>
      </c>
      <c r="B246" s="1" t="s">
        <v>2000</v>
      </c>
      <c r="C246" t="str">
        <f>_xlfn.LET(_xlpm.x,VLOOKUP($B246,spell_header!$B$2:$G$373,2,FALSE),IF(_xlpm.x="","",_xlpm.x))</f>
        <v>目标类型数据：目标检测距离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2001</v>
      </c>
      <c r="C247" t="str">
        <f>_xlfn.LET(_xlpm.x,VLOOKUP($B247,spell_header!$B$2:$G$373,2,FALSE),IF(_xlpm.x="","",_xlpm.x))</f>
        <v>目标类型数据：草丛指针方案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2002</v>
      </c>
      <c r="C248" t="str">
        <f>_xlfn.LET(_xlpm.x,VLOOKUP($B248,spell_header!$B$2:$G$373,2,FALSE),IF(_xlpm.x="","",_xlpm.x))</f>
        <v>目标类型数据：河流指针方案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2003</v>
      </c>
      <c r="C249" t="str">
        <f>_xlfn.LET(_xlpm.x,VLOOKUP($B249,spell_header!$B$2:$G$373,2,FALSE),IF(_xlpm.x="","",_xlpm.x))</f>
        <v>目标类型数据：墙壁指针方案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139</v>
      </c>
    </row>
    <row r="250" spans="1:7" ht="15" x14ac:dyDescent="0.2">
      <c r="A250">
        <v>248</v>
      </c>
      <c r="B250" s="1" t="s">
        <v>2004</v>
      </c>
      <c r="C250" t="str">
        <f>_xlfn.LET(_xlpm.x,VLOOKUP($B250,spell_header!$B$2:$G$373,2,FALSE),IF(_xlpm.x="","",_xlpm.x))</f>
        <v>目标类型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/>
      </c>
      <c r="F250" t="str">
        <f>_xlfn.LET(_xlpm.x,VLOOKUP($B250,spell_header!$B$2:$G$373,5,FALSE),IF(_xlpm.x="","",_xlpm.x))</f>
        <v/>
      </c>
      <c r="G250">
        <v>140</v>
      </c>
    </row>
    <row r="251" spans="1:7" ht="15" x14ac:dyDescent="0.2">
      <c r="A251">
        <v>249</v>
      </c>
      <c r="B251" s="1" t="s">
        <v>3833</v>
      </c>
      <c r="C251" t="str">
        <f>_xlfn.LET(_xlpm.x,VLOOKUP($B251,spell_header!$B$2:$G$373,2,FALSE),IF(_xlpm.x="","",_xlpm.x))</f>
        <v>人工智能数据：响应速度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169</v>
      </c>
    </row>
    <row r="252" spans="1:7" ht="15" x14ac:dyDescent="0.2">
      <c r="A252">
        <v>250</v>
      </c>
      <c r="B252" s="1" t="s">
        <v>3834</v>
      </c>
      <c r="C252" t="str">
        <f>_xlfn.LET(_xlpm.x,VLOOKUP($B252,spell_header!$B$2:$G$373,2,FALSE),IF(_xlpm.x="","",_xlpm.x))</f>
        <v>人工智能数据：威胁范围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3835</v>
      </c>
      <c r="C253" t="str">
        <f>_xlfn.LET(_xlpm.x,VLOOKUP($B253,spell_header!$B$2:$G$373,2,FALSE),IF(_xlpm.x="","",_xlpm.x))</f>
        <v>人工智能数据：封锁等级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375</v>
      </c>
    </row>
    <row r="254" spans="1:7" ht="15" x14ac:dyDescent="0.2">
      <c r="A254">
        <v>252</v>
      </c>
      <c r="B254" s="1" t="s">
        <v>3836</v>
      </c>
      <c r="C254" t="str">
        <f>_xlfn.LET(_xlpm.x,VLOOKUP($B254,spell_header!$B$2:$G$373,2,FALSE),IF(_xlpm.x="","",_xlpm.x))</f>
        <v>音频事件类别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376</v>
      </c>
    </row>
    <row r="255" spans="1:7" ht="15" x14ac:dyDescent="0.2">
      <c r="A255">
        <v>253</v>
      </c>
      <c r="B255" s="1" t="s">
        <v>2011</v>
      </c>
      <c r="C255" t="str">
        <f>_xlfn.LET(_xlpm.x,VLOOKUP($B255,spell_header!$B$2:$G$373,2,FALSE),IF(_xlpm.x="","",_xlpm.x))</f>
        <v/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170</v>
      </c>
    </row>
    <row r="256" spans="1:7" ht="15" x14ac:dyDescent="0.2">
      <c r="A256">
        <v>254</v>
      </c>
      <c r="B256" s="1" t="s">
        <v>2012</v>
      </c>
      <c r="C256" t="str">
        <f>_xlfn.LET(_xlpm.x,VLOOKUP($B256,spell_header!$B$2:$G$373,2,FALSE),IF(_xlpm.x="","",_xlpm.x))</f>
        <v/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171</v>
      </c>
    </row>
    <row r="257" spans="1:7" ht="15" x14ac:dyDescent="0.2">
      <c r="A257">
        <v>255</v>
      </c>
      <c r="B257" s="1" t="s">
        <v>1718</v>
      </c>
      <c r="C257" t="str">
        <f>_xlfn.LET(_xlpm.x,VLOOKUP($B257,spell_header!$B$2:$G$373,2,FALSE),IF(_xlpm.x="","",_xlpm.x))</f>
        <v>技能触发音效事件映射表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146</v>
      </c>
    </row>
    <row r="258" spans="1:7" ht="15" x14ac:dyDescent="0.2">
      <c r="A258">
        <v>256</v>
      </c>
      <c r="B258" s="1" t="s">
        <v>1719</v>
      </c>
      <c r="C258" t="str">
        <f>_xlfn.LET(_xlpm.x,VLOOKUP($B258,spell_header!$B$2:$G$373,2,FALSE),IF(_xlpm.x="","",_xlpm.x))</f>
        <v>目标选择容错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133</v>
      </c>
    </row>
    <row r="259" spans="1:7" ht="15" x14ac:dyDescent="0.2">
      <c r="A259">
        <v>257</v>
      </c>
      <c r="B259" s="1" t="s">
        <v>1720</v>
      </c>
      <c r="C259" t="str">
        <f>_xlfn.LET(_xlpm.x,VLOOKUP($B259,spell_header!$B$2:$G$373,2,FALSE),IF(_xlpm.x="","",_xlpm.x))</f>
        <v>冷却队列阈值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str">
        <f>_xlfn.LET(_xlpm.x,VLOOKUP($B259,spell_header!$B$2:$G$373,5,FALSE),IF(_xlpm.x="","",_xlpm.x))</f>
        <v/>
      </c>
      <c r="G259">
        <v>111</v>
      </c>
    </row>
    <row r="260" spans="1:7" ht="15" x14ac:dyDescent="0.2">
      <c r="A260">
        <v>258</v>
      </c>
      <c r="B260" s="1" t="s">
        <v>1721</v>
      </c>
      <c r="C260" t="str">
        <f>_xlfn.LET(_xlpm.x,VLOOKUP($B260,spell_header!$B$2:$G$373,2,FALSE),IF(_xlpm.x="","",_xlpm.x))</f>
        <v>维度行为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172</v>
      </c>
    </row>
    <row r="261" spans="1:7" ht="15" x14ac:dyDescent="0.2">
      <c r="A261">
        <v>259</v>
      </c>
      <c r="B261" s="1" t="s">
        <v>1722</v>
      </c>
      <c r="C261" t="str">
        <f>_xlfn.LET(_xlpm.x,VLOOKUP($B261,spell_header!$B$2:$G$373,2,FALSE),IF(_xlpm.x="","",_xlpm.x))</f>
        <v>施法时打破潜行状态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1723</v>
      </c>
      <c r="C262" t="str">
        <f>_xlfn.LET(_xlpm.x,VLOOKUP($B262,spell_header!$B$2:$G$373,2,FALSE),IF(_xlpm.x="","",_xlpm.x))</f>
        <v>施法时暴露潜行者视野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b">
        <f>_xlfn.LET(_xlpm.x,VLOOKUP($B262,spell_header!$B$2:$G$373,5,FALSE),IF(_xlpm.x="","",_xlpm.x))</f>
        <v>0</v>
      </c>
      <c r="G262">
        <v>126</v>
      </c>
    </row>
    <row r="263" spans="1:7" ht="15" x14ac:dyDescent="0.2">
      <c r="A263">
        <v>261</v>
      </c>
      <c r="B263" s="1" t="s">
        <v>1724</v>
      </c>
      <c r="C263" t="str">
        <f>_xlfn.LET(_xlpm.x,VLOOKUP($B263,spell_header!$B$2:$G$373,2,FALSE),IF(_xlpm.x="","",_xlpm.x))</f>
        <v>施法附着时打破潜行状态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b">
        <f>_xlfn.LET(_xlpm.x,VLOOKUP($B263,spell_header!$B$2:$G$373,5,FALSE),IF(_xlpm.x="","",_xlpm.x))</f>
        <v>0</v>
      </c>
      <c r="G263">
        <v>127</v>
      </c>
    </row>
    <row r="264" spans="1:7" ht="15" x14ac:dyDescent="0.2">
      <c r="A264">
        <v>262</v>
      </c>
      <c r="B264" s="1" t="s">
        <v>2021</v>
      </c>
      <c r="C264" t="str">
        <f>_xlfn.LET(_xlpm.x,VLOOKUP($B264,spell_header!$B$2:$G$373,2,FALSE),IF(_xlpm.x="","",_xlpm.x))</f>
        <v>其它技能的说明文本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173</v>
      </c>
    </row>
    <row r="265" spans="1:7" ht="15" x14ac:dyDescent="0.2">
      <c r="A265">
        <v>263</v>
      </c>
      <c r="B265" s="1" t="s">
        <v>2022</v>
      </c>
      <c r="C265" t="str">
        <f>_xlfn.LET(_xlpm.x,VLOOKUP($B265,spell_header!$B$2:$G$373,2,FALSE),IF(_xlpm.x="","",_xlpm.x))</f>
        <v>弹体目标器定义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175</v>
      </c>
    </row>
    <row r="266" spans="1:7" ht="15" x14ac:dyDescent="0.2">
      <c r="A266">
        <v>264</v>
      </c>
      <c r="B266" s="1" t="s">
        <v>2023</v>
      </c>
      <c r="C266" t="str">
        <f>_xlfn.LET(_xlpm.x,VLOOKUP($B266,spell_header!$B$2:$G$373,2,FALSE),IF(_xlpm.x="","",_xlpm.x))</f>
        <v>其它技能的死亡回放说明文本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174</v>
      </c>
    </row>
    <row r="267" spans="1:7" ht="15" x14ac:dyDescent="0.2">
      <c r="A267">
        <v>265</v>
      </c>
      <c r="B267" s="1" t="s">
        <v>2032</v>
      </c>
      <c r="C267" t="str">
        <f>_xlfn.LET(_xlpm.x,VLOOKUP($B267,spell_header!$B$2:$G$373,2,FALSE),IF(_xlpm.x="","",_xlpm.x))</f>
        <v>说明文本对象名称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/>
      </c>
      <c r="F267" t="str">
        <f>_xlfn.LET(_xlpm.x,VLOOKUP($B267,spell_header!$B$2:$G$373,5,FALSE),IF(_xlpm.x="","",_xlpm.x))</f>
        <v/>
      </c>
      <c r="G267">
        <v>178</v>
      </c>
    </row>
    <row r="268" spans="1:7" ht="15" x14ac:dyDescent="0.2">
      <c r="A268">
        <v>266</v>
      </c>
      <c r="B268" s="1" t="s">
        <v>2033</v>
      </c>
      <c r="C268" t="str">
        <f>_xlfn.LET(_xlpm.x,VLOOKUP($B268,spell_header!$B$2:$G$373,2,FALSE),IF(_xlpm.x="","",_xlpm.x))</f>
        <v>说明文本格式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/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2034</v>
      </c>
      <c r="C269" t="str">
        <f>_xlfn.LET(_xlpm.x,VLOOKUP($B269,spell_header!$B$2:$G$373,2,FALSE),IF(_xlpm.x="","",_xlpm.x))</f>
        <v>扩展说明文本可用性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b">
        <f>_xlfn.LET(_xlpm.x,VLOOKUP($B269,spell_header!$B$2:$G$373,5,FALSE),IF(_xlpm.x="","",_xlpm.x))</f>
        <v>1</v>
      </c>
      <c r="G269">
        <v>180</v>
      </c>
    </row>
    <row r="270" spans="1:7" ht="15" x14ac:dyDescent="0.2">
      <c r="A270">
        <v>268</v>
      </c>
      <c r="B270" s="1" t="s">
        <v>1424</v>
      </c>
      <c r="C270" t="str">
        <f>_xlfn.LET(_xlpm.x,VLOOKUP($B270,spell_header!$B$2:$G$373,2,FALSE),IF(_xlpm.x="","",_xlpm.x))</f>
        <v>未格式化名称键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181</v>
      </c>
    </row>
    <row r="271" spans="1:7" ht="15" x14ac:dyDescent="0.2">
      <c r="A271">
        <v>269</v>
      </c>
      <c r="B271" s="1" t="s">
        <v>1425</v>
      </c>
      <c r="C271" t="str">
        <f>_xlfn.LET(_xlpm.x,VLOOKUP($B271,spell_header!$B$2:$G$373,2,FALSE),IF(_xlpm.x="","",_xlpm.x))</f>
        <v>凯隐专用升级类型键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221</v>
      </c>
    </row>
    <row r="272" spans="1:7" ht="15" x14ac:dyDescent="0.2">
      <c r="A272">
        <v>270</v>
      </c>
      <c r="B272" s="1" t="s">
        <v>1426</v>
      </c>
      <c r="C272" t="str">
        <f>_xlfn.LET(_xlpm.x,VLOOKUP($B272,spell_header!$B$2:$G$373,2,FALSE),IF(_xlpm.x="","",_xlpm.x))</f>
        <v>凯隐专用升级数值键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226</v>
      </c>
    </row>
    <row r="273" spans="1:7" ht="15" x14ac:dyDescent="0.2">
      <c r="A273">
        <v>271</v>
      </c>
      <c r="B273" s="1" t="s">
        <v>1427</v>
      </c>
      <c r="C273" t="str">
        <f>_xlfn.LET(_xlpm.x,VLOOKUP($B273,spell_header!$B$2:$G$373,2,FALSE),IF(_xlpm.x="","",_xlpm.x))</f>
        <v>名称键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4</v>
      </c>
    </row>
    <row r="274" spans="1:7" ht="15" x14ac:dyDescent="0.2">
      <c r="A274">
        <v>272</v>
      </c>
      <c r="B274" s="1" t="s">
        <v>1428</v>
      </c>
      <c r="C274" t="str">
        <f>_xlfn.LET(_xlpm.x,VLOOKUP($B274,spell_header!$B$2:$G$373,2,FALSE),IF(_xlpm.x="","",_xlpm.x))</f>
        <v>热键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184</v>
      </c>
    </row>
    <row r="275" spans="1:7" ht="15" x14ac:dyDescent="0.2">
      <c r="A275">
        <v>273</v>
      </c>
      <c r="B275" s="1" t="s">
        <v>1429</v>
      </c>
      <c r="C275" t="str">
        <f>_xlfn.LET(_xlpm.x,VLOOKUP($B275,spell_header!$B$2:$G$373,2,FALSE),IF(_xlpm.x="","",_xlpm.x))</f>
        <v>厄斐琉斯专用升级文本键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231</v>
      </c>
    </row>
    <row r="276" spans="1:7" ht="15" x14ac:dyDescent="0.2">
      <c r="A276">
        <v>274</v>
      </c>
      <c r="B276" s="1" t="s">
        <v>1430</v>
      </c>
      <c r="C276" t="str">
        <f>_xlfn.LET(_xlpm.x,VLOOKUP($B276,spell_header!$B$2:$G$373,2,FALSE),IF(_xlpm.x="","",_xlpm.x))</f>
        <v>厄斐琉斯专用升级文本属性名称键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236</v>
      </c>
    </row>
    <row r="277" spans="1:7" ht="15" x14ac:dyDescent="0.2">
      <c r="A277">
        <v>275</v>
      </c>
      <c r="B277" s="1" t="s">
        <v>1431</v>
      </c>
      <c r="C277" t="str">
        <f>_xlfn.LET(_xlpm.x,VLOOKUP($B277,spell_header!$B$2:$G$373,2,FALSE),IF(_xlpm.x="","",_xlpm.x))</f>
        <v>简介键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195</v>
      </c>
    </row>
    <row r="278" spans="1:7" ht="15" x14ac:dyDescent="0.2">
      <c r="A278">
        <v>276</v>
      </c>
      <c r="B278" s="1" t="s">
        <v>1432</v>
      </c>
      <c r="C278" t="str">
        <f>_xlfn.LET(_xlpm.x,VLOOKUP($B278,spell_header!$B$2:$G$373,2,FALSE),IF(_xlpm.x="","",_xlpm.x))</f>
        <v>说明文本键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198</v>
      </c>
    </row>
    <row r="279" spans="1:7" ht="15" x14ac:dyDescent="0.2">
      <c r="A279">
        <v>277</v>
      </c>
      <c r="B279" s="1" t="s">
        <v>1433</v>
      </c>
      <c r="C279" t="str">
        <f>_xlfn.LET(_xlpm.x,VLOOKUP($B279,spell_header!$B$2:$G$373,2,FALSE),IF(_xlpm.x="","",_xlpm.x))</f>
        <v>消耗施法资源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185</v>
      </c>
    </row>
    <row r="280" spans="1:7" ht="15" x14ac:dyDescent="0.2">
      <c r="A280">
        <v>278</v>
      </c>
      <c r="B280" s="1" t="s">
        <v>1434</v>
      </c>
      <c r="C280" t="str">
        <f>_xlfn.LET(_xlpm.x,VLOOKUP($B280,spell_header!$B$2:$G$373,2,FALSE),IF(_xlpm.x="","",_xlpm.x))</f>
        <v>简要描述键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203</v>
      </c>
    </row>
    <row r="281" spans="1:7" ht="15" x14ac:dyDescent="0.2">
      <c r="A281">
        <v>279</v>
      </c>
      <c r="B281" s="1" t="s">
        <v>1435</v>
      </c>
      <c r="C281" t="str">
        <f>_xlfn.LET(_xlpm.x,VLOOKUP($B281,spell_header!$B$2:$G$373,2,FALSE),IF(_xlpm.x="","",_xlpm.x))</f>
        <v>详细描述键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208</v>
      </c>
    </row>
    <row r="282" spans="1:7" ht="15" x14ac:dyDescent="0.2">
      <c r="A282">
        <v>280</v>
      </c>
      <c r="B282" s="1" t="s">
        <v>1436</v>
      </c>
      <c r="C282" t="str">
        <f>_xlfn.LET(_xlpm.x,VLOOKUP($B282,spell_header!$B$2:$G$373,2,FALSE),IF(_xlpm.x="","",_xlpm.x))</f>
        <v>冷却时间键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190</v>
      </c>
    </row>
    <row r="283" spans="1:7" ht="15" x14ac:dyDescent="0.2">
      <c r="A283">
        <v>281</v>
      </c>
      <c r="B283" s="1" t="s">
        <v>1437</v>
      </c>
      <c r="C283" t="str">
        <f>_xlfn.LET(_xlpm.x,VLOOKUP($B283,spell_header!$B$2:$G$373,2,FALSE),IF(_xlpm.x="","",_xlpm.x))</f>
        <v>附加文本键</v>
      </c>
      <c r="D283" s="4" t="str">
        <f>IF(VLOOKUP($B283,spell_header!$B$2:$G$373,3,FALSE)="√","√","")</f>
        <v>√</v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213</v>
      </c>
    </row>
    <row r="284" spans="1:7" ht="15" x14ac:dyDescent="0.2">
      <c r="A284">
        <v>282</v>
      </c>
      <c r="B284" s="1" t="s">
        <v>3837</v>
      </c>
      <c r="C284" t="str">
        <f>_xlfn.LET(_xlpm.x,VLOOKUP($B284,spell_header!$B$2:$G$373,2,FALSE),IF(_xlpm.x="","",_xlpm.x))</f>
        <v>选用名称键</v>
      </c>
      <c r="D284" s="4" t="str">
        <f>IF(VLOOKUP($B284,spell_header!$B$2:$G$373,3,FALSE)="√","√","")</f>
        <v>√</v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218</v>
      </c>
    </row>
    <row r="285" spans="1:7" ht="15" x14ac:dyDescent="0.2">
      <c r="A285">
        <v>283</v>
      </c>
      <c r="B285" s="6" t="s">
        <v>1438</v>
      </c>
      <c r="C285" t="str">
        <f>_xlfn.LET(_xlpm.x,VLOOKUP($B285,spell_header!$B$2:$G$373,2,FALSE),IF(_xlpm.x="","",_xlpm.x))</f>
        <v>未格式化名称（中文）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182</v>
      </c>
    </row>
    <row r="286" spans="1:7" ht="15" x14ac:dyDescent="0.2">
      <c r="A286">
        <v>284</v>
      </c>
      <c r="B286" s="6" t="s">
        <v>1439</v>
      </c>
      <c r="C286" t="str">
        <f>_xlfn.LET(_xlpm.x,VLOOKUP($B286,spell_header!$B$2:$G$373,2,FALSE),IF(_xlpm.x="","",_xlpm.x))</f>
        <v>未格式化名称（英文）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183</v>
      </c>
    </row>
    <row r="287" spans="1:7" ht="15" x14ac:dyDescent="0.2">
      <c r="A287">
        <v>285</v>
      </c>
      <c r="B287" s="6" t="s">
        <v>1440</v>
      </c>
      <c r="C287" t="str">
        <f>_xlfn.LET(_xlpm.x,VLOOKUP($B287,spell_header!$B$2:$G$373,2,FALSE),IF(_xlpm.x="","",_xlpm.x))</f>
        <v>凯隐特有升级类型（中文）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1441</v>
      </c>
      <c r="C288" t="str">
        <f>_xlfn.LET(_xlpm.x,VLOOKUP($B288,spell_header!$B$2:$G$373,2,FALSE),IF(_xlpm.x="","",_xlpm.x))</f>
        <v>凯隐特有升级类型（英文）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3745</v>
      </c>
      <c r="C289" t="str">
        <f>_xlfn.LET(_xlpm.x,VLOOKUP($B289,spell_header!$B$2:$G$373,2,FALSE),IF(_xlpm.x="","",_xlpm.x))</f>
        <v>凯隐特有升级类型（中文/数值转换）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3746</v>
      </c>
      <c r="C290" t="str">
        <f>_xlfn.LET(_xlpm.x,VLOOKUP($B290,spell_header!$B$2:$G$373,2,FALSE),IF(_xlpm.x="","",_xlpm.x))</f>
        <v>凯隐特有升级类型（英文/数值转换）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1442</v>
      </c>
      <c r="C291" t="str">
        <f>_xlfn.LET(_xlpm.x,VLOOKUP($B291,spell_header!$B$2:$G$373,2,FALSE),IF(_xlpm.x="","",_xlpm.x))</f>
        <v>凯隐特有升级数值（中文）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1443</v>
      </c>
      <c r="C292" t="str">
        <f>_xlfn.LET(_xlpm.x,VLOOKUP($B292,spell_header!$B$2:$G$373,2,FALSE),IF(_xlpm.x="","",_xlpm.x))</f>
        <v>凯隐特有升级数值（英文）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3741</v>
      </c>
      <c r="C293" t="str">
        <f>_xlfn.LET(_xlpm.x,VLOOKUP($B293,spell_header!$B$2:$G$373,2,FALSE),IF(_xlpm.x="","",_xlpm.x))</f>
        <v>凯隐特有升级数值（中文/数值转换）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3742</v>
      </c>
      <c r="C294" t="str">
        <f>_xlfn.LET(_xlpm.x,VLOOKUP($B294,spell_header!$B$2:$G$373,2,FALSE),IF(_xlpm.x="","",_xlpm.x))</f>
        <v>凯隐特有升级数值（英文/数值转换）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2076</v>
      </c>
      <c r="C295" t="str">
        <f>_xlfn.LET(_xlpm.x,VLOOKUP($B295,spell_header!$B$2:$G$373,2,FALSE),IF(_xlpm.x="","",_xlpm.x))</f>
        <v>名称（中文）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5</v>
      </c>
    </row>
    <row r="296" spans="1:7" ht="15" x14ac:dyDescent="0.2">
      <c r="A296">
        <v>294</v>
      </c>
      <c r="B296" s="6" t="s">
        <v>2077</v>
      </c>
      <c r="C296" t="str">
        <f>_xlfn.LET(_xlpm.x,VLOOKUP($B296,spell_header!$B$2:$G$373,2,FALSE),IF(_xlpm.x="","",_xlpm.x))</f>
        <v>名称（英文）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6</v>
      </c>
    </row>
    <row r="297" spans="1:7" ht="15" x14ac:dyDescent="0.2">
      <c r="A297">
        <v>295</v>
      </c>
      <c r="B297" s="6" t="s">
        <v>1444</v>
      </c>
      <c r="C297" t="str">
        <f>_xlfn.LET(_xlpm.x,VLOOKUP($B297,spell_header!$B$2:$G$373,2,FALSE),IF(_xlpm.x="","",_xlpm.x))</f>
        <v>厄斐琉斯专用升级文本（中文）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232</v>
      </c>
    </row>
    <row r="298" spans="1:7" ht="15" x14ac:dyDescent="0.2">
      <c r="A298">
        <v>296</v>
      </c>
      <c r="B298" s="6" t="s">
        <v>1445</v>
      </c>
      <c r="C298" t="str">
        <f>_xlfn.LET(_xlpm.x,VLOOKUP($B298,spell_header!$B$2:$G$373,2,FALSE),IF(_xlpm.x="","",_xlpm.x))</f>
        <v>厄斐琉斯专用升级文本（英文）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234</v>
      </c>
    </row>
    <row r="299" spans="1:7" ht="15" x14ac:dyDescent="0.2">
      <c r="A299">
        <v>297</v>
      </c>
      <c r="B299" s="6" t="s">
        <v>1446</v>
      </c>
      <c r="C299" t="str">
        <f>_xlfn.LET(_xlpm.x,VLOOKUP($B299,spell_header!$B$2:$G$373,2,FALSE),IF(_xlpm.x="","",_xlpm.x))</f>
        <v>厄斐琉斯专用升级文本（中文/数值转换）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233</v>
      </c>
    </row>
    <row r="300" spans="1:7" ht="15" x14ac:dyDescent="0.2">
      <c r="A300">
        <v>298</v>
      </c>
      <c r="B300" s="6" t="s">
        <v>1447</v>
      </c>
      <c r="C300" t="str">
        <f>_xlfn.LET(_xlpm.x,VLOOKUP($B300,spell_header!$B$2:$G$373,2,FALSE),IF(_xlpm.x="","",_xlpm.x))</f>
        <v>厄斐琉斯专用升级文本（英文/数值转换）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235</v>
      </c>
    </row>
    <row r="301" spans="1:7" ht="15" x14ac:dyDescent="0.2">
      <c r="A301">
        <v>299</v>
      </c>
      <c r="B301" s="6" t="s">
        <v>1448</v>
      </c>
      <c r="C301" t="str">
        <f>_xlfn.LET(_xlpm.x,VLOOKUP($B301,spell_header!$B$2:$G$373,2,FALSE),IF(_xlpm.x="","",_xlpm.x))</f>
        <v>厄斐琉斯专用升级文本属性名称（中文）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237</v>
      </c>
    </row>
    <row r="302" spans="1:7" ht="15" x14ac:dyDescent="0.2">
      <c r="A302">
        <v>300</v>
      </c>
      <c r="B302" s="6" t="s">
        <v>1449</v>
      </c>
      <c r="C302" t="str">
        <f>_xlfn.LET(_xlpm.x,VLOOKUP($B302,spell_header!$B$2:$G$373,2,FALSE),IF(_xlpm.x="","",_xlpm.x))</f>
        <v>厄斐琉斯专用升级文本属性名称（英文）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239</v>
      </c>
    </row>
    <row r="303" spans="1:7" ht="15" x14ac:dyDescent="0.2">
      <c r="A303">
        <v>301</v>
      </c>
      <c r="B303" s="6" t="s">
        <v>1450</v>
      </c>
      <c r="C303" t="str">
        <f>_xlfn.LET(_xlpm.x,VLOOKUP($B303,spell_header!$B$2:$G$373,2,FALSE),IF(_xlpm.x="","",_xlpm.x))</f>
        <v>厄斐琉斯专用升级文本属性名称（中文/数值转换）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238</v>
      </c>
    </row>
    <row r="304" spans="1:7" ht="15" x14ac:dyDescent="0.2">
      <c r="A304">
        <v>302</v>
      </c>
      <c r="B304" s="6" t="s">
        <v>1451</v>
      </c>
      <c r="C304" t="str">
        <f>_xlfn.LET(_xlpm.x,VLOOKUP($B304,spell_header!$B$2:$G$373,2,FALSE),IF(_xlpm.x="","",_xlpm.x))</f>
        <v>厄斐琉斯专用升级文本属性名称（英文/数值转换）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240</v>
      </c>
    </row>
    <row r="305" spans="1:7" ht="15" x14ac:dyDescent="0.2">
      <c r="A305">
        <v>303</v>
      </c>
      <c r="B305" s="6" t="s">
        <v>1452</v>
      </c>
      <c r="C305" t="str">
        <f>_xlfn.LET(_xlpm.x,VLOOKUP($B305,spell_header!$B$2:$G$373,2,FALSE),IF(_xlpm.x="","",_xlpm.x))</f>
        <v>简介（中文）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196</v>
      </c>
    </row>
    <row r="306" spans="1:7" ht="15" x14ac:dyDescent="0.2">
      <c r="A306">
        <v>304</v>
      </c>
      <c r="B306" s="6" t="s">
        <v>1453</v>
      </c>
      <c r="C306" t="str">
        <f>_xlfn.LET(_xlpm.x,VLOOKUP($B306,spell_header!$B$2:$G$373,2,FALSE),IF(_xlpm.x="","",_xlpm.x))</f>
        <v>简介（英文）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197</v>
      </c>
    </row>
    <row r="307" spans="1:7" ht="15" x14ac:dyDescent="0.2">
      <c r="A307">
        <v>305</v>
      </c>
      <c r="B307" s="6" t="s">
        <v>1454</v>
      </c>
      <c r="C307" t="str">
        <f>_xlfn.LET(_xlpm.x,VLOOKUP($B307,spell_header!$B$2:$G$373,2,FALSE),IF(_xlpm.x="","",_xlpm.x))</f>
        <v>说明文本（中文）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199</v>
      </c>
    </row>
    <row r="308" spans="1:7" ht="15" x14ac:dyDescent="0.2">
      <c r="A308">
        <v>306</v>
      </c>
      <c r="B308" s="6" t="s">
        <v>1455</v>
      </c>
      <c r="C308" t="str">
        <f>_xlfn.LET(_xlpm.x,VLOOKUP($B308,spell_header!$B$2:$G$373,2,FALSE),IF(_xlpm.x="","",_xlpm.x))</f>
        <v>说明文本（英文）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201</v>
      </c>
    </row>
    <row r="309" spans="1:7" ht="15" x14ac:dyDescent="0.2">
      <c r="A309">
        <v>307</v>
      </c>
      <c r="B309" s="6" t="s">
        <v>1456</v>
      </c>
      <c r="C309" t="str">
        <f>_xlfn.LET(_xlpm.x,VLOOKUP($B309,spell_header!$B$2:$G$373,2,FALSE),IF(_xlpm.x="","",_xlpm.x))</f>
        <v>说明文本（中文/数值转换）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200</v>
      </c>
    </row>
    <row r="310" spans="1:7" ht="15" x14ac:dyDescent="0.2">
      <c r="A310">
        <v>308</v>
      </c>
      <c r="B310" s="6" t="s">
        <v>1457</v>
      </c>
      <c r="C310" t="str">
        <f>_xlfn.LET(_xlpm.x,VLOOKUP($B310,spell_header!$B$2:$G$373,2,FALSE),IF(_xlpm.x="","",_xlpm.x))</f>
        <v>说明文本（英文/数值转换）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202</v>
      </c>
    </row>
    <row r="311" spans="1:7" ht="15" x14ac:dyDescent="0.2">
      <c r="A311">
        <v>309</v>
      </c>
      <c r="B311" s="6" t="s">
        <v>1458</v>
      </c>
      <c r="C311" t="str">
        <f>_xlfn.LET(_xlpm.x,VLOOKUP($B311,spell_header!$B$2:$G$373,2,FALSE),IF(_xlpm.x="","",_xlpm.x))</f>
        <v>消耗施法资源（中文）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186</v>
      </c>
    </row>
    <row r="312" spans="1:7" ht="15" x14ac:dyDescent="0.2">
      <c r="A312">
        <v>310</v>
      </c>
      <c r="B312" s="6" t="s">
        <v>1459</v>
      </c>
      <c r="C312" t="str">
        <f>_xlfn.LET(_xlpm.x,VLOOKUP($B312,spell_header!$B$2:$G$373,2,FALSE),IF(_xlpm.x="","",_xlpm.x))</f>
        <v>消耗施法资源（英文）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188</v>
      </c>
    </row>
    <row r="313" spans="1:7" ht="15" x14ac:dyDescent="0.2">
      <c r="A313">
        <v>311</v>
      </c>
      <c r="B313" s="6" t="s">
        <v>1460</v>
      </c>
      <c r="C313" t="str">
        <f>_xlfn.LET(_xlpm.x,VLOOKUP($B313,spell_header!$B$2:$G$373,2,FALSE),IF(_xlpm.x="","",_xlpm.x))</f>
        <v>消耗施法资源（中文/数值转换）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187</v>
      </c>
    </row>
    <row r="314" spans="1:7" ht="15" x14ac:dyDescent="0.2">
      <c r="A314">
        <v>312</v>
      </c>
      <c r="B314" s="6" t="s">
        <v>1461</v>
      </c>
      <c r="C314" t="str">
        <f>_xlfn.LET(_xlpm.x,VLOOKUP($B314,spell_header!$B$2:$G$373,2,FALSE),IF(_xlpm.x="","",_xlpm.x))</f>
        <v>消耗施法资源（英文/数值转换）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189</v>
      </c>
    </row>
    <row r="315" spans="1:7" ht="15" x14ac:dyDescent="0.2">
      <c r="A315">
        <v>313</v>
      </c>
      <c r="B315" s="6" t="s">
        <v>1462</v>
      </c>
      <c r="C315" t="str">
        <f>_xlfn.LET(_xlpm.x,VLOOKUP($B315,spell_header!$B$2:$G$373,2,FALSE),IF(_xlpm.x="","",_xlpm.x))</f>
        <v>简述（中文）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204</v>
      </c>
    </row>
    <row r="316" spans="1:7" ht="15" x14ac:dyDescent="0.2">
      <c r="A316">
        <v>314</v>
      </c>
      <c r="B316" s="6" t="s">
        <v>1463</v>
      </c>
      <c r="C316" t="str">
        <f>_xlfn.LET(_xlpm.x,VLOOKUP($B316,spell_header!$B$2:$G$373,2,FALSE),IF(_xlpm.x="","",_xlpm.x))</f>
        <v>简述（英文）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206</v>
      </c>
    </row>
    <row r="317" spans="1:7" ht="15" x14ac:dyDescent="0.2">
      <c r="A317">
        <v>315</v>
      </c>
      <c r="B317" s="6" t="s">
        <v>1464</v>
      </c>
      <c r="C317" t="str">
        <f>_xlfn.LET(_xlpm.x,VLOOKUP($B317,spell_header!$B$2:$G$373,2,FALSE),IF(_xlpm.x="","",_xlpm.x))</f>
        <v>简述（中文/数值转换）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205</v>
      </c>
    </row>
    <row r="318" spans="1:7" ht="15" x14ac:dyDescent="0.2">
      <c r="A318">
        <v>316</v>
      </c>
      <c r="B318" s="6" t="s">
        <v>1465</v>
      </c>
      <c r="C318" t="str">
        <f>_xlfn.LET(_xlpm.x,VLOOKUP($B318,spell_header!$B$2:$G$373,2,FALSE),IF(_xlpm.x="","",_xlpm.x))</f>
        <v>简述（英文/数值转换）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207</v>
      </c>
    </row>
    <row r="319" spans="1:7" ht="15" x14ac:dyDescent="0.2">
      <c r="A319">
        <v>317</v>
      </c>
      <c r="B319" s="6" t="s">
        <v>1466</v>
      </c>
      <c r="C319" t="str">
        <f>_xlfn.LET(_xlpm.x,VLOOKUP($B319,spell_header!$B$2:$G$373,2,FALSE),IF(_xlpm.x="","",_xlpm.x))</f>
        <v>详细描述（中文）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209</v>
      </c>
    </row>
    <row r="320" spans="1:7" ht="15" x14ac:dyDescent="0.2">
      <c r="A320">
        <v>318</v>
      </c>
      <c r="B320" s="6" t="s">
        <v>1467</v>
      </c>
      <c r="C320" t="str">
        <f>_xlfn.LET(_xlpm.x,VLOOKUP($B320,spell_header!$B$2:$G$373,2,FALSE),IF(_xlpm.x="","",_xlpm.x))</f>
        <v>详细描述（英文）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211</v>
      </c>
    </row>
    <row r="321" spans="1:7" ht="15" x14ac:dyDescent="0.2">
      <c r="A321">
        <v>319</v>
      </c>
      <c r="B321" s="6" t="s">
        <v>1468</v>
      </c>
      <c r="C321" t="str">
        <f>_xlfn.LET(_xlpm.x,VLOOKUP($B321,spell_header!$B$2:$G$373,2,FALSE),IF(_xlpm.x="","",_xlpm.x))</f>
        <v>详细描述（中文/数值转换）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210</v>
      </c>
    </row>
    <row r="322" spans="1:7" ht="15" x14ac:dyDescent="0.2">
      <c r="A322">
        <v>320</v>
      </c>
      <c r="B322" s="6" t="s">
        <v>1469</v>
      </c>
      <c r="C322" t="str">
        <f>_xlfn.LET(_xlpm.x,VLOOKUP($B322,spell_header!$B$2:$G$373,2,FALSE),IF(_xlpm.x="","",_xlpm.x))</f>
        <v>详细描述（英文/数值转换）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212</v>
      </c>
    </row>
    <row r="323" spans="1:7" ht="15" x14ac:dyDescent="0.2">
      <c r="A323">
        <v>321</v>
      </c>
      <c r="B323" s="6" t="s">
        <v>1470</v>
      </c>
      <c r="C323" t="str">
        <f>_xlfn.LET(_xlpm.x,VLOOKUP($B323,spell_header!$B$2:$G$373,2,FALSE),IF(_xlpm.x="","",_xlpm.x))</f>
        <v>冷却时间（中文）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191</v>
      </c>
    </row>
    <row r="324" spans="1:7" ht="15" x14ac:dyDescent="0.2">
      <c r="A324">
        <v>322</v>
      </c>
      <c r="B324" s="6" t="s">
        <v>1471</v>
      </c>
      <c r="C324" t="str">
        <f>_xlfn.LET(_xlpm.x,VLOOKUP($B324,spell_header!$B$2:$G$373,2,FALSE),IF(_xlpm.x="","",_xlpm.x))</f>
        <v>冷却时间（英文）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193</v>
      </c>
    </row>
    <row r="325" spans="1:7" ht="15" x14ac:dyDescent="0.2">
      <c r="A325">
        <v>323</v>
      </c>
      <c r="B325" s="6" t="s">
        <v>1472</v>
      </c>
      <c r="C325" t="str">
        <f>_xlfn.LET(_xlpm.x,VLOOKUP($B325,spell_header!$B$2:$G$373,2,FALSE),IF(_xlpm.x="","",_xlpm.x))</f>
        <v>冷却时间（中文/数值转换）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192</v>
      </c>
    </row>
    <row r="326" spans="1:7" ht="15" x14ac:dyDescent="0.2">
      <c r="A326">
        <v>324</v>
      </c>
      <c r="B326" s="6" t="s">
        <v>1473</v>
      </c>
      <c r="C326" t="str">
        <f>_xlfn.LET(_xlpm.x,VLOOKUP($B326,spell_header!$B$2:$G$373,2,FALSE),IF(_xlpm.x="","",_xlpm.x))</f>
        <v>冷却时间（英文/数值转换）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194</v>
      </c>
    </row>
    <row r="327" spans="1:7" ht="15" x14ac:dyDescent="0.2">
      <c r="A327">
        <v>325</v>
      </c>
      <c r="B327" s="6" t="s">
        <v>1474</v>
      </c>
      <c r="C327" t="str">
        <f>_xlfn.LET(_xlpm.x,VLOOKUP($B327,spell_header!$B$2:$G$373,2,FALSE),IF(_xlpm.x="","",_xlpm.x))</f>
        <v>附加文本（中文）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214</v>
      </c>
    </row>
    <row r="328" spans="1:7" ht="15" x14ac:dyDescent="0.2">
      <c r="A328">
        <v>326</v>
      </c>
      <c r="B328" s="6" t="s">
        <v>1475</v>
      </c>
      <c r="C328" t="str">
        <f>_xlfn.LET(_xlpm.x,VLOOKUP($B328,spell_header!$B$2:$G$373,2,FALSE),IF(_xlpm.x="","",_xlpm.x))</f>
        <v>附加文本（英文）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216</v>
      </c>
    </row>
    <row r="329" spans="1:7" ht="15" x14ac:dyDescent="0.2">
      <c r="A329">
        <v>327</v>
      </c>
      <c r="B329" s="6" t="s">
        <v>1476</v>
      </c>
      <c r="C329" t="str">
        <f>_xlfn.LET(_xlpm.x,VLOOKUP($B329,spell_header!$B$2:$G$373,2,FALSE),IF(_xlpm.x="","",_xlpm.x))</f>
        <v>附加文本（中文/数值转换）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215</v>
      </c>
    </row>
    <row r="330" spans="1:7" ht="15" x14ac:dyDescent="0.2">
      <c r="A330">
        <v>328</v>
      </c>
      <c r="B330" s="6" t="s">
        <v>1477</v>
      </c>
      <c r="C330" t="str">
        <f>_xlfn.LET(_xlpm.x,VLOOKUP($B330,spell_header!$B$2:$G$373,2,FALSE),IF(_xlpm.x="","",_xlpm.x))</f>
        <v>附加文本（英文/数值转换）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217</v>
      </c>
    </row>
    <row r="331" spans="1:7" ht="15" x14ac:dyDescent="0.2">
      <c r="A331">
        <v>329</v>
      </c>
      <c r="B331" s="6" t="s">
        <v>3838</v>
      </c>
      <c r="C331" t="str">
        <f>_xlfn.LET(_xlpm.x,VLOOKUP($B331,spell_header!$B$2:$G$373,2,FALSE),IF(_xlpm.x="","",_xlpm.x))</f>
        <v>选用名称（中文）</v>
      </c>
      <c r="D331" s="4" t="str">
        <f>IF(VLOOKUP($B331,spell_header!$B$2:$G$373,3,FALSE)="√","√","")</f>
        <v/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219</v>
      </c>
    </row>
    <row r="332" spans="1:7" ht="15" x14ac:dyDescent="0.2">
      <c r="A332">
        <v>330</v>
      </c>
      <c r="B332" s="6" t="s">
        <v>3839</v>
      </c>
      <c r="C332" t="str">
        <f>_xlfn.LET(_xlpm.x,VLOOKUP($B332,spell_header!$B$2:$G$373,2,FALSE),IF(_xlpm.x="","",_xlpm.x))</f>
        <v>选用名称（英文）</v>
      </c>
      <c r="D332" s="4" t="str">
        <f>IF(VLOOKUP($B332,spell_header!$B$2:$G$373,3,FALSE)="√","√","")</f>
        <v/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220</v>
      </c>
    </row>
    <row r="333" spans="1:7" ht="15" x14ac:dyDescent="0.2">
      <c r="A333">
        <v>331</v>
      </c>
      <c r="B333" s="1" t="s">
        <v>2038</v>
      </c>
      <c r="C333" t="str">
        <f>_xlfn.LET(_xlpm.x,VLOOKUP($B333,spell_header!$B$2:$G$373,2,FALSE),IF(_xlpm.x="","",_xlpm.x))</f>
        <v>技能等级数量</v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176</v>
      </c>
    </row>
    <row r="334" spans="1:7" ht="15" x14ac:dyDescent="0.2">
      <c r="A334">
        <v>332</v>
      </c>
      <c r="B334" s="1" t="s">
        <v>2039</v>
      </c>
      <c r="C334" t="str">
        <f>_xlfn.LET(_xlpm.x,VLOOKUP($B334,spell_header!$B$2:$G$373,2,FALSE),IF(_xlpm.x="","",_xlpm.x))</f>
        <v>技能升级要素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str">
        <f>_xlfn.LET(_xlpm.x,VLOOKUP($B334,spell_header!$B$2:$G$373,5,FALSE),IF(_xlpm.x="","",_xlpm.x))</f>
        <v/>
      </c>
      <c r="G334">
        <v>177</v>
      </c>
    </row>
    <row r="335" spans="1:7" ht="15" x14ac:dyDescent="0.2">
      <c r="A335">
        <v>333</v>
      </c>
      <c r="B335" s="1" t="s">
        <v>2024</v>
      </c>
      <c r="C335" t="str">
        <f>_xlfn.LET(_xlpm.x,VLOOKUP($B335,spell_header!$B$2:$G$373,2,FALSE),IF(_xlpm.x="","",_xlpm.x))</f>
        <v/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>√</v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2043</v>
      </c>
      <c r="C336" t="str">
        <f>_xlfn.LET(_xlpm.x,VLOOKUP($B336,spell_header!$B$2:$G$373,2,FALSE),IF(_xlpm.x="","",_xlpm.x))</f>
        <v>生成单位管理：增益名称过滤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2042</v>
      </c>
      <c r="C337" t="str">
        <f>_xlfn.LET(_xlpm.x,VLOOKUP($B337,spell_header!$B$2:$G$373,2,FALSE),IF(_xlpm.x="","",_xlpm.x))</f>
        <v>生成单位管理：最大单位数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/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2025</v>
      </c>
      <c r="C338" t="str">
        <f>_xlfn.LET(_xlpm.x,VLOOKUP($B338,spell_header!$B$2:$G$373,2,FALSE),IF(_xlpm.x="","",_xlpm.x))</f>
        <v>目标器定义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2026</v>
      </c>
      <c r="C339" t="str">
        <f>_xlfn.LET(_xlpm.x,VLOOKUP($B339,spell_header!$B$2:$G$373,2,FALSE),IF(_xlpm.x="","",_xlpm.x))</f>
        <v>个性化目标器定义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2027</v>
      </c>
      <c r="C340" t="str">
        <f>_xlfn.LET(_xlpm.x,VLOOKUP($B340,spell_header!$B$2:$G$373,2,FALSE),IF(_xlpm.x="","",_xlpm.x))</f>
        <v>鼠标左键单击动作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str">
        <f>_xlfn.LET(_xlpm.x,VLOOKUP($B340,spell_header!$B$2:$G$373,5,FALSE),IF(_xlpm.x="","",_xlpm.x))</f>
        <v/>
      </c>
      <c r="G340">
        <v>246</v>
      </c>
    </row>
    <row r="341" spans="1:7" ht="15" x14ac:dyDescent="0.2">
      <c r="A341">
        <v>339</v>
      </c>
      <c r="B341" s="1" t="s">
        <v>2028</v>
      </c>
      <c r="C341" t="str">
        <f>_xlfn.LET(_xlpm.x,VLOOKUP($B341,spell_header!$B$2:$G$373,2,FALSE),IF(_xlpm.x="","",_xlpm.x))</f>
        <v>鼠标右键单击动作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3840</v>
      </c>
      <c r="C342" t="str">
        <f>_xlfn.LET(_xlpm.x,VLOOKUP($B342,spell_header!$B$2:$G$373,2,FALSE),IF(_xlpm.x="","",_xlpm.x))</f>
        <v>具有模式专属瞄准指示器</v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1725</v>
      </c>
      <c r="C343" t="str">
        <f>_xlfn.LET(_xlpm.x,VLOOKUP($B343,spell_header!$B$2:$G$373,2,FALSE),IF(_xlpm.x="","",_xlpm.x))</f>
        <v/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249</v>
      </c>
    </row>
    <row r="344" spans="1:7" ht="15" x14ac:dyDescent="0.2">
      <c r="A344">
        <v>342</v>
      </c>
      <c r="B344" s="1" t="s">
        <v>1726</v>
      </c>
      <c r="C344" t="str">
        <f>_xlfn.LET(_xlpm.x,VLOOKUP($B344,spell_header!$B$2:$G$373,2,FALSE),IF(_xlpm.x="","",_xlpm.x))</f>
        <v/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b">
        <f>_xlfn.LET(_xlpm.x,VLOOKUP($B344,spell_header!$B$2:$G$373,5,FALSE),IF(_xlpm.x="","",_xlpm.x))</f>
        <v>0</v>
      </c>
      <c r="G344">
        <v>250</v>
      </c>
    </row>
    <row r="345" spans="1:7" ht="15" x14ac:dyDescent="0.2">
      <c r="A345">
        <v>343</v>
      </c>
      <c r="B345" s="1" t="s">
        <v>1478</v>
      </c>
      <c r="C345" t="str">
        <f>_xlfn.LET(_xlpm.x,VLOOKUP($B345,spell_header!$B$2:$G$373,2,FALSE),IF(_xlpm.x="","",_xlpm.x))</f>
        <v>自我控制状态下目标选择优先级列表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/>
      </c>
      <c r="F345" t="str">
        <f>_xlfn.LET(_xlpm.x,VLOOKUP($B345,spell_header!$B$2:$G$373,5,FALSE),IF(_xlpm.x="","",_xlpm.x))</f>
        <v/>
      </c>
      <c r="G345">
        <v>255</v>
      </c>
    </row>
    <row r="346" spans="1:7" ht="15" x14ac:dyDescent="0.2">
      <c r="A346">
        <v>344</v>
      </c>
      <c r="B346" s="1" t="s">
        <v>1479</v>
      </c>
      <c r="C346" t="str">
        <f>_xlfn.LET(_xlpm.x,VLOOKUP($B346,spell_header!$B$2:$G$373,2,FALSE),IF(_xlpm.x="","",_xlpm.x))</f>
        <v>自我控制技能旗标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256</v>
      </c>
    </row>
    <row r="347" spans="1:7" ht="15" x14ac:dyDescent="0.2">
      <c r="A347">
        <v>345</v>
      </c>
      <c r="B347" s="1" t="s">
        <v>1480</v>
      </c>
      <c r="C347" t="str">
        <f>_xlfn.LET(_xlpm.x,VLOOKUP($B347,spell_header!$B$2:$G$373,2,FALSE),IF(_xlpm.x="","",_xlpm.x))</f>
        <v>增益描述键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str">
        <f>_xlfn.LET(_xlpm.x,VLOOKUP($B347,spell_header!$B$2:$G$373,5,FALSE),IF(_xlpm.x="","",_xlpm.x))</f>
        <v/>
      </c>
      <c r="G347">
        <v>264</v>
      </c>
    </row>
    <row r="348" spans="1:7" ht="15" x14ac:dyDescent="0.2">
      <c r="A348">
        <v>346</v>
      </c>
      <c r="B348" s="1" t="s">
        <v>1481</v>
      </c>
      <c r="C348" t="str">
        <f>_xlfn.LET(_xlpm.x,VLOOKUP($B348,spell_header!$B$2:$G$373,2,FALSE),IF(_xlpm.x="","",_xlpm.x))</f>
        <v>增益说明文本对象名称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/>
      </c>
      <c r="F348" t="str">
        <f>_xlfn.LET(_xlpm.x,VLOOKUP($B348,spell_header!$B$2:$G$373,5,FALSE),IF(_xlpm.x="","",_xlpm.x))</f>
        <v/>
      </c>
      <c r="G348">
        <v>257</v>
      </c>
    </row>
    <row r="349" spans="1:7" ht="15" x14ac:dyDescent="0.2">
      <c r="A349">
        <v>347</v>
      </c>
      <c r="B349" s="1" t="s">
        <v>1482</v>
      </c>
      <c r="C349" t="str">
        <f>_xlfn.LET(_xlpm.x,VLOOKUP($B349,spell_header!$B$2:$G$373,2,FALSE),IF(_xlpm.x="","",_xlpm.x))</f>
        <v>增益说明文本格式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258</v>
      </c>
    </row>
    <row r="350" spans="1:7" ht="15" x14ac:dyDescent="0.2">
      <c r="A350">
        <v>348</v>
      </c>
      <c r="B350" s="1" t="s">
        <v>3841</v>
      </c>
      <c r="C350" t="str">
        <f>_xlfn.LET(_xlpm.x,VLOOKUP($B350,spell_header!$B$2:$G$373,2,FALSE),IF(_xlpm.x="","",_xlpm.x))</f>
        <v>增益扩展说明文本可用性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b">
        <f>_xlfn.LET(_xlpm.x,VLOOKUP($B350,spell_header!$B$2:$G$373,5,FALSE),IF(_xlpm.x="","",_xlpm.x))</f>
        <v>1</v>
      </c>
      <c r="G350">
        <v>260</v>
      </c>
    </row>
    <row r="351" spans="1:7" ht="15" x14ac:dyDescent="0.2">
      <c r="A351">
        <v>349</v>
      </c>
      <c r="B351" s="1" t="s">
        <v>1483</v>
      </c>
      <c r="C351" t="str">
        <f>_xlfn.LET(_xlpm.x,VLOOKUP($B351,spell_header!$B$2:$G$373,2,FALSE),IF(_xlpm.x="","",_xlpm.x))</f>
        <v>增益名称键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/>
      </c>
      <c r="F351" t="str">
        <f>_xlfn.LET(_xlpm.x,VLOOKUP($B351,spell_header!$B$2:$G$373,5,FALSE),IF(_xlpm.x="","",_xlpm.x))</f>
        <v/>
      </c>
      <c r="G351">
        <v>261</v>
      </c>
    </row>
    <row r="352" spans="1:7" ht="15" x14ac:dyDescent="0.2">
      <c r="A352">
        <v>350</v>
      </c>
      <c r="B352" s="1" t="s">
        <v>3842</v>
      </c>
      <c r="C352" t="str">
        <f>_xlfn.LET(_xlpm.x,VLOOKUP($B352,spell_header!$B$2:$G$373,2,FALSE),IF(_xlpm.x="","",_xlpm.x))</f>
        <v>增益冷却时间键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/>
      </c>
      <c r="F352" t="str">
        <f>_xlfn.LET(_xlpm.x,VLOOKUP($B352,spell_header!$B$2:$G$373,5,FALSE),IF(_xlpm.x="","",_xlpm.x))</f>
        <v/>
      </c>
      <c r="G352">
        <v>279</v>
      </c>
    </row>
    <row r="353" spans="1:7" ht="15" x14ac:dyDescent="0.2">
      <c r="A353">
        <v>351</v>
      </c>
      <c r="B353" s="1" t="s">
        <v>1484</v>
      </c>
      <c r="C353" t="str">
        <f>_xlfn.LET(_xlpm.x,VLOOKUP($B353,spell_header!$B$2:$G$373,2,FALSE),IF(_xlpm.x="","",_xlpm.x))</f>
        <v>增益说明文本键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269</v>
      </c>
    </row>
    <row r="354" spans="1:7" ht="15" x14ac:dyDescent="0.2">
      <c r="A354">
        <v>352</v>
      </c>
      <c r="B354" s="1" t="s">
        <v>1485</v>
      </c>
      <c r="C354" t="str">
        <f>_xlfn.LET(_xlpm.x,VLOOKUP($B354,spell_header!$B$2:$G$373,2,FALSE),IF(_xlpm.x="","",_xlpm.x))</f>
        <v>增益简述键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274</v>
      </c>
    </row>
    <row r="355" spans="1:7" ht="15" x14ac:dyDescent="0.2">
      <c r="A355">
        <v>353</v>
      </c>
      <c r="B355" s="1" t="s">
        <v>1486</v>
      </c>
      <c r="C355" t="str">
        <f>_xlfn.LET(_xlpm.x,VLOOKUP($B355,spell_header!$B$2:$G$373,2,FALSE),IF(_xlpm.x="","",_xlpm.x))</f>
        <v>增益持续效果条件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str">
        <f>_xlfn.LET(_xlpm.x,VLOOKUP($B355,spell_header!$B$2:$G$373,5,FALSE),IF(_xlpm.x="","",_xlpm.x))</f>
        <v/>
      </c>
      <c r="G355">
        <v>284</v>
      </c>
    </row>
    <row r="356" spans="1:7" ht="15" x14ac:dyDescent="0.2">
      <c r="A356">
        <v>354</v>
      </c>
      <c r="B356" s="1" t="s">
        <v>1487</v>
      </c>
      <c r="C356" t="str">
        <f>_xlfn.LET(_xlpm.x,VLOOKUP($B356,spell_header!$B$2:$G$373,2,FALSE),IF(_xlpm.x="","",_xlpm.x))</f>
        <v>增益存在持续时间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1488</v>
      </c>
      <c r="C357" t="str">
        <f>_xlfn.LET(_xlpm.x,VLOOKUP($B357,spell_header!$B$2:$G$373,2,FALSE),IF(_xlpm.x="","",_xlpm.x))</f>
        <v>增益显示持续时间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b">
        <f>_xlfn.LET(_xlpm.x,VLOOKUP($B357,spell_header!$B$2:$G$373,5,FALSE),IF(_xlpm.x="","",_xlpm.x))</f>
        <v>1</v>
      </c>
      <c r="G357">
        <v>286</v>
      </c>
    </row>
    <row r="358" spans="1:7" ht="15" x14ac:dyDescent="0.2">
      <c r="A358">
        <v>356</v>
      </c>
      <c r="B358" s="1" t="s">
        <v>1489</v>
      </c>
      <c r="C358" t="str">
        <f>_xlfn.LET(_xlpm.x,VLOOKUP($B358,spell_header!$B$2:$G$373,2,FALSE),IF(_xlpm.x="","",_xlpm.x))</f>
        <v>增益显示累积时间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b">
        <f>_xlfn.LET(_xlpm.x,VLOOKUP($B358,spell_header!$B$2:$G$373,5,FALSE),IF(_xlpm.x="","",_xlpm.x))</f>
        <v>1</v>
      </c>
      <c r="G358">
        <v>287</v>
      </c>
    </row>
    <row r="359" spans="1:7" ht="15" x14ac:dyDescent="0.2">
      <c r="A359">
        <v>357</v>
      </c>
      <c r="B359" s="1" t="s">
        <v>1490</v>
      </c>
      <c r="C359" t="str">
        <f>_xlfn.LET(_xlpm.x,VLOOKUP($B359,spell_header!$B$2:$G$373,2,FALSE),IF(_xlpm.x="","",_xlpm.x))</f>
        <v>增益浮点数显示精度</v>
      </c>
      <c r="D359" s="4" t="str">
        <f>IF(VLOOKUP($B359,spell_header!$B$2:$G$373,3,FALSE)="√","√","")</f>
        <v>√</v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288</v>
      </c>
    </row>
    <row r="360" spans="1:7" ht="15" x14ac:dyDescent="0.2">
      <c r="A360">
        <v>358</v>
      </c>
      <c r="B360" s="1" t="s">
        <v>1491</v>
      </c>
      <c r="C360" t="str">
        <f>_xlfn.LET(_xlpm.x,VLOOKUP($B360,spell_header!$B$2:$G$373,2,FALSE),IF(_xlpm.x="","",_xlpm.x))</f>
        <v>增益属性旗标</v>
      </c>
      <c r="D360" s="4" t="str">
        <f>IF(VLOOKUP($B360,spell_header!$B$2:$G$373,3,FALSE)="√","√","")</f>
        <v>√</v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259</v>
      </c>
    </row>
    <row r="361" spans="1:7" ht="15" x14ac:dyDescent="0.2">
      <c r="A361">
        <v>359</v>
      </c>
      <c r="B361" s="6" t="s">
        <v>1492</v>
      </c>
      <c r="C361" t="str">
        <f>_xlfn.LET(_xlpm.x,VLOOKUP($B361,spell_header!$B$2:$G$373,2,FALSE),IF(_xlpm.x="","",_xlpm.x))</f>
        <v>增益描述（中文）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265</v>
      </c>
    </row>
    <row r="362" spans="1:7" ht="15" x14ac:dyDescent="0.2">
      <c r="A362">
        <v>360</v>
      </c>
      <c r="B362" s="6" t="s">
        <v>1493</v>
      </c>
      <c r="C362" t="str">
        <f>_xlfn.LET(_xlpm.x,VLOOKUP($B362,spell_header!$B$2:$G$373,2,FALSE),IF(_xlpm.x="","",_xlpm.x))</f>
        <v>增益描述（英文）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267</v>
      </c>
    </row>
    <row r="363" spans="1:7" ht="15" x14ac:dyDescent="0.2">
      <c r="A363">
        <v>361</v>
      </c>
      <c r="B363" s="6" t="s">
        <v>1494</v>
      </c>
      <c r="C363" t="str">
        <f>_xlfn.LET(_xlpm.x,VLOOKUP($B363,spell_header!$B$2:$G$373,2,FALSE),IF(_xlpm.x="","",_xlpm.x))</f>
        <v>增益描述（中文/数值转换）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266</v>
      </c>
    </row>
    <row r="364" spans="1:7" ht="15" x14ac:dyDescent="0.2">
      <c r="A364">
        <v>362</v>
      </c>
      <c r="B364" s="6" t="s">
        <v>1495</v>
      </c>
      <c r="C364" t="str">
        <f>_xlfn.LET(_xlpm.x,VLOOKUP($B364,spell_header!$B$2:$G$373,2,FALSE),IF(_xlpm.x="","",_xlpm.x))</f>
        <v>增益描述（英文/数值转换）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268</v>
      </c>
    </row>
    <row r="365" spans="1:7" ht="15" x14ac:dyDescent="0.2">
      <c r="A365">
        <v>363</v>
      </c>
      <c r="B365" s="6" t="s">
        <v>1496</v>
      </c>
      <c r="C365" t="str">
        <f>_xlfn.LET(_xlpm.x,VLOOKUP($B365,spell_header!$B$2:$G$373,2,FALSE),IF(_xlpm.x="","",_xlpm.x))</f>
        <v>增益名称（中文）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/>
      </c>
      <c r="F365" t="str">
        <f>_xlfn.LET(_xlpm.x,VLOOKUP($B365,spell_header!$B$2:$G$373,5,FALSE),IF(_xlpm.x="","",_xlpm.x))</f>
        <v/>
      </c>
      <c r="G365">
        <v>262</v>
      </c>
    </row>
    <row r="366" spans="1:7" ht="15" x14ac:dyDescent="0.2">
      <c r="A366">
        <v>364</v>
      </c>
      <c r="B366" s="6" t="s">
        <v>1497</v>
      </c>
      <c r="C366" t="str">
        <f>_xlfn.LET(_xlpm.x,VLOOKUP($B366,spell_header!$B$2:$G$373,2,FALSE),IF(_xlpm.x="","",_xlpm.x))</f>
        <v>增益名称（英文）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/>
      </c>
      <c r="F366" t="str">
        <f>_xlfn.LET(_xlpm.x,VLOOKUP($B366,spell_header!$B$2:$G$373,5,FALSE),IF(_xlpm.x="","",_xlpm.x))</f>
        <v/>
      </c>
      <c r="G366">
        <v>263</v>
      </c>
    </row>
    <row r="367" spans="1:7" ht="15" x14ac:dyDescent="0.2">
      <c r="A367">
        <v>365</v>
      </c>
      <c r="B367" s="6" t="s">
        <v>3844</v>
      </c>
      <c r="C367" t="str">
        <f>_xlfn.LET(_xlpm.x,VLOOKUP($B367,spell_header!$B$2:$G$373,2,FALSE),IF(_xlpm.x="","",_xlpm.x))</f>
        <v>增益冷却时间（中文）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3843</v>
      </c>
      <c r="C368" t="str">
        <f>_xlfn.LET(_xlpm.x,VLOOKUP($B368,spell_header!$B$2:$G$373,2,FALSE),IF(_xlpm.x="","",_xlpm.x))</f>
        <v>增益冷却时间（英文）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3884</v>
      </c>
      <c r="C369" t="str">
        <f>_xlfn.LET(_xlpm.x,VLOOKUP($B369,spell_header!$B$2:$G$373,2,FALSE),IF(_xlpm.x="","",_xlpm.x))</f>
        <v>增益冷却时间（中文/数值转换）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282</v>
      </c>
    </row>
    <row r="370" spans="1:7" ht="15" x14ac:dyDescent="0.2">
      <c r="A370">
        <v>368</v>
      </c>
      <c r="B370" s="6" t="s">
        <v>3885</v>
      </c>
      <c r="C370" t="str">
        <f>_xlfn.LET(_xlpm.x,VLOOKUP($B370,spell_header!$B$2:$G$373,2,FALSE),IF(_xlpm.x="","",_xlpm.x))</f>
        <v>增益冷却时间（英文/数值转换）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283</v>
      </c>
    </row>
    <row r="371" spans="1:7" ht="15" x14ac:dyDescent="0.2">
      <c r="A371">
        <v>369</v>
      </c>
      <c r="B371" s="6" t="s">
        <v>1498</v>
      </c>
      <c r="C371" t="str">
        <f>_xlfn.LET(_xlpm.x,VLOOKUP($B371,spell_header!$B$2:$G$373,2,FALSE),IF(_xlpm.x="","",_xlpm.x))</f>
        <v>增益说明文本（中文）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270</v>
      </c>
    </row>
    <row r="372" spans="1:7" ht="15" x14ac:dyDescent="0.2">
      <c r="A372">
        <v>370</v>
      </c>
      <c r="B372" s="6" t="s">
        <v>1499</v>
      </c>
      <c r="C372" t="str">
        <f>_xlfn.LET(_xlpm.x,VLOOKUP($B372,spell_header!$B$2:$G$373,2,FALSE),IF(_xlpm.x="","",_xlpm.x))</f>
        <v>增益说明文本（英文）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272</v>
      </c>
    </row>
    <row r="373" spans="1:7" ht="15" x14ac:dyDescent="0.2">
      <c r="A373">
        <v>371</v>
      </c>
      <c r="B373" s="6" t="s">
        <v>1500</v>
      </c>
      <c r="C373" t="str">
        <f>_xlfn.LET(_xlpm.x,VLOOKUP($B373,spell_header!$B$2:$G$373,2,FALSE),IF(_xlpm.x="","",_xlpm.x))</f>
        <v>增益说明文本（中文/数值转换）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271</v>
      </c>
    </row>
    <row r="374" spans="1:7" ht="15" x14ac:dyDescent="0.2">
      <c r="A374">
        <v>372</v>
      </c>
      <c r="B374" s="6" t="s">
        <v>1501</v>
      </c>
      <c r="C374" t="str">
        <f>_xlfn.LET(_xlpm.x,VLOOKUP($B374,spell_header!$B$2:$G$373,2,FALSE),IF(_xlpm.x="","",_xlpm.x))</f>
        <v>增益说明文本（英文/数值转换）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273</v>
      </c>
    </row>
    <row r="375" spans="1:7" ht="15" x14ac:dyDescent="0.2">
      <c r="A375">
        <v>373</v>
      </c>
      <c r="B375" s="6" t="s">
        <v>1502</v>
      </c>
      <c r="C375" t="str">
        <f>_xlfn.LET(_xlpm.x,VLOOKUP($B375,spell_header!$B$2:$G$373,2,FALSE),IF(_xlpm.x="","",_xlpm.x))</f>
        <v>增益简述（中文）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275</v>
      </c>
    </row>
    <row r="376" spans="1:7" ht="15" x14ac:dyDescent="0.2">
      <c r="A376">
        <v>374</v>
      </c>
      <c r="B376" s="6" t="s">
        <v>1503</v>
      </c>
      <c r="C376" t="str">
        <f>_xlfn.LET(_xlpm.x,VLOOKUP($B376,spell_header!$B$2:$G$373,2,FALSE),IF(_xlpm.x="","",_xlpm.x))</f>
        <v>增益简述（英文）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277</v>
      </c>
    </row>
    <row r="377" spans="1:7" ht="15" x14ac:dyDescent="0.2">
      <c r="A377">
        <v>375</v>
      </c>
      <c r="B377" s="6" t="s">
        <v>1504</v>
      </c>
      <c r="C377" t="str">
        <f>_xlfn.LET(_xlpm.x,VLOOKUP($B377,spell_header!$B$2:$G$373,2,FALSE),IF(_xlpm.x="","",_xlpm.x))</f>
        <v>增益简述（中文/数值转换）</v>
      </c>
      <c r="D377" s="4" t="str">
        <f>IF(VLOOKUP($B377,spell_header!$B$2:$G$373,3,FALSE)="√","√","")</f>
        <v/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276</v>
      </c>
    </row>
    <row r="378" spans="1:7" ht="15" x14ac:dyDescent="0.2">
      <c r="A378">
        <v>376</v>
      </c>
      <c r="B378" s="6" t="s">
        <v>1505</v>
      </c>
      <c r="C378" t="str">
        <f>_xlfn.LET(_xlpm.x,VLOOKUP($B378,spell_header!$B$2:$G$373,2,FALSE),IF(_xlpm.x="","",_xlpm.x))</f>
        <v>增益简述（英文/数值转换）</v>
      </c>
      <c r="D378" s="4" t="str">
        <f>IF(VLOOKUP($B378,spell_header!$B$2:$G$373,3,FALSE)="√","√","")</f>
        <v/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278</v>
      </c>
    </row>
    <row r="379" spans="1:7" ht="15" x14ac:dyDescent="0.2">
      <c r="A379">
        <v>377</v>
      </c>
      <c r="B379" s="1" t="s">
        <v>3845</v>
      </c>
      <c r="C379" t="str">
        <f>_xlfn.LET(_xlpm.x,VLOOKUP($B379,spell_header!$B$2:$G$373,2,FALSE),IF(_xlpm.x="","",_xlpm.x))</f>
        <v>电脑数据重载 伤害标签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3846</v>
      </c>
      <c r="C380" t="str">
        <f>_xlfn.LET(_xlpm.x,VLOOKUP($B380,spell_header!$B$2:$G$373,2,FALSE),IF(_xlpm.x="","",_xlpm.x))</f>
        <v>电脑数据重载 公式计算</v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3847</v>
      </c>
      <c r="C381" t="str">
        <f>_xlfn.LET(_xlpm.x,VLOOKUP($B381,spell_header!$B$2:$G$373,2,FALSE),IF(_xlpm.x="","",_xlpm.x))</f>
        <v>电脑数据重载 效应因子计算</v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  <row r="382" spans="1:7" ht="15" x14ac:dyDescent="0.2">
      <c r="A382">
        <v>380</v>
      </c>
      <c r="B382" s="1" t="s">
        <v>3848</v>
      </c>
      <c r="C382" t="str">
        <f>_xlfn.LET(_xlpm.x,VLOOKUP($B382,spell_header!$B$2:$G$373,2,FALSE),IF(_xlpm.x="","",_xlpm.x))</f>
        <v/>
      </c>
      <c r="D382" s="4" t="str">
        <f>IF(VLOOKUP($B382,spell_header!$B$2:$G$373,3,FALSE)="√","√","")</f>
        <v>√</v>
      </c>
      <c r="E382" s="4" t="str">
        <f>IF(VLOOKUP($B382,spell_header!$B$2:$G$373,4,FALSE)="√","√","")</f>
        <v>√</v>
      </c>
      <c r="F382" t="str">
        <f>_xlfn.LET(_xlpm.x,VLOOKUP($B382,spell_header!$B$2:$G$373,5,FALSE),IF(_xlpm.x="","",_xlpm.x))</f>
        <v/>
      </c>
      <c r="G382">
        <v>380</v>
      </c>
    </row>
    <row r="383" spans="1:7" ht="15" x14ac:dyDescent="0.2">
      <c r="A383">
        <v>381</v>
      </c>
      <c r="B383" s="1" t="s">
        <v>3849</v>
      </c>
      <c r="C383" t="str">
        <f>_xlfn.LET(_xlpm.x,VLOOKUP($B383,spell_header!$B$2:$G$373,2,FALSE),IF(_xlpm.x="","",_xlpm.x))</f>
        <v/>
      </c>
      <c r="D383" s="4" t="str">
        <f>IF(VLOOKUP($B383,spell_header!$B$2:$G$373,3,FALSE)="√","√","")</f>
        <v>√</v>
      </c>
      <c r="E383" s="4" t="str">
        <f>IF(VLOOKUP($B383,spell_header!$B$2:$G$373,4,FALSE)="√","√","")</f>
        <v>√</v>
      </c>
      <c r="F383" t="str">
        <f>_xlfn.LET(_xlpm.x,VLOOKUP($B383,spell_header!$B$2:$G$373,5,FALSE),IF(_xlpm.x="","",_xlpm.x))</f>
        <v/>
      </c>
      <c r="G383">
        <v>381</v>
      </c>
    </row>
  </sheetData>
  <sortState xmlns:xlrd2="http://schemas.microsoft.com/office/spreadsheetml/2017/richdata2" ref="A2:G383">
    <sortCondition ref="A1:A38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3356</v>
      </c>
      <c r="C3" t="s">
        <v>3363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3357</v>
      </c>
      <c r="C4" t="s">
        <v>3364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3358</v>
      </c>
      <c r="C5" t="s">
        <v>3366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3362</v>
      </c>
      <c r="C6" t="s">
        <v>3365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3359</v>
      </c>
      <c r="C7" t="s">
        <v>3367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3360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3361</v>
      </c>
      <c r="C9" t="s">
        <v>3368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3369</v>
      </c>
      <c r="C3" t="s">
        <v>3396</v>
      </c>
      <c r="D3" s="4" t="s">
        <v>22</v>
      </c>
      <c r="G3">
        <v>1</v>
      </c>
    </row>
    <row r="4" spans="1:7" ht="15" x14ac:dyDescent="0.2">
      <c r="A4">
        <v>2</v>
      </c>
      <c r="B4" s="1" t="s">
        <v>3370</v>
      </c>
      <c r="C4" t="s">
        <v>3462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3371</v>
      </c>
      <c r="C5" t="s">
        <v>3399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3372</v>
      </c>
      <c r="C6" t="s">
        <v>3405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3373</v>
      </c>
      <c r="C7" t="s">
        <v>3407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3374</v>
      </c>
      <c r="C8" t="s">
        <v>3406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3375</v>
      </c>
      <c r="C9" t="s">
        <v>3412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3376</v>
      </c>
      <c r="C10" t="s">
        <v>3413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3377</v>
      </c>
      <c r="C11" t="s">
        <v>3418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3378</v>
      </c>
      <c r="C12" t="s">
        <v>3419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3379</v>
      </c>
      <c r="C13" t="s">
        <v>3465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3380</v>
      </c>
      <c r="C14" t="s">
        <v>3420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3381</v>
      </c>
      <c r="C15" t="s">
        <v>3421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3382</v>
      </c>
      <c r="C16" t="s">
        <v>3422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3383</v>
      </c>
      <c r="C17" t="s">
        <v>3464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3384</v>
      </c>
      <c r="C18" t="s">
        <v>3425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3385</v>
      </c>
      <c r="C19" t="s">
        <v>3428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3386</v>
      </c>
      <c r="C20" t="s">
        <v>3466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3387</v>
      </c>
      <c r="C21" t="s">
        <v>3433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3388</v>
      </c>
      <c r="C22" t="s">
        <v>3434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3389</v>
      </c>
      <c r="C23" t="s">
        <v>3435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3390</v>
      </c>
      <c r="C24" t="s">
        <v>3444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3391</v>
      </c>
      <c r="C25" t="s">
        <v>3445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3392</v>
      </c>
      <c r="C26" t="s">
        <v>3446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3393</v>
      </c>
      <c r="C27" t="s">
        <v>3459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3394</v>
      </c>
      <c r="C28" t="s">
        <v>3460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3395</v>
      </c>
      <c r="C29" t="s">
        <v>3461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3463</v>
      </c>
      <c r="C30" t="s">
        <v>3398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3401</v>
      </c>
      <c r="C31" t="s">
        <v>3397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3400</v>
      </c>
      <c r="C32" t="s">
        <v>3403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3402</v>
      </c>
      <c r="C33" t="s">
        <v>3404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3408</v>
      </c>
      <c r="C34" t="s">
        <v>3414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3409</v>
      </c>
      <c r="C35" t="s">
        <v>3415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3410</v>
      </c>
      <c r="C36" t="s">
        <v>3416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3411</v>
      </c>
      <c r="C37" t="s">
        <v>3417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3423</v>
      </c>
      <c r="C38" t="s">
        <v>3426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3424</v>
      </c>
      <c r="C39" t="s">
        <v>3427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3429</v>
      </c>
      <c r="C40" t="s">
        <v>3431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3430</v>
      </c>
      <c r="C41" t="s">
        <v>3432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3436</v>
      </c>
      <c r="C42" t="s">
        <v>3440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3437</v>
      </c>
      <c r="C43" t="s">
        <v>3441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3438</v>
      </c>
      <c r="C44" t="s">
        <v>3442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3439</v>
      </c>
      <c r="C45" t="s">
        <v>3443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3447</v>
      </c>
      <c r="C46" t="s">
        <v>3448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3449</v>
      </c>
      <c r="C47" t="s">
        <v>3450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3453</v>
      </c>
      <c r="C48" t="s">
        <v>3451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3454</v>
      </c>
      <c r="C49" t="s">
        <v>3452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3455</v>
      </c>
      <c r="C50" t="s">
        <v>3457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3456</v>
      </c>
      <c r="C51" t="s">
        <v>3458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51"/>
  <sheetViews>
    <sheetView workbookViewId="0"/>
  </sheetViews>
  <sheetFormatPr defaultRowHeight="14.25" x14ac:dyDescent="0.2"/>
  <cols>
    <col min="2" max="2" width="53.875" bestFit="1" customWidth="1"/>
    <col min="3" max="3" width="19.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3555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16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21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46</v>
      </c>
    </row>
    <row r="9" spans="1:7" ht="15" x14ac:dyDescent="0.2">
      <c r="A9">
        <v>7</v>
      </c>
      <c r="B9" s="1" t="s">
        <v>449</v>
      </c>
      <c r="C9" t="s">
        <v>450</v>
      </c>
      <c r="D9" s="4" t="s">
        <v>22</v>
      </c>
      <c r="E9" s="4" t="s">
        <v>22</v>
      </c>
      <c r="G9">
        <v>13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14</v>
      </c>
    </row>
    <row r="11" spans="1:7" ht="15" x14ac:dyDescent="0.2">
      <c r="A11">
        <v>9</v>
      </c>
      <c r="B11" s="1" t="s">
        <v>3515</v>
      </c>
      <c r="C11" t="s">
        <v>3519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3516</v>
      </c>
      <c r="C12" t="s">
        <v>3520</v>
      </c>
      <c r="D12" s="4" t="s">
        <v>22</v>
      </c>
      <c r="E12" s="4" t="s">
        <v>22</v>
      </c>
      <c r="G12">
        <v>31</v>
      </c>
    </row>
    <row r="13" spans="1:7" ht="15" x14ac:dyDescent="0.2">
      <c r="A13">
        <v>11</v>
      </c>
      <c r="B13" s="1" t="s">
        <v>3517</v>
      </c>
      <c r="C13" t="s">
        <v>3522</v>
      </c>
      <c r="D13" s="4" t="s">
        <v>22</v>
      </c>
      <c r="G13">
        <v>36</v>
      </c>
    </row>
    <row r="14" spans="1:7" ht="15" x14ac:dyDescent="0.2">
      <c r="A14">
        <v>12</v>
      </c>
      <c r="B14" s="1" t="s">
        <v>3518</v>
      </c>
      <c r="C14" t="s">
        <v>3521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465</v>
      </c>
      <c r="C15" t="s">
        <v>466</v>
      </c>
      <c r="D15" s="4" t="s">
        <v>22</v>
      </c>
      <c r="G15">
        <v>48</v>
      </c>
    </row>
    <row r="16" spans="1:7" ht="15" x14ac:dyDescent="0.2">
      <c r="A16">
        <v>14</v>
      </c>
      <c r="B16" s="1" t="s">
        <v>453</v>
      </c>
      <c r="C16" t="s">
        <v>454</v>
      </c>
      <c r="D16" s="4" t="s">
        <v>22</v>
      </c>
      <c r="G16">
        <v>49</v>
      </c>
    </row>
    <row r="17" spans="1:7" ht="15" x14ac:dyDescent="0.2">
      <c r="A17">
        <v>15</v>
      </c>
      <c r="B17" s="1" t="s">
        <v>3563</v>
      </c>
      <c r="C17" t="s">
        <v>3711</v>
      </c>
      <c r="D17" s="4" t="s">
        <v>3564</v>
      </c>
      <c r="E17" s="4" t="s">
        <v>3564</v>
      </c>
      <c r="G17">
        <v>9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G18">
        <v>11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3265</v>
      </c>
      <c r="C20" t="s">
        <v>3712</v>
      </c>
      <c r="D20" s="4" t="s">
        <v>3564</v>
      </c>
      <c r="E20" s="4" t="s">
        <v>3564</v>
      </c>
      <c r="F20" s="4" t="b">
        <v>0</v>
      </c>
      <c r="G20">
        <v>15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6" t="s">
        <v>467</v>
      </c>
      <c r="C22" t="s">
        <v>474</v>
      </c>
      <c r="G22">
        <v>5</v>
      </c>
    </row>
    <row r="23" spans="1:7" ht="15" x14ac:dyDescent="0.2">
      <c r="A23">
        <v>21</v>
      </c>
      <c r="B23" s="6" t="s">
        <v>470</v>
      </c>
      <c r="C23" t="s">
        <v>475</v>
      </c>
      <c r="G23">
        <v>6</v>
      </c>
    </row>
    <row r="24" spans="1:7" ht="15" x14ac:dyDescent="0.2">
      <c r="A24">
        <v>22</v>
      </c>
      <c r="B24" s="6" t="s">
        <v>468</v>
      </c>
      <c r="C24" t="s">
        <v>476</v>
      </c>
      <c r="G24">
        <v>17</v>
      </c>
    </row>
    <row r="25" spans="1:7" ht="15" x14ac:dyDescent="0.2">
      <c r="A25">
        <v>23</v>
      </c>
      <c r="B25" s="6" t="s">
        <v>481</v>
      </c>
      <c r="C25" t="s">
        <v>482</v>
      </c>
      <c r="G25">
        <v>18</v>
      </c>
    </row>
    <row r="26" spans="1:7" ht="15" x14ac:dyDescent="0.2">
      <c r="A26">
        <v>24</v>
      </c>
      <c r="B26" s="6" t="s">
        <v>471</v>
      </c>
      <c r="C26" t="s">
        <v>477</v>
      </c>
      <c r="G26">
        <v>19</v>
      </c>
    </row>
    <row r="27" spans="1:7" ht="15" x14ac:dyDescent="0.2">
      <c r="A27">
        <v>25</v>
      </c>
      <c r="B27" s="6" t="s">
        <v>483</v>
      </c>
      <c r="C27" t="s">
        <v>484</v>
      </c>
      <c r="G27">
        <v>20</v>
      </c>
    </row>
    <row r="28" spans="1:7" ht="15" x14ac:dyDescent="0.2">
      <c r="A28">
        <v>26</v>
      </c>
      <c r="B28" s="6" t="s">
        <v>469</v>
      </c>
      <c r="C28" t="s">
        <v>478</v>
      </c>
      <c r="G28">
        <v>22</v>
      </c>
    </row>
    <row r="29" spans="1:7" ht="15" x14ac:dyDescent="0.2">
      <c r="A29">
        <v>27</v>
      </c>
      <c r="B29" s="6" t="s">
        <v>485</v>
      </c>
      <c r="C29" t="s">
        <v>487</v>
      </c>
      <c r="G29">
        <v>23</v>
      </c>
    </row>
    <row r="30" spans="1:7" ht="15" x14ac:dyDescent="0.2">
      <c r="A30">
        <v>28</v>
      </c>
      <c r="B30" s="6" t="s">
        <v>472</v>
      </c>
      <c r="C30" t="s">
        <v>473</v>
      </c>
      <c r="G30">
        <v>24</v>
      </c>
    </row>
    <row r="31" spans="1:7" ht="15" x14ac:dyDescent="0.2">
      <c r="A31">
        <v>29</v>
      </c>
      <c r="B31" s="6" t="s">
        <v>486</v>
      </c>
      <c r="C31" t="s">
        <v>488</v>
      </c>
      <c r="G31">
        <v>25</v>
      </c>
    </row>
    <row r="32" spans="1:7" ht="15" x14ac:dyDescent="0.2">
      <c r="A32">
        <v>30</v>
      </c>
      <c r="B32" s="6" t="s">
        <v>3523</v>
      </c>
      <c r="C32" t="s">
        <v>3539</v>
      </c>
      <c r="G32">
        <v>27</v>
      </c>
    </row>
    <row r="33" spans="1:7" ht="15" x14ac:dyDescent="0.2">
      <c r="A33">
        <v>31</v>
      </c>
      <c r="B33" s="6" t="s">
        <v>3524</v>
      </c>
      <c r="C33" t="s">
        <v>3540</v>
      </c>
      <c r="G33">
        <v>28</v>
      </c>
    </row>
    <row r="34" spans="1:7" ht="15" x14ac:dyDescent="0.2">
      <c r="A34">
        <v>32</v>
      </c>
      <c r="B34" s="6" t="s">
        <v>3525</v>
      </c>
      <c r="C34" t="s">
        <v>3541</v>
      </c>
      <c r="G34">
        <v>29</v>
      </c>
    </row>
    <row r="35" spans="1:7" ht="15" x14ac:dyDescent="0.2">
      <c r="A35">
        <v>33</v>
      </c>
      <c r="B35" s="6" t="s">
        <v>3526</v>
      </c>
      <c r="C35" t="s">
        <v>3542</v>
      </c>
      <c r="G35">
        <v>30</v>
      </c>
    </row>
    <row r="36" spans="1:7" ht="15" x14ac:dyDescent="0.2">
      <c r="A36">
        <v>34</v>
      </c>
      <c r="B36" s="6" t="s">
        <v>3527</v>
      </c>
      <c r="C36" t="s">
        <v>3543</v>
      </c>
      <c r="G36">
        <v>32</v>
      </c>
    </row>
    <row r="37" spans="1:7" ht="15" x14ac:dyDescent="0.2">
      <c r="A37">
        <v>35</v>
      </c>
      <c r="B37" s="6" t="s">
        <v>3528</v>
      </c>
      <c r="C37" t="s">
        <v>3544</v>
      </c>
      <c r="G37">
        <v>33</v>
      </c>
    </row>
    <row r="38" spans="1:7" ht="15" x14ac:dyDescent="0.2">
      <c r="A38">
        <v>36</v>
      </c>
      <c r="B38" s="6" t="s">
        <v>3529</v>
      </c>
      <c r="C38" t="s">
        <v>3545</v>
      </c>
      <c r="G38">
        <v>34</v>
      </c>
    </row>
    <row r="39" spans="1:7" ht="15" x14ac:dyDescent="0.2">
      <c r="A39">
        <v>37</v>
      </c>
      <c r="B39" s="6" t="s">
        <v>3530</v>
      </c>
      <c r="C39" t="s">
        <v>3546</v>
      </c>
      <c r="G39">
        <v>35</v>
      </c>
    </row>
    <row r="40" spans="1:7" ht="15" x14ac:dyDescent="0.2">
      <c r="A40">
        <v>38</v>
      </c>
      <c r="B40" s="6" t="s">
        <v>3531</v>
      </c>
      <c r="C40" t="s">
        <v>3547</v>
      </c>
      <c r="G40">
        <v>37</v>
      </c>
    </row>
    <row r="41" spans="1:7" ht="15" x14ac:dyDescent="0.2">
      <c r="A41">
        <v>39</v>
      </c>
      <c r="B41" s="6" t="s">
        <v>3532</v>
      </c>
      <c r="C41" t="s">
        <v>3548</v>
      </c>
      <c r="G41">
        <v>38</v>
      </c>
    </row>
    <row r="42" spans="1:7" ht="15" x14ac:dyDescent="0.2">
      <c r="A42">
        <v>40</v>
      </c>
      <c r="B42" s="6" t="s">
        <v>3533</v>
      </c>
      <c r="C42" t="s">
        <v>3549</v>
      </c>
      <c r="G42">
        <v>39</v>
      </c>
    </row>
    <row r="43" spans="1:7" ht="15" x14ac:dyDescent="0.2">
      <c r="A43">
        <v>41</v>
      </c>
      <c r="B43" s="6" t="s">
        <v>3534</v>
      </c>
      <c r="C43" t="s">
        <v>3550</v>
      </c>
      <c r="G43">
        <v>40</v>
      </c>
    </row>
    <row r="44" spans="1:7" ht="15" x14ac:dyDescent="0.2">
      <c r="A44">
        <v>42</v>
      </c>
      <c r="B44" s="6" t="s">
        <v>3535</v>
      </c>
      <c r="C44" t="s">
        <v>3551</v>
      </c>
      <c r="G44">
        <v>42</v>
      </c>
    </row>
    <row r="45" spans="1:7" ht="15" x14ac:dyDescent="0.2">
      <c r="A45">
        <v>43</v>
      </c>
      <c r="B45" s="6" t="s">
        <v>3536</v>
      </c>
      <c r="C45" t="s">
        <v>3552</v>
      </c>
      <c r="G45">
        <v>43</v>
      </c>
    </row>
    <row r="46" spans="1:7" ht="15" x14ac:dyDescent="0.2">
      <c r="A46">
        <v>44</v>
      </c>
      <c r="B46" s="6" t="s">
        <v>3537</v>
      </c>
      <c r="C46" t="s">
        <v>3553</v>
      </c>
      <c r="G46">
        <v>44</v>
      </c>
    </row>
    <row r="47" spans="1:7" ht="15" x14ac:dyDescent="0.2">
      <c r="A47">
        <v>45</v>
      </c>
      <c r="B47" s="6" t="s">
        <v>3538</v>
      </c>
      <c r="C47" t="s">
        <v>3554</v>
      </c>
      <c r="G47">
        <v>45</v>
      </c>
    </row>
    <row r="48" spans="1:7" ht="15" x14ac:dyDescent="0.2">
      <c r="A48">
        <v>46</v>
      </c>
      <c r="B48" s="6" t="s">
        <v>462</v>
      </c>
      <c r="C48" t="s">
        <v>463</v>
      </c>
      <c r="G48">
        <v>12</v>
      </c>
    </row>
    <row r="49" spans="1:7" ht="15" x14ac:dyDescent="0.2">
      <c r="A49">
        <v>47</v>
      </c>
      <c r="B49" s="6" t="s">
        <v>460</v>
      </c>
      <c r="C49" t="s">
        <v>461</v>
      </c>
      <c r="E49" s="4" t="s">
        <v>22</v>
      </c>
      <c r="G49">
        <v>8</v>
      </c>
    </row>
    <row r="50" spans="1:7" ht="15" x14ac:dyDescent="0.2">
      <c r="A50">
        <v>48</v>
      </c>
      <c r="B50" s="6" t="s">
        <v>479</v>
      </c>
      <c r="C50" t="s">
        <v>480</v>
      </c>
      <c r="D50" s="4" t="s">
        <v>22</v>
      </c>
      <c r="G50">
        <v>47</v>
      </c>
    </row>
    <row r="51" spans="1:7" ht="15" x14ac:dyDescent="0.2">
      <c r="A51">
        <v>49</v>
      </c>
      <c r="B51" s="1" t="s">
        <v>3566</v>
      </c>
      <c r="C51" t="s">
        <v>3565</v>
      </c>
      <c r="D51" s="4" t="s">
        <v>3564</v>
      </c>
      <c r="G51">
        <v>10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5E4A-9F14-46D9-A3E4-C039ADD42EB8}">
  <sheetPr codeName="Sheet20"/>
  <dimension ref="A1:F24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437</v>
      </c>
      <c r="C3" t="s">
        <v>438</v>
      </c>
      <c r="D3" s="4" t="s">
        <v>22</v>
      </c>
      <c r="F3">
        <v>1</v>
      </c>
    </row>
    <row r="4" spans="1:6" ht="15" x14ac:dyDescent="0.2">
      <c r="A4">
        <v>2</v>
      </c>
      <c r="B4" s="1" t="s">
        <v>439</v>
      </c>
      <c r="C4" t="s">
        <v>442</v>
      </c>
      <c r="D4" s="4" t="s">
        <v>22</v>
      </c>
      <c r="F4">
        <v>3</v>
      </c>
    </row>
    <row r="5" spans="1:6" ht="15" x14ac:dyDescent="0.2">
      <c r="A5">
        <v>3</v>
      </c>
      <c r="B5" s="1" t="s">
        <v>440</v>
      </c>
      <c r="C5" t="s">
        <v>443</v>
      </c>
      <c r="D5" s="4" t="s">
        <v>22</v>
      </c>
      <c r="F5">
        <v>9</v>
      </c>
    </row>
    <row r="6" spans="1:6" ht="15" x14ac:dyDescent="0.2">
      <c r="A6">
        <v>4</v>
      </c>
      <c r="B6" s="1" t="s">
        <v>441</v>
      </c>
      <c r="C6" t="s">
        <v>444</v>
      </c>
      <c r="D6" s="4" t="s">
        <v>22</v>
      </c>
      <c r="F6">
        <v>14</v>
      </c>
    </row>
    <row r="7" spans="1:6" ht="15" x14ac:dyDescent="0.2">
      <c r="A7">
        <v>5</v>
      </c>
      <c r="B7" s="1" t="s">
        <v>445</v>
      </c>
      <c r="C7" t="s">
        <v>446</v>
      </c>
      <c r="D7" s="4" t="s">
        <v>22</v>
      </c>
      <c r="F7">
        <v>19</v>
      </c>
    </row>
    <row r="8" spans="1:6" ht="15" x14ac:dyDescent="0.2">
      <c r="A8">
        <v>6</v>
      </c>
      <c r="B8" s="1" t="s">
        <v>451</v>
      </c>
      <c r="C8" t="s">
        <v>452</v>
      </c>
      <c r="D8" s="4" t="s">
        <v>22</v>
      </c>
      <c r="E8" s="4" t="s">
        <v>22</v>
      </c>
      <c r="F8">
        <v>8</v>
      </c>
    </row>
    <row r="9" spans="1:6" ht="15" x14ac:dyDescent="0.2">
      <c r="A9">
        <v>7</v>
      </c>
      <c r="B9" s="1" t="s">
        <v>465</v>
      </c>
      <c r="C9" t="s">
        <v>466</v>
      </c>
      <c r="D9" s="4" t="s">
        <v>22</v>
      </c>
      <c r="F9">
        <v>21</v>
      </c>
    </row>
    <row r="10" spans="1:6" ht="15" x14ac:dyDescent="0.2">
      <c r="A10">
        <v>8</v>
      </c>
      <c r="B10" s="1" t="s">
        <v>453</v>
      </c>
      <c r="C10" t="s">
        <v>454</v>
      </c>
      <c r="D10" s="4" t="s">
        <v>22</v>
      </c>
      <c r="F10">
        <v>22</v>
      </c>
    </row>
    <row r="11" spans="1:6" ht="15" x14ac:dyDescent="0.2">
      <c r="A11">
        <v>9</v>
      </c>
      <c r="B11" s="1" t="s">
        <v>457</v>
      </c>
      <c r="C11" t="s">
        <v>458</v>
      </c>
      <c r="D11" s="4" t="s">
        <v>22</v>
      </c>
      <c r="E11" s="4" t="s">
        <v>22</v>
      </c>
      <c r="F11">
        <v>6</v>
      </c>
    </row>
    <row r="12" spans="1:6" ht="15" x14ac:dyDescent="0.2">
      <c r="A12">
        <v>10</v>
      </c>
      <c r="B12" s="1" t="s">
        <v>459</v>
      </c>
      <c r="C12" t="s">
        <v>464</v>
      </c>
      <c r="D12" s="4" t="s">
        <v>22</v>
      </c>
      <c r="E12" s="4" t="s">
        <v>22</v>
      </c>
      <c r="F12">
        <v>2</v>
      </c>
    </row>
    <row r="13" spans="1:6" ht="15" x14ac:dyDescent="0.2">
      <c r="A13">
        <v>11</v>
      </c>
      <c r="B13" s="6" t="s">
        <v>467</v>
      </c>
      <c r="C13" t="s">
        <v>474</v>
      </c>
      <c r="F13">
        <v>4</v>
      </c>
    </row>
    <row r="14" spans="1:6" ht="15" x14ac:dyDescent="0.2">
      <c r="A14">
        <v>12</v>
      </c>
      <c r="B14" s="6" t="s">
        <v>470</v>
      </c>
      <c r="C14" t="s">
        <v>475</v>
      </c>
      <c r="F14">
        <v>5</v>
      </c>
    </row>
    <row r="15" spans="1:6" ht="15" x14ac:dyDescent="0.2">
      <c r="A15">
        <v>13</v>
      </c>
      <c r="B15" s="6" t="s">
        <v>468</v>
      </c>
      <c r="C15" t="s">
        <v>476</v>
      </c>
      <c r="F15">
        <v>10</v>
      </c>
    </row>
    <row r="16" spans="1:6" ht="15" x14ac:dyDescent="0.2">
      <c r="A16">
        <v>14</v>
      </c>
      <c r="B16" s="6" t="s">
        <v>481</v>
      </c>
      <c r="C16" t="s">
        <v>482</v>
      </c>
      <c r="F16">
        <v>11</v>
      </c>
    </row>
    <row r="17" spans="1:6" ht="15" x14ac:dyDescent="0.2">
      <c r="A17">
        <v>15</v>
      </c>
      <c r="B17" s="6" t="s">
        <v>471</v>
      </c>
      <c r="C17" t="s">
        <v>477</v>
      </c>
      <c r="F17">
        <v>12</v>
      </c>
    </row>
    <row r="18" spans="1:6" ht="15" x14ac:dyDescent="0.2">
      <c r="A18">
        <v>16</v>
      </c>
      <c r="B18" s="6" t="s">
        <v>483</v>
      </c>
      <c r="C18" t="s">
        <v>484</v>
      </c>
      <c r="F18">
        <v>13</v>
      </c>
    </row>
    <row r="19" spans="1:6" ht="15" x14ac:dyDescent="0.2">
      <c r="A19">
        <v>17</v>
      </c>
      <c r="B19" s="6" t="s">
        <v>469</v>
      </c>
      <c r="C19" t="s">
        <v>478</v>
      </c>
      <c r="F19">
        <v>15</v>
      </c>
    </row>
    <row r="20" spans="1:6" ht="15" x14ac:dyDescent="0.2">
      <c r="A20">
        <v>18</v>
      </c>
      <c r="B20" s="6" t="s">
        <v>485</v>
      </c>
      <c r="C20" t="s">
        <v>487</v>
      </c>
      <c r="F20">
        <v>16</v>
      </c>
    </row>
    <row r="21" spans="1:6" ht="15" x14ac:dyDescent="0.2">
      <c r="A21">
        <v>19</v>
      </c>
      <c r="B21" s="6" t="s">
        <v>472</v>
      </c>
      <c r="C21" t="s">
        <v>473</v>
      </c>
      <c r="F21">
        <v>17</v>
      </c>
    </row>
    <row r="22" spans="1:6" ht="15" x14ac:dyDescent="0.2">
      <c r="A22">
        <v>20</v>
      </c>
      <c r="B22" s="6" t="s">
        <v>486</v>
      </c>
      <c r="C22" t="s">
        <v>488</v>
      </c>
      <c r="F22">
        <v>18</v>
      </c>
    </row>
    <row r="23" spans="1:6" ht="15" x14ac:dyDescent="0.2">
      <c r="A23">
        <v>21</v>
      </c>
      <c r="B23" s="6" t="s">
        <v>460</v>
      </c>
      <c r="C23" t="s">
        <v>461</v>
      </c>
      <c r="E23" s="4" t="s">
        <v>22</v>
      </c>
      <c r="F23">
        <v>7</v>
      </c>
    </row>
    <row r="24" spans="1:6" ht="15" x14ac:dyDescent="0.2">
      <c r="A24">
        <v>22</v>
      </c>
      <c r="B24" s="6" t="s">
        <v>479</v>
      </c>
      <c r="C24" t="s">
        <v>480</v>
      </c>
      <c r="D24" s="4" t="s">
        <v>22</v>
      </c>
      <c r="F24">
        <v>20</v>
      </c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5"/>
  <sheetViews>
    <sheetView tabSelected="1"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3556</v>
      </c>
      <c r="G1" t="s">
        <v>21</v>
      </c>
    </row>
    <row r="2" spans="1:7" ht="15" x14ac:dyDescent="0.2">
      <c r="A2">
        <v>0</v>
      </c>
      <c r="B2" s="6" t="s">
        <v>3897</v>
      </c>
      <c r="C2" t="s">
        <v>3895</v>
      </c>
      <c r="G2">
        <v>7</v>
      </c>
    </row>
    <row r="3" spans="1:7" ht="15" x14ac:dyDescent="0.2">
      <c r="A3">
        <v>1</v>
      </c>
      <c r="B3" s="6" t="s">
        <v>3898</v>
      </c>
      <c r="C3" t="s">
        <v>3896</v>
      </c>
      <c r="G3">
        <v>8</v>
      </c>
    </row>
    <row r="4" spans="1:7" ht="15" x14ac:dyDescent="0.2">
      <c r="A4">
        <v>2</v>
      </c>
      <c r="B4" s="1" t="s">
        <v>0</v>
      </c>
      <c r="C4" t="s">
        <v>1</v>
      </c>
      <c r="D4" s="4" t="s">
        <v>22</v>
      </c>
      <c r="G4">
        <v>0</v>
      </c>
    </row>
    <row r="5" spans="1:7" ht="15" x14ac:dyDescent="0.2">
      <c r="A5">
        <v>3</v>
      </c>
      <c r="B5" s="1" t="s">
        <v>437</v>
      </c>
      <c r="C5" t="s">
        <v>438</v>
      </c>
      <c r="D5" s="4" t="s">
        <v>22</v>
      </c>
      <c r="G5">
        <v>1</v>
      </c>
    </row>
    <row r="6" spans="1:7" ht="15" x14ac:dyDescent="0.2">
      <c r="A6">
        <v>4</v>
      </c>
      <c r="B6" s="1" t="s">
        <v>447</v>
      </c>
      <c r="C6" t="s">
        <v>448</v>
      </c>
      <c r="D6" s="4" t="s">
        <v>22</v>
      </c>
      <c r="E6" s="4" t="s">
        <v>22</v>
      </c>
      <c r="F6" s="4" t="b">
        <v>1</v>
      </c>
      <c r="G6">
        <v>3</v>
      </c>
    </row>
    <row r="7" spans="1:7" ht="15" x14ac:dyDescent="0.2">
      <c r="A7">
        <v>5</v>
      </c>
      <c r="B7" s="1" t="s">
        <v>439</v>
      </c>
      <c r="C7" t="s">
        <v>442</v>
      </c>
      <c r="D7" s="4" t="s">
        <v>22</v>
      </c>
      <c r="G7">
        <v>4</v>
      </c>
    </row>
    <row r="8" spans="1:7" ht="15" x14ac:dyDescent="0.2">
      <c r="A8">
        <v>6</v>
      </c>
      <c r="B8" s="1" t="s">
        <v>440</v>
      </c>
      <c r="C8" t="s">
        <v>443</v>
      </c>
      <c r="D8" s="4" t="s">
        <v>22</v>
      </c>
      <c r="G8">
        <v>24</v>
      </c>
    </row>
    <row r="9" spans="1:7" ht="15" x14ac:dyDescent="0.2">
      <c r="A9">
        <v>7</v>
      </c>
      <c r="B9" s="1" t="s">
        <v>441</v>
      </c>
      <c r="C9" t="s">
        <v>444</v>
      </c>
      <c r="D9" s="4" t="s">
        <v>22</v>
      </c>
      <c r="G9">
        <v>29</v>
      </c>
    </row>
    <row r="10" spans="1:7" ht="15" x14ac:dyDescent="0.2">
      <c r="A10">
        <v>8</v>
      </c>
      <c r="B10" s="1" t="s">
        <v>445</v>
      </c>
      <c r="C10" t="s">
        <v>446</v>
      </c>
      <c r="D10" s="4" t="s">
        <v>22</v>
      </c>
      <c r="G10">
        <v>49</v>
      </c>
    </row>
    <row r="11" spans="1:7" ht="15" x14ac:dyDescent="0.2">
      <c r="A11">
        <v>9</v>
      </c>
      <c r="B11" s="1" t="s">
        <v>3266</v>
      </c>
      <c r="C11" t="s">
        <v>3267</v>
      </c>
      <c r="D11" s="4" t="s">
        <v>22</v>
      </c>
      <c r="G11">
        <v>51</v>
      </c>
    </row>
    <row r="12" spans="1:7" ht="15" x14ac:dyDescent="0.2">
      <c r="A12">
        <v>10</v>
      </c>
      <c r="B12" s="1" t="s">
        <v>449</v>
      </c>
      <c r="C12" t="s">
        <v>450</v>
      </c>
      <c r="D12" s="4" t="s">
        <v>22</v>
      </c>
      <c r="E12" s="4" t="s">
        <v>22</v>
      </c>
      <c r="G12">
        <v>18</v>
      </c>
    </row>
    <row r="13" spans="1:7" ht="15" x14ac:dyDescent="0.2">
      <c r="A13">
        <v>11</v>
      </c>
      <c r="B13" s="1" t="s">
        <v>451</v>
      </c>
      <c r="C13" t="s">
        <v>452</v>
      </c>
      <c r="D13" s="4" t="s">
        <v>22</v>
      </c>
      <c r="E13" s="4" t="s">
        <v>22</v>
      </c>
      <c r="G13">
        <v>19</v>
      </c>
    </row>
    <row r="14" spans="1:7" ht="15" x14ac:dyDescent="0.2">
      <c r="A14">
        <v>12</v>
      </c>
      <c r="B14" s="1" t="s">
        <v>3515</v>
      </c>
      <c r="C14" t="s">
        <v>3519</v>
      </c>
      <c r="D14" s="4" t="s">
        <v>22</v>
      </c>
      <c r="G14">
        <v>34</v>
      </c>
    </row>
    <row r="15" spans="1:7" ht="15" x14ac:dyDescent="0.2">
      <c r="A15">
        <v>13</v>
      </c>
      <c r="B15" s="1" t="s">
        <v>3516</v>
      </c>
      <c r="C15" t="s">
        <v>3520</v>
      </c>
      <c r="D15" s="4" t="s">
        <v>22</v>
      </c>
      <c r="E15" s="4" t="s">
        <v>22</v>
      </c>
      <c r="G15">
        <v>39</v>
      </c>
    </row>
    <row r="16" spans="1:7" ht="15" x14ac:dyDescent="0.2">
      <c r="A16">
        <v>14</v>
      </c>
      <c r="B16" s="1" t="s">
        <v>3517</v>
      </c>
      <c r="C16" t="s">
        <v>3522</v>
      </c>
      <c r="D16" s="4" t="s">
        <v>22</v>
      </c>
    </row>
    <row r="17" spans="1:7" ht="15" x14ac:dyDescent="0.2">
      <c r="A17">
        <v>15</v>
      </c>
      <c r="B17" s="1" t="s">
        <v>3518</v>
      </c>
      <c r="C17" t="s">
        <v>3521</v>
      </c>
      <c r="D17" s="4" t="s">
        <v>22</v>
      </c>
    </row>
    <row r="18" spans="1:7" ht="15" x14ac:dyDescent="0.2">
      <c r="A18">
        <v>16</v>
      </c>
      <c r="B18" s="1" t="s">
        <v>465</v>
      </c>
      <c r="C18" t="s">
        <v>466</v>
      </c>
      <c r="D18" s="4" t="s">
        <v>22</v>
      </c>
      <c r="G18">
        <v>57</v>
      </c>
    </row>
    <row r="19" spans="1:7" ht="15" x14ac:dyDescent="0.2">
      <c r="A19">
        <v>17</v>
      </c>
      <c r="B19" s="1" t="s">
        <v>453</v>
      </c>
      <c r="C19" t="s">
        <v>454</v>
      </c>
      <c r="D19" s="4" t="s">
        <v>22</v>
      </c>
      <c r="G19">
        <v>58</v>
      </c>
    </row>
    <row r="20" spans="1:7" ht="15" x14ac:dyDescent="0.2">
      <c r="A20">
        <v>18</v>
      </c>
      <c r="B20" s="1" t="s">
        <v>455</v>
      </c>
      <c r="C20" t="s">
        <v>456</v>
      </c>
      <c r="D20" s="4" t="s">
        <v>22</v>
      </c>
      <c r="E20" s="4" t="s">
        <v>22</v>
      </c>
      <c r="G20">
        <v>11</v>
      </c>
    </row>
    <row r="21" spans="1:7" ht="15" x14ac:dyDescent="0.2">
      <c r="A21">
        <v>19</v>
      </c>
      <c r="B21" s="1" t="s">
        <v>457</v>
      </c>
      <c r="C21" t="s">
        <v>458</v>
      </c>
      <c r="D21" s="4" t="s">
        <v>22</v>
      </c>
      <c r="E21" s="4" t="s">
        <v>22</v>
      </c>
      <c r="G21">
        <v>9</v>
      </c>
    </row>
    <row r="22" spans="1:7" ht="15" x14ac:dyDescent="0.2">
      <c r="A22">
        <v>20</v>
      </c>
      <c r="B22" s="1" t="s">
        <v>3265</v>
      </c>
      <c r="C22" t="s">
        <v>3712</v>
      </c>
      <c r="D22" s="4" t="s">
        <v>22</v>
      </c>
      <c r="E22" s="4" t="s">
        <v>22</v>
      </c>
      <c r="F22" s="4" t="b">
        <v>0</v>
      </c>
      <c r="G22">
        <v>20</v>
      </c>
    </row>
    <row r="23" spans="1:7" ht="15" x14ac:dyDescent="0.2">
      <c r="A23">
        <v>21</v>
      </c>
      <c r="B23" s="1" t="s">
        <v>459</v>
      </c>
      <c r="C23" t="s">
        <v>464</v>
      </c>
      <c r="D23" s="4" t="s">
        <v>22</v>
      </c>
      <c r="G23">
        <v>2</v>
      </c>
    </row>
    <row r="24" spans="1:7" ht="15" x14ac:dyDescent="0.2">
      <c r="A24">
        <v>22</v>
      </c>
      <c r="B24" s="1" t="s">
        <v>3557</v>
      </c>
      <c r="C24" t="s">
        <v>3559</v>
      </c>
      <c r="D24" s="4" t="s">
        <v>3561</v>
      </c>
      <c r="E24" s="4" t="s">
        <v>3561</v>
      </c>
      <c r="G24">
        <v>55</v>
      </c>
    </row>
    <row r="25" spans="1:7" ht="15" x14ac:dyDescent="0.2">
      <c r="A25">
        <v>23</v>
      </c>
      <c r="B25" s="1" t="s">
        <v>3750</v>
      </c>
      <c r="C25" t="s">
        <v>3751</v>
      </c>
      <c r="D25" s="4" t="s">
        <v>22</v>
      </c>
      <c r="E25" s="4" t="s">
        <v>22</v>
      </c>
      <c r="G25">
        <v>53</v>
      </c>
    </row>
    <row r="26" spans="1:7" ht="15" x14ac:dyDescent="0.2">
      <c r="A26">
        <v>24</v>
      </c>
      <c r="B26" s="1" t="s">
        <v>3749</v>
      </c>
      <c r="C26" t="s">
        <v>3752</v>
      </c>
      <c r="D26" s="4" t="s">
        <v>22</v>
      </c>
      <c r="E26" s="4" t="s">
        <v>22</v>
      </c>
      <c r="F26" s="4" t="b">
        <v>0</v>
      </c>
      <c r="G26">
        <v>21</v>
      </c>
    </row>
    <row r="27" spans="1:7" ht="15" x14ac:dyDescent="0.2">
      <c r="A27">
        <v>25</v>
      </c>
      <c r="B27" s="6" t="s">
        <v>467</v>
      </c>
      <c r="C27" t="s">
        <v>474</v>
      </c>
      <c r="G27">
        <v>5</v>
      </c>
    </row>
    <row r="28" spans="1:7" ht="15" x14ac:dyDescent="0.2">
      <c r="A28">
        <v>26</v>
      </c>
      <c r="B28" s="6" t="s">
        <v>470</v>
      </c>
      <c r="C28" t="s">
        <v>475</v>
      </c>
      <c r="G28">
        <v>6</v>
      </c>
    </row>
    <row r="29" spans="1:7" ht="15" x14ac:dyDescent="0.2">
      <c r="A29">
        <v>27</v>
      </c>
      <c r="B29" s="6" t="s">
        <v>468</v>
      </c>
      <c r="C29" t="s">
        <v>476</v>
      </c>
      <c r="G29">
        <v>25</v>
      </c>
    </row>
    <row r="30" spans="1:7" ht="15" x14ac:dyDescent="0.2">
      <c r="A30">
        <v>28</v>
      </c>
      <c r="B30" s="6" t="s">
        <v>481</v>
      </c>
      <c r="C30" t="s">
        <v>482</v>
      </c>
      <c r="G30">
        <v>26</v>
      </c>
    </row>
    <row r="31" spans="1:7" ht="15" x14ac:dyDescent="0.2">
      <c r="A31">
        <v>29</v>
      </c>
      <c r="B31" s="6" t="s">
        <v>471</v>
      </c>
      <c r="C31" t="s">
        <v>477</v>
      </c>
      <c r="G31">
        <v>27</v>
      </c>
    </row>
    <row r="32" spans="1:7" ht="15" x14ac:dyDescent="0.2">
      <c r="A32">
        <v>30</v>
      </c>
      <c r="B32" s="6" t="s">
        <v>483</v>
      </c>
      <c r="C32" t="s">
        <v>484</v>
      </c>
      <c r="G32">
        <v>28</v>
      </c>
    </row>
    <row r="33" spans="1:7" ht="15" x14ac:dyDescent="0.2">
      <c r="A33">
        <v>31</v>
      </c>
      <c r="B33" s="6" t="s">
        <v>469</v>
      </c>
      <c r="C33" t="s">
        <v>478</v>
      </c>
      <c r="G33">
        <v>30</v>
      </c>
    </row>
    <row r="34" spans="1:7" ht="15" x14ac:dyDescent="0.2">
      <c r="A34">
        <v>32</v>
      </c>
      <c r="B34" s="6" t="s">
        <v>485</v>
      </c>
      <c r="C34" t="s">
        <v>487</v>
      </c>
      <c r="G34">
        <v>31</v>
      </c>
    </row>
    <row r="35" spans="1:7" ht="15" x14ac:dyDescent="0.2">
      <c r="A35">
        <v>33</v>
      </c>
      <c r="B35" s="6" t="s">
        <v>472</v>
      </c>
      <c r="C35" t="s">
        <v>473</v>
      </c>
      <c r="G35">
        <v>32</v>
      </c>
    </row>
    <row r="36" spans="1:7" ht="15" x14ac:dyDescent="0.2">
      <c r="A36">
        <v>34</v>
      </c>
      <c r="B36" s="6" t="s">
        <v>486</v>
      </c>
      <c r="C36" t="s">
        <v>488</v>
      </c>
      <c r="G36">
        <v>33</v>
      </c>
    </row>
    <row r="37" spans="1:7" ht="15" x14ac:dyDescent="0.2">
      <c r="A37">
        <v>35</v>
      </c>
      <c r="B37" s="6" t="s">
        <v>3523</v>
      </c>
      <c r="C37" t="s">
        <v>3539</v>
      </c>
      <c r="G37">
        <v>35</v>
      </c>
    </row>
    <row r="38" spans="1:7" ht="15" x14ac:dyDescent="0.2">
      <c r="A38">
        <v>36</v>
      </c>
      <c r="B38" s="6" t="s">
        <v>3524</v>
      </c>
      <c r="C38" t="s">
        <v>3540</v>
      </c>
      <c r="G38">
        <v>36</v>
      </c>
    </row>
    <row r="39" spans="1:7" ht="15" x14ac:dyDescent="0.2">
      <c r="A39">
        <v>37</v>
      </c>
      <c r="B39" s="6" t="s">
        <v>3525</v>
      </c>
      <c r="C39" t="s">
        <v>3541</v>
      </c>
      <c r="G39">
        <v>37</v>
      </c>
    </row>
    <row r="40" spans="1:7" ht="15" x14ac:dyDescent="0.2">
      <c r="A40">
        <v>38</v>
      </c>
      <c r="B40" s="6" t="s">
        <v>3526</v>
      </c>
      <c r="C40" t="s">
        <v>3542</v>
      </c>
      <c r="G40">
        <v>38</v>
      </c>
    </row>
    <row r="41" spans="1:7" ht="15" x14ac:dyDescent="0.2">
      <c r="A41">
        <v>39</v>
      </c>
      <c r="B41" s="6" t="s">
        <v>3527</v>
      </c>
      <c r="C41" t="s">
        <v>3543</v>
      </c>
      <c r="G41">
        <v>40</v>
      </c>
    </row>
    <row r="42" spans="1:7" ht="15" x14ac:dyDescent="0.2">
      <c r="A42">
        <v>40</v>
      </c>
      <c r="B42" s="6" t="s">
        <v>3528</v>
      </c>
      <c r="C42" t="s">
        <v>3544</v>
      </c>
      <c r="G42">
        <v>41</v>
      </c>
    </row>
    <row r="43" spans="1:7" ht="15" x14ac:dyDescent="0.2">
      <c r="A43">
        <v>41</v>
      </c>
      <c r="B43" s="6" t="s">
        <v>3529</v>
      </c>
      <c r="C43" t="s">
        <v>3545</v>
      </c>
      <c r="G43">
        <v>42</v>
      </c>
    </row>
    <row r="44" spans="1:7" ht="15" x14ac:dyDescent="0.2">
      <c r="A44">
        <v>42</v>
      </c>
      <c r="B44" s="6" t="s">
        <v>3530</v>
      </c>
      <c r="C44" t="s">
        <v>3546</v>
      </c>
      <c r="G44">
        <v>43</v>
      </c>
    </row>
    <row r="45" spans="1:7" ht="15" x14ac:dyDescent="0.2">
      <c r="A45">
        <v>43</v>
      </c>
      <c r="B45" s="6" t="s">
        <v>3531</v>
      </c>
      <c r="C45" t="s">
        <v>3547</v>
      </c>
    </row>
    <row r="46" spans="1:7" ht="15" x14ac:dyDescent="0.2">
      <c r="A46">
        <v>44</v>
      </c>
      <c r="B46" s="6" t="s">
        <v>3532</v>
      </c>
      <c r="C46" t="s">
        <v>3548</v>
      </c>
    </row>
    <row r="47" spans="1:7" ht="15" x14ac:dyDescent="0.2">
      <c r="A47">
        <v>45</v>
      </c>
      <c r="B47" s="6" t="s">
        <v>3533</v>
      </c>
      <c r="C47" t="s">
        <v>3549</v>
      </c>
    </row>
    <row r="48" spans="1:7" ht="15" x14ac:dyDescent="0.2">
      <c r="A48">
        <v>46</v>
      </c>
      <c r="B48" s="6" t="s">
        <v>3534</v>
      </c>
      <c r="C48" t="s">
        <v>3550</v>
      </c>
    </row>
    <row r="49" spans="1:7" ht="15" x14ac:dyDescent="0.2">
      <c r="A49">
        <v>47</v>
      </c>
      <c r="B49" s="6" t="s">
        <v>3535</v>
      </c>
      <c r="C49" t="s">
        <v>3551</v>
      </c>
    </row>
    <row r="50" spans="1:7" ht="15" x14ac:dyDescent="0.2">
      <c r="A50">
        <v>48</v>
      </c>
      <c r="B50" s="6" t="s">
        <v>3536</v>
      </c>
      <c r="C50" t="s">
        <v>3552</v>
      </c>
    </row>
    <row r="51" spans="1:7" ht="15" x14ac:dyDescent="0.2">
      <c r="A51">
        <v>49</v>
      </c>
      <c r="B51" s="6" t="s">
        <v>3537</v>
      </c>
      <c r="C51" t="s">
        <v>3553</v>
      </c>
    </row>
    <row r="52" spans="1:7" ht="15" x14ac:dyDescent="0.2">
      <c r="A52">
        <v>50</v>
      </c>
      <c r="B52" s="6" t="s">
        <v>3538</v>
      </c>
      <c r="C52" t="s">
        <v>3554</v>
      </c>
    </row>
    <row r="53" spans="1:7" ht="15" x14ac:dyDescent="0.2">
      <c r="A53">
        <v>51</v>
      </c>
      <c r="B53" s="6" t="s">
        <v>462</v>
      </c>
      <c r="C53" t="s">
        <v>463</v>
      </c>
      <c r="E53" s="4" t="s">
        <v>22</v>
      </c>
      <c r="G53">
        <v>12</v>
      </c>
    </row>
    <row r="54" spans="1:7" ht="15" x14ac:dyDescent="0.2">
      <c r="A54">
        <v>52</v>
      </c>
      <c r="B54" s="6" t="s">
        <v>460</v>
      </c>
      <c r="C54" t="s">
        <v>461</v>
      </c>
      <c r="E54" s="4" t="s">
        <v>22</v>
      </c>
      <c r="G54">
        <v>10</v>
      </c>
    </row>
    <row r="55" spans="1:7" ht="15" x14ac:dyDescent="0.2">
      <c r="A55">
        <v>53</v>
      </c>
      <c r="B55" s="6" t="s">
        <v>479</v>
      </c>
      <c r="C55" t="s">
        <v>480</v>
      </c>
      <c r="D55" s="4" t="s">
        <v>22</v>
      </c>
      <c r="G55">
        <v>50</v>
      </c>
    </row>
    <row r="56" spans="1:7" ht="15" x14ac:dyDescent="0.2">
      <c r="A56">
        <v>54</v>
      </c>
      <c r="B56" s="6" t="s">
        <v>3268</v>
      </c>
      <c r="C56" t="s">
        <v>3269</v>
      </c>
      <c r="D56" s="4" t="s">
        <v>22</v>
      </c>
      <c r="G56">
        <v>52</v>
      </c>
    </row>
    <row r="57" spans="1:7" ht="15" x14ac:dyDescent="0.2">
      <c r="A57">
        <v>55</v>
      </c>
      <c r="B57" s="6" t="s">
        <v>3259</v>
      </c>
      <c r="C57" t="s">
        <v>3258</v>
      </c>
      <c r="G57">
        <v>13</v>
      </c>
    </row>
    <row r="58" spans="1:7" ht="15" x14ac:dyDescent="0.2">
      <c r="A58">
        <v>56</v>
      </c>
      <c r="B58" s="6" t="s">
        <v>3260</v>
      </c>
      <c r="C58" t="s">
        <v>3262</v>
      </c>
      <c r="G58">
        <v>14</v>
      </c>
    </row>
    <row r="59" spans="1:7" ht="15" x14ac:dyDescent="0.2">
      <c r="A59">
        <v>57</v>
      </c>
      <c r="B59" s="6" t="s">
        <v>3261</v>
      </c>
      <c r="C59" t="s">
        <v>3263</v>
      </c>
      <c r="G59">
        <v>15</v>
      </c>
    </row>
    <row r="60" spans="1:7" ht="15" x14ac:dyDescent="0.2">
      <c r="A60">
        <v>58</v>
      </c>
      <c r="B60" s="1" t="s">
        <v>3558</v>
      </c>
      <c r="C60" t="s">
        <v>3560</v>
      </c>
      <c r="D60" s="4" t="s">
        <v>3561</v>
      </c>
      <c r="G60">
        <v>56</v>
      </c>
    </row>
    <row r="61" spans="1:7" ht="15" x14ac:dyDescent="0.2">
      <c r="A61" s="2">
        <v>59</v>
      </c>
      <c r="B61" s="3" t="s">
        <v>3760</v>
      </c>
      <c r="C61" s="2"/>
      <c r="D61" s="4" t="s">
        <v>22</v>
      </c>
      <c r="G61">
        <v>16</v>
      </c>
    </row>
    <row r="62" spans="1:7" ht="15" x14ac:dyDescent="0.2">
      <c r="A62" s="2">
        <v>60</v>
      </c>
      <c r="B62" s="3" t="s">
        <v>3761</v>
      </c>
      <c r="C62" s="2" t="s">
        <v>3773</v>
      </c>
      <c r="D62" s="4" t="s">
        <v>22</v>
      </c>
      <c r="G62">
        <v>17</v>
      </c>
    </row>
    <row r="63" spans="1:7" ht="15" x14ac:dyDescent="0.2">
      <c r="A63" s="2">
        <v>61</v>
      </c>
      <c r="B63" s="3" t="s">
        <v>3762</v>
      </c>
      <c r="C63" s="2" t="s">
        <v>3768</v>
      </c>
    </row>
    <row r="64" spans="1:7" ht="15" x14ac:dyDescent="0.2">
      <c r="A64" s="2">
        <v>62</v>
      </c>
      <c r="B64" s="3" t="s">
        <v>3763</v>
      </c>
      <c r="C64" s="2" t="s">
        <v>3769</v>
      </c>
      <c r="D64" s="4" t="s">
        <v>22</v>
      </c>
      <c r="G64">
        <v>44</v>
      </c>
    </row>
    <row r="65" spans="1:7" ht="15" x14ac:dyDescent="0.2">
      <c r="A65" s="2">
        <v>63</v>
      </c>
      <c r="B65" s="3" t="s">
        <v>3764</v>
      </c>
      <c r="C65" s="2" t="s">
        <v>3771</v>
      </c>
      <c r="D65" s="4" t="s">
        <v>22</v>
      </c>
      <c r="G65">
        <v>59</v>
      </c>
    </row>
    <row r="66" spans="1:7" ht="15" x14ac:dyDescent="0.2">
      <c r="A66" s="2">
        <v>64</v>
      </c>
      <c r="B66" s="3" t="s">
        <v>3765</v>
      </c>
      <c r="C66" s="2"/>
      <c r="D66" s="4" t="s">
        <v>22</v>
      </c>
      <c r="E66" s="4" t="s">
        <v>22</v>
      </c>
      <c r="F66" s="4" t="b">
        <v>0</v>
      </c>
      <c r="G66">
        <v>22</v>
      </c>
    </row>
    <row r="67" spans="1:7" ht="15" x14ac:dyDescent="0.2">
      <c r="A67" s="2">
        <v>65</v>
      </c>
      <c r="B67" s="3" t="s">
        <v>3766</v>
      </c>
      <c r="C67" s="2" t="s">
        <v>3790</v>
      </c>
    </row>
    <row r="68" spans="1:7" ht="15" x14ac:dyDescent="0.2">
      <c r="A68" s="2">
        <v>66</v>
      </c>
      <c r="B68" s="3" t="s">
        <v>3767</v>
      </c>
      <c r="C68" s="2" t="s">
        <v>3815</v>
      </c>
      <c r="D68" s="4" t="s">
        <v>22</v>
      </c>
      <c r="G68">
        <v>54</v>
      </c>
    </row>
    <row r="69" spans="1:7" ht="15" x14ac:dyDescent="0.2">
      <c r="A69" s="2">
        <v>67</v>
      </c>
      <c r="B69" s="3" t="s">
        <v>3816</v>
      </c>
      <c r="C69" s="2"/>
      <c r="D69" s="4" t="s">
        <v>22</v>
      </c>
      <c r="F69" s="4" t="b">
        <v>0</v>
      </c>
      <c r="G69">
        <v>23</v>
      </c>
    </row>
    <row r="70" spans="1:7" ht="15" x14ac:dyDescent="0.2">
      <c r="A70" s="2">
        <v>68</v>
      </c>
      <c r="B70" s="56" t="s">
        <v>3774</v>
      </c>
      <c r="C70" s="2" t="s">
        <v>3776</v>
      </c>
    </row>
    <row r="71" spans="1:7" ht="15" x14ac:dyDescent="0.2">
      <c r="A71" s="2">
        <v>69</v>
      </c>
      <c r="B71" s="56" t="s">
        <v>3775</v>
      </c>
      <c r="C71" s="2" t="s">
        <v>3777</v>
      </c>
    </row>
    <row r="72" spans="1:7" ht="15" x14ac:dyDescent="0.2">
      <c r="A72" s="2">
        <v>70</v>
      </c>
      <c r="B72" s="56" t="s">
        <v>3778</v>
      </c>
      <c r="C72" s="2" t="s">
        <v>3781</v>
      </c>
      <c r="G72">
        <v>45</v>
      </c>
    </row>
    <row r="73" spans="1:7" ht="15" x14ac:dyDescent="0.2">
      <c r="A73" s="2">
        <v>71</v>
      </c>
      <c r="B73" s="56" t="s">
        <v>3779</v>
      </c>
      <c r="C73" s="2" t="s">
        <v>3783</v>
      </c>
      <c r="G73">
        <v>46</v>
      </c>
    </row>
    <row r="74" spans="1:7" ht="15" x14ac:dyDescent="0.2">
      <c r="A74" s="2">
        <v>72</v>
      </c>
      <c r="B74" s="56" t="s">
        <v>3784</v>
      </c>
      <c r="C74" s="2" t="s">
        <v>3787</v>
      </c>
      <c r="G74">
        <v>47</v>
      </c>
    </row>
    <row r="75" spans="1:7" ht="15" x14ac:dyDescent="0.2">
      <c r="A75" s="2">
        <v>73</v>
      </c>
      <c r="B75" s="56" t="s">
        <v>3785</v>
      </c>
      <c r="C75" s="2" t="s">
        <v>3789</v>
      </c>
      <c r="G75">
        <v>48</v>
      </c>
    </row>
  </sheetData>
  <sortState xmlns:xlrd2="http://schemas.microsoft.com/office/spreadsheetml/2017/richdata2" ref="A2:G75">
    <sortCondition ref="A1:A75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3215</v>
      </c>
      <c r="C3" t="s">
        <v>3222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3216</v>
      </c>
      <c r="C4" t="s">
        <v>3247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3217</v>
      </c>
      <c r="C5" t="s">
        <v>3235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3218</v>
      </c>
      <c r="C6" t="s">
        <v>3236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3219</v>
      </c>
      <c r="C7" t="s">
        <v>3223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3220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3221</v>
      </c>
      <c r="C9" t="s">
        <v>3243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3244</v>
      </c>
      <c r="C10" t="s">
        <v>3245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3266</v>
      </c>
      <c r="C11" t="s">
        <v>3267</v>
      </c>
      <c r="D11" s="4" t="s">
        <v>3561</v>
      </c>
      <c r="E11" s="4"/>
      <c r="F11">
        <v>20</v>
      </c>
    </row>
    <row r="12" spans="1:6" ht="15" x14ac:dyDescent="0.2">
      <c r="A12">
        <v>10</v>
      </c>
      <c r="B12" s="6" t="s">
        <v>3225</v>
      </c>
      <c r="C12" t="s">
        <v>3227</v>
      </c>
      <c r="D12" s="4"/>
      <c r="E12" s="4"/>
      <c r="F12">
        <v>3</v>
      </c>
    </row>
    <row r="13" spans="1:6" ht="15" x14ac:dyDescent="0.2">
      <c r="A13">
        <v>11</v>
      </c>
      <c r="B13" s="6" t="s">
        <v>3226</v>
      </c>
      <c r="C13" t="s">
        <v>3228</v>
      </c>
      <c r="D13" s="4"/>
      <c r="E13" s="4"/>
      <c r="F13">
        <v>4</v>
      </c>
    </row>
    <row r="14" spans="1:6" ht="15" x14ac:dyDescent="0.2">
      <c r="A14">
        <v>12</v>
      </c>
      <c r="B14" s="6" t="s">
        <v>3229</v>
      </c>
      <c r="C14" t="s">
        <v>3233</v>
      </c>
      <c r="D14" s="4"/>
      <c r="E14" s="4"/>
      <c r="F14">
        <v>6</v>
      </c>
    </row>
    <row r="15" spans="1:6" ht="15" x14ac:dyDescent="0.2">
      <c r="A15">
        <v>13</v>
      </c>
      <c r="B15" s="6" t="s">
        <v>3230</v>
      </c>
      <c r="C15" t="s">
        <v>3234</v>
      </c>
      <c r="D15" s="4"/>
      <c r="E15" s="4"/>
      <c r="F15">
        <v>7</v>
      </c>
    </row>
    <row r="16" spans="1:6" ht="15" x14ac:dyDescent="0.2">
      <c r="A16">
        <v>14</v>
      </c>
      <c r="B16" s="6" t="s">
        <v>3231</v>
      </c>
      <c r="C16" t="s">
        <v>3237</v>
      </c>
      <c r="D16" s="4"/>
      <c r="E16" s="4"/>
      <c r="F16">
        <v>8</v>
      </c>
    </row>
    <row r="17" spans="1:6" ht="15" x14ac:dyDescent="0.2">
      <c r="A17">
        <v>15</v>
      </c>
      <c r="B17" s="6" t="s">
        <v>3232</v>
      </c>
      <c r="C17" t="s">
        <v>3238</v>
      </c>
      <c r="D17" s="4"/>
      <c r="E17" s="4"/>
      <c r="F17">
        <v>9</v>
      </c>
    </row>
    <row r="18" spans="1:6" ht="15" x14ac:dyDescent="0.2">
      <c r="A18">
        <v>16</v>
      </c>
      <c r="B18" s="6" t="s">
        <v>3239</v>
      </c>
      <c r="C18" t="s">
        <v>3241</v>
      </c>
      <c r="D18" s="4"/>
      <c r="E18" s="4"/>
      <c r="F18">
        <v>16</v>
      </c>
    </row>
    <row r="19" spans="1:6" ht="15" x14ac:dyDescent="0.2">
      <c r="A19">
        <v>17</v>
      </c>
      <c r="B19" s="6" t="s">
        <v>3240</v>
      </c>
      <c r="C19" t="s">
        <v>3242</v>
      </c>
      <c r="D19" s="4"/>
      <c r="E19" s="4"/>
      <c r="F19">
        <v>17</v>
      </c>
    </row>
    <row r="20" spans="1:6" ht="15" x14ac:dyDescent="0.2">
      <c r="A20">
        <v>18</v>
      </c>
      <c r="B20" s="6" t="s">
        <v>3224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3248</v>
      </c>
      <c r="C21" t="s">
        <v>3253</v>
      </c>
      <c r="D21" s="4"/>
      <c r="E21" s="4"/>
      <c r="F21">
        <v>10</v>
      </c>
    </row>
    <row r="22" spans="1:6" ht="15" x14ac:dyDescent="0.2">
      <c r="A22">
        <v>20</v>
      </c>
      <c r="B22" s="6" t="s">
        <v>3249</v>
      </c>
      <c r="C22" t="s">
        <v>3254</v>
      </c>
      <c r="D22" s="4"/>
      <c r="E22" s="4"/>
      <c r="F22">
        <v>11</v>
      </c>
    </row>
    <row r="23" spans="1:6" ht="15" x14ac:dyDescent="0.2">
      <c r="A23">
        <v>21</v>
      </c>
      <c r="B23" s="6" t="s">
        <v>3250</v>
      </c>
      <c r="C23" t="s">
        <v>3255</v>
      </c>
      <c r="D23" s="4"/>
      <c r="E23" s="4"/>
      <c r="F23">
        <v>12</v>
      </c>
    </row>
    <row r="24" spans="1:6" ht="15" x14ac:dyDescent="0.2">
      <c r="A24">
        <v>22</v>
      </c>
      <c r="B24" s="6" t="s">
        <v>3251</v>
      </c>
      <c r="C24" t="s">
        <v>3256</v>
      </c>
      <c r="D24" s="4"/>
      <c r="E24" s="4"/>
      <c r="F24">
        <v>13</v>
      </c>
    </row>
    <row r="25" spans="1:6" ht="15" x14ac:dyDescent="0.2">
      <c r="A25">
        <v>23</v>
      </c>
      <c r="B25" s="6" t="s">
        <v>3252</v>
      </c>
      <c r="C25" t="s">
        <v>3257</v>
      </c>
      <c r="D25" s="4"/>
      <c r="E25" s="4"/>
      <c r="F25">
        <v>14</v>
      </c>
    </row>
    <row r="26" spans="1:6" ht="15" x14ac:dyDescent="0.2">
      <c r="A26">
        <v>24</v>
      </c>
      <c r="B26" s="6" t="s">
        <v>3562</v>
      </c>
      <c r="C26" t="s">
        <v>3269</v>
      </c>
      <c r="D26" s="4"/>
      <c r="E26" s="4"/>
      <c r="F26">
        <v>21</v>
      </c>
    </row>
    <row r="27" spans="1:6" ht="15" x14ac:dyDescent="0.2">
      <c r="A27">
        <v>25</v>
      </c>
      <c r="B27" s="1" t="s">
        <v>3264</v>
      </c>
      <c r="C27" t="s">
        <v>3246</v>
      </c>
      <c r="D27" s="4" t="s">
        <v>3561</v>
      </c>
      <c r="E27" s="4" t="s">
        <v>3561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3753</v>
      </c>
      <c r="D3" s="4" t="s">
        <v>22</v>
      </c>
      <c r="E3" s="4"/>
      <c r="F3" s="4"/>
    </row>
    <row r="4" spans="1:7" ht="15" x14ac:dyDescent="0.2">
      <c r="A4">
        <v>2</v>
      </c>
      <c r="B4" s="1" t="s">
        <v>3754</v>
      </c>
      <c r="C4" t="s">
        <v>3796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3755</v>
      </c>
      <c r="C5" t="s">
        <v>3768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3756</v>
      </c>
      <c r="C6" t="s">
        <v>3769</v>
      </c>
      <c r="D6" s="4" t="s">
        <v>22</v>
      </c>
      <c r="E6" s="4"/>
      <c r="F6" s="4"/>
    </row>
    <row r="7" spans="1:7" ht="15" x14ac:dyDescent="0.2">
      <c r="A7">
        <v>5</v>
      </c>
      <c r="B7" s="1" t="s">
        <v>3759</v>
      </c>
      <c r="C7" t="s">
        <v>3770</v>
      </c>
      <c r="D7" s="4" t="s">
        <v>22</v>
      </c>
      <c r="E7" s="4"/>
      <c r="F7" s="4"/>
    </row>
    <row r="8" spans="1:7" ht="15" x14ac:dyDescent="0.2">
      <c r="A8">
        <v>6</v>
      </c>
      <c r="B8" s="1" t="s">
        <v>3757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3758</v>
      </c>
      <c r="C9" t="s">
        <v>3772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3817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3794</v>
      </c>
      <c r="C11" t="s">
        <v>3797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3795</v>
      </c>
      <c r="C12" t="s">
        <v>3798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3810</v>
      </c>
      <c r="C13" t="s">
        <v>3780</v>
      </c>
      <c r="D13" s="4"/>
      <c r="E13" s="4"/>
      <c r="F13" s="4"/>
    </row>
    <row r="14" spans="1:7" ht="15" x14ac:dyDescent="0.2">
      <c r="A14">
        <v>12</v>
      </c>
      <c r="B14" s="6" t="s">
        <v>3811</v>
      </c>
      <c r="C14" t="s">
        <v>3782</v>
      </c>
      <c r="D14" s="4"/>
      <c r="E14" s="4"/>
      <c r="F14" s="4"/>
    </row>
    <row r="15" spans="1:7" ht="15" x14ac:dyDescent="0.2">
      <c r="A15">
        <v>13</v>
      </c>
      <c r="B15" s="6" t="s">
        <v>3812</v>
      </c>
      <c r="C15" t="s">
        <v>3786</v>
      </c>
      <c r="D15" s="4"/>
      <c r="E15" s="4"/>
      <c r="F15" s="4"/>
    </row>
    <row r="16" spans="1:7" ht="15" x14ac:dyDescent="0.2">
      <c r="A16">
        <v>14</v>
      </c>
      <c r="B16" s="6" t="s">
        <v>3813</v>
      </c>
      <c r="C16" t="s">
        <v>3788</v>
      </c>
      <c r="D16" s="4"/>
      <c r="E16" s="4"/>
      <c r="F16" s="4"/>
    </row>
    <row r="17" spans="1:7" ht="15" x14ac:dyDescent="0.2">
      <c r="A17" s="2">
        <v>15</v>
      </c>
      <c r="B17" s="56" t="s">
        <v>3791</v>
      </c>
      <c r="C17" s="2" t="s">
        <v>3801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3792</v>
      </c>
      <c r="C18" s="2" t="s">
        <v>3802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3793</v>
      </c>
      <c r="C19" s="2" t="s">
        <v>3809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3799</v>
      </c>
      <c r="C20" s="2" t="s">
        <v>3803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3804</v>
      </c>
      <c r="C21" s="2" t="s">
        <v>3805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3800</v>
      </c>
      <c r="C22" s="2" t="s">
        <v>3807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3806</v>
      </c>
      <c r="C23" s="2" t="s">
        <v>3808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3814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3736</v>
      </c>
      <c r="C3" t="s">
        <v>3735</v>
      </c>
      <c r="F3">
        <v>2</v>
      </c>
    </row>
    <row r="4" spans="1:6" ht="15" x14ac:dyDescent="0.2">
      <c r="A4">
        <v>2</v>
      </c>
      <c r="B4" s="1" t="s">
        <v>3713</v>
      </c>
      <c r="C4" t="s">
        <v>3714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3715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3716</v>
      </c>
      <c r="C6" t="s">
        <v>3720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3717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3718</v>
      </c>
      <c r="C8" t="s">
        <v>3724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3719</v>
      </c>
      <c r="C9" t="s">
        <v>3721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3722</v>
      </c>
      <c r="C10" t="s">
        <v>3727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3737</v>
      </c>
      <c r="C11" t="s">
        <v>3739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3723</v>
      </c>
      <c r="C12" t="s">
        <v>3728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3738</v>
      </c>
      <c r="C13" t="s">
        <v>3740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3725</v>
      </c>
      <c r="C14" t="s">
        <v>3729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3731</v>
      </c>
      <c r="C15" t="s">
        <v>3733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3726</v>
      </c>
      <c r="C16" t="s">
        <v>3730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3732</v>
      </c>
      <c r="C17" t="s">
        <v>3734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3605</v>
      </c>
      <c r="C2" t="s">
        <v>3606</v>
      </c>
      <c r="D2" s="4"/>
      <c r="E2" s="4"/>
      <c r="G2">
        <v>0</v>
      </c>
    </row>
    <row r="3" spans="1:7" ht="15" x14ac:dyDescent="0.2">
      <c r="A3">
        <v>1</v>
      </c>
      <c r="B3" s="1" t="s">
        <v>3613</v>
      </c>
      <c r="C3" t="s">
        <v>3614</v>
      </c>
      <c r="D3" s="4" t="s">
        <v>3617</v>
      </c>
      <c r="E3" s="4"/>
      <c r="G3">
        <v>2</v>
      </c>
    </row>
    <row r="4" spans="1:7" ht="15" x14ac:dyDescent="0.2">
      <c r="A4">
        <v>2</v>
      </c>
      <c r="B4" s="1" t="s">
        <v>3607</v>
      </c>
      <c r="C4" t="s">
        <v>3608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3615</v>
      </c>
      <c r="C5" t="s">
        <v>3616</v>
      </c>
      <c r="D5" s="4" t="s">
        <v>3617</v>
      </c>
      <c r="E5" s="4" t="s">
        <v>3617</v>
      </c>
      <c r="F5" t="b">
        <v>1</v>
      </c>
      <c r="G5">
        <v>4</v>
      </c>
    </row>
    <row r="6" spans="1:7" ht="15" x14ac:dyDescent="0.2">
      <c r="A6">
        <v>4</v>
      </c>
      <c r="B6" s="1" t="s">
        <v>3618</v>
      </c>
      <c r="C6" t="s">
        <v>3619</v>
      </c>
      <c r="D6" s="4" t="s">
        <v>3617</v>
      </c>
      <c r="E6" s="4" t="s">
        <v>3617</v>
      </c>
      <c r="G6">
        <v>12</v>
      </c>
    </row>
    <row r="7" spans="1:7" ht="15" x14ac:dyDescent="0.2">
      <c r="A7">
        <v>5</v>
      </c>
      <c r="B7" s="1" t="s">
        <v>3609</v>
      </c>
      <c r="C7" t="s">
        <v>3610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3623</v>
      </c>
      <c r="C8" t="s">
        <v>3620</v>
      </c>
      <c r="D8" s="4" t="s">
        <v>3617</v>
      </c>
      <c r="E8" s="4" t="s">
        <v>3617</v>
      </c>
      <c r="G8">
        <v>21</v>
      </c>
    </row>
    <row r="9" spans="1:7" ht="15" x14ac:dyDescent="0.2">
      <c r="A9" s="2">
        <v>7</v>
      </c>
      <c r="B9" s="3" t="s">
        <v>3611</v>
      </c>
      <c r="C9" s="2" t="s">
        <v>3612</v>
      </c>
      <c r="D9" s="4"/>
      <c r="E9" s="4"/>
      <c r="G9">
        <v>1</v>
      </c>
    </row>
    <row r="10" spans="1:7" ht="15" x14ac:dyDescent="0.2">
      <c r="A10" s="2">
        <v>8</v>
      </c>
      <c r="B10" s="3" t="s">
        <v>3469</v>
      </c>
      <c r="C10" s="2" t="s">
        <v>3473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3470</v>
      </c>
      <c r="C11" s="2" t="s">
        <v>3486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3471</v>
      </c>
      <c r="C12" s="2" t="s">
        <v>2883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3472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3467</v>
      </c>
      <c r="C14" s="2" t="s">
        <v>3474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3468</v>
      </c>
      <c r="C15" s="2" t="s">
        <v>3475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3476</v>
      </c>
      <c r="C16" s="2" t="s">
        <v>3484</v>
      </c>
      <c r="G16">
        <v>7</v>
      </c>
    </row>
    <row r="17" spans="1:7" ht="15" x14ac:dyDescent="0.2">
      <c r="A17" s="2">
        <v>15</v>
      </c>
      <c r="B17" s="56" t="s">
        <v>3477</v>
      </c>
      <c r="C17" s="2" t="s">
        <v>3485</v>
      </c>
      <c r="G17">
        <v>8</v>
      </c>
    </row>
    <row r="18" spans="1:7" ht="15" x14ac:dyDescent="0.2">
      <c r="A18" s="2">
        <v>16</v>
      </c>
      <c r="B18" s="56" t="s">
        <v>3478</v>
      </c>
      <c r="C18" s="2" t="s">
        <v>3487</v>
      </c>
      <c r="G18">
        <v>10</v>
      </c>
    </row>
    <row r="19" spans="1:7" ht="15" x14ac:dyDescent="0.2">
      <c r="A19" s="2">
        <v>17</v>
      </c>
      <c r="B19" s="56" t="s">
        <v>3479</v>
      </c>
      <c r="C19" s="2" t="s">
        <v>3488</v>
      </c>
      <c r="G19">
        <v>11</v>
      </c>
    </row>
    <row r="20" spans="1:7" ht="15" x14ac:dyDescent="0.2">
      <c r="A20" s="2">
        <v>18</v>
      </c>
      <c r="B20" s="56" t="s">
        <v>3480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3481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3482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3483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3489</v>
      </c>
      <c r="C24" s="2" t="s">
        <v>3491</v>
      </c>
      <c r="G24">
        <v>18</v>
      </c>
    </row>
    <row r="25" spans="1:7" ht="15" x14ac:dyDescent="0.2">
      <c r="A25" s="2">
        <v>23</v>
      </c>
      <c r="B25" s="56" t="s">
        <v>3490</v>
      </c>
      <c r="C25" s="2" t="s">
        <v>3492</v>
      </c>
      <c r="G25">
        <v>20</v>
      </c>
    </row>
    <row r="26" spans="1:7" ht="15" x14ac:dyDescent="0.2">
      <c r="A26" s="15">
        <v>24</v>
      </c>
      <c r="B26" s="43" t="s">
        <v>3624</v>
      </c>
      <c r="C26" s="15" t="s">
        <v>3621</v>
      </c>
      <c r="G26">
        <v>22</v>
      </c>
    </row>
    <row r="27" spans="1:7" ht="15" x14ac:dyDescent="0.2">
      <c r="A27" s="15">
        <v>25</v>
      </c>
      <c r="B27" s="43" t="s">
        <v>3625</v>
      </c>
      <c r="C27" s="15" t="s">
        <v>3622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3639</v>
      </c>
      <c r="C3" t="s">
        <v>2073</v>
      </c>
      <c r="D3" s="4" t="s">
        <v>22</v>
      </c>
      <c r="F3">
        <v>1</v>
      </c>
    </row>
    <row r="4" spans="1:6" ht="15" x14ac:dyDescent="0.2">
      <c r="A4">
        <v>2</v>
      </c>
      <c r="B4" s="1" t="s">
        <v>3638</v>
      </c>
      <c r="C4" t="s">
        <v>3637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3636</v>
      </c>
      <c r="C6" t="s">
        <v>3473</v>
      </c>
      <c r="D6" s="4" t="s">
        <v>22</v>
      </c>
      <c r="F6">
        <v>3</v>
      </c>
    </row>
    <row r="7" spans="1:6" ht="15" x14ac:dyDescent="0.2">
      <c r="A7">
        <v>5</v>
      </c>
      <c r="B7" s="1" t="s">
        <v>3635</v>
      </c>
      <c r="C7" t="s">
        <v>2883</v>
      </c>
      <c r="D7" s="4" t="s">
        <v>22</v>
      </c>
      <c r="F7">
        <v>6</v>
      </c>
    </row>
    <row r="8" spans="1:6" ht="15" x14ac:dyDescent="0.2">
      <c r="A8">
        <v>6</v>
      </c>
      <c r="B8" s="1" t="s">
        <v>3634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3633</v>
      </c>
      <c r="C9" t="s">
        <v>3484</v>
      </c>
      <c r="F9">
        <v>4</v>
      </c>
    </row>
    <row r="10" spans="1:6" ht="15" x14ac:dyDescent="0.2">
      <c r="A10">
        <v>8</v>
      </c>
      <c r="B10" s="6" t="s">
        <v>3632</v>
      </c>
      <c r="C10" t="s">
        <v>3485</v>
      </c>
      <c r="F10">
        <v>5</v>
      </c>
    </row>
    <row r="11" spans="1:6" ht="15" x14ac:dyDescent="0.2">
      <c r="A11">
        <v>9</v>
      </c>
      <c r="B11" s="6" t="s">
        <v>3631</v>
      </c>
      <c r="C11" t="s">
        <v>2900</v>
      </c>
      <c r="F11">
        <v>7</v>
      </c>
    </row>
    <row r="12" spans="1:6" ht="15" x14ac:dyDescent="0.2">
      <c r="A12">
        <v>10</v>
      </c>
      <c r="B12" s="6" t="s">
        <v>3630</v>
      </c>
      <c r="C12" t="s">
        <v>2901</v>
      </c>
      <c r="F12">
        <v>8</v>
      </c>
    </row>
    <row r="13" spans="1:6" ht="15" x14ac:dyDescent="0.2">
      <c r="A13">
        <v>11</v>
      </c>
      <c r="B13" s="6" t="s">
        <v>3629</v>
      </c>
      <c r="C13" t="s">
        <v>1148</v>
      </c>
      <c r="F13">
        <v>10</v>
      </c>
    </row>
    <row r="14" spans="1:6" ht="15" x14ac:dyDescent="0.2">
      <c r="A14">
        <v>12</v>
      </c>
      <c r="B14" s="6" t="s">
        <v>3628</v>
      </c>
      <c r="C14" t="s">
        <v>1152</v>
      </c>
      <c r="F14">
        <v>12</v>
      </c>
    </row>
    <row r="15" spans="1:6" ht="15" x14ac:dyDescent="0.2">
      <c r="A15">
        <v>13</v>
      </c>
      <c r="B15" s="6" t="s">
        <v>3627</v>
      </c>
      <c r="C15" t="s">
        <v>3491</v>
      </c>
      <c r="F15">
        <v>11</v>
      </c>
    </row>
    <row r="16" spans="1:6" ht="15" x14ac:dyDescent="0.2">
      <c r="A16">
        <v>14</v>
      </c>
      <c r="B16" s="6" t="s">
        <v>3626</v>
      </c>
      <c r="C16" t="s">
        <v>3492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3567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3572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3568</v>
      </c>
      <c r="C4" s="2" t="s">
        <v>3570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3569</v>
      </c>
      <c r="C5" s="2" t="s">
        <v>3571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3573</v>
      </c>
      <c r="C6" s="2" t="s">
        <v>3575</v>
      </c>
      <c r="D6" s="4"/>
      <c r="E6" s="4"/>
      <c r="F6">
        <v>3</v>
      </c>
    </row>
    <row r="7" spans="1:6" ht="15" x14ac:dyDescent="0.2">
      <c r="A7" s="2">
        <v>5</v>
      </c>
      <c r="B7" s="56" t="s">
        <v>3574</v>
      </c>
      <c r="C7" s="2" t="s">
        <v>3576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3599</v>
      </c>
      <c r="C3" t="s">
        <v>3600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3601</v>
      </c>
      <c r="C4" t="s">
        <v>3602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3603</v>
      </c>
      <c r="C5" t="s">
        <v>3604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3577</v>
      </c>
      <c r="C3" t="s">
        <v>3594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3578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3579</v>
      </c>
      <c r="C5" t="s">
        <v>3590</v>
      </c>
      <c r="D5" s="4" t="s">
        <v>22</v>
      </c>
      <c r="F5">
        <v>11</v>
      </c>
    </row>
    <row r="6" spans="1:6" ht="15" x14ac:dyDescent="0.2">
      <c r="A6">
        <v>4</v>
      </c>
      <c r="B6" s="1" t="s">
        <v>3580</v>
      </c>
      <c r="C6" t="s">
        <v>3591</v>
      </c>
      <c r="D6" s="4" t="s">
        <v>22</v>
      </c>
      <c r="F6">
        <v>12</v>
      </c>
    </row>
    <row r="7" spans="1:6" ht="15" x14ac:dyDescent="0.2">
      <c r="A7">
        <v>5</v>
      </c>
      <c r="B7" s="1" t="s">
        <v>3581</v>
      </c>
      <c r="C7" t="s">
        <v>3592</v>
      </c>
      <c r="D7" s="4" t="s">
        <v>22</v>
      </c>
      <c r="F7">
        <v>13</v>
      </c>
    </row>
    <row r="8" spans="1:6" ht="15" x14ac:dyDescent="0.2">
      <c r="A8">
        <v>6</v>
      </c>
      <c r="B8" s="6" t="s">
        <v>3582</v>
      </c>
      <c r="C8" t="s">
        <v>868</v>
      </c>
      <c r="F8">
        <v>2</v>
      </c>
    </row>
    <row r="9" spans="1:6" ht="15" x14ac:dyDescent="0.2">
      <c r="A9">
        <v>7</v>
      </c>
      <c r="B9" s="6" t="s">
        <v>3583</v>
      </c>
      <c r="C9" t="s">
        <v>869</v>
      </c>
      <c r="F9">
        <v>3</v>
      </c>
    </row>
    <row r="10" spans="1:6" ht="15" x14ac:dyDescent="0.2">
      <c r="A10" s="2">
        <v>8</v>
      </c>
      <c r="B10" s="3" t="s">
        <v>3584</v>
      </c>
      <c r="C10" s="2" t="s">
        <v>2948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3585</v>
      </c>
      <c r="C11" s="2" t="s">
        <v>3593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3586</v>
      </c>
      <c r="C12" s="2" t="s">
        <v>3595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3587</v>
      </c>
      <c r="C13" s="2" t="s">
        <v>3596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3588</v>
      </c>
      <c r="C14" s="2" t="s">
        <v>3597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3589</v>
      </c>
      <c r="C15" s="2" t="s">
        <v>3598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2133</v>
      </c>
      <c r="D3" s="4" t="s">
        <v>22</v>
      </c>
      <c r="G3">
        <v>1</v>
      </c>
    </row>
    <row r="4" spans="1:7" ht="15" x14ac:dyDescent="0.2">
      <c r="A4">
        <v>2</v>
      </c>
      <c r="B4" s="1" t="s">
        <v>2078</v>
      </c>
      <c r="C4" t="s">
        <v>2134</v>
      </c>
      <c r="D4" s="4" t="s">
        <v>22</v>
      </c>
      <c r="G4">
        <v>2</v>
      </c>
    </row>
    <row r="5" spans="1:7" ht="15" x14ac:dyDescent="0.2">
      <c r="A5">
        <v>3</v>
      </c>
      <c r="B5" s="1" t="s">
        <v>2079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2080</v>
      </c>
      <c r="C6" t="s">
        <v>2137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2081</v>
      </c>
      <c r="C7" t="s">
        <v>2138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2082</v>
      </c>
      <c r="C8" t="s">
        <v>2139</v>
      </c>
      <c r="D8" s="4" t="s">
        <v>22</v>
      </c>
      <c r="G8">
        <v>220</v>
      </c>
    </row>
    <row r="9" spans="1:7" ht="15" x14ac:dyDescent="0.2">
      <c r="A9">
        <v>7</v>
      </c>
      <c r="B9" s="1" t="s">
        <v>2083</v>
      </c>
      <c r="C9" t="s">
        <v>2140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2084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2085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2086</v>
      </c>
      <c r="C12" t="s">
        <v>2141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2087</v>
      </c>
      <c r="C13" t="s">
        <v>2142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2088</v>
      </c>
      <c r="C14" t="s">
        <v>2143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2144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2089</v>
      </c>
      <c r="C16" t="s">
        <v>2145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2090</v>
      </c>
      <c r="C17" t="s">
        <v>2152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2091</v>
      </c>
      <c r="C18" t="s">
        <v>2155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2092</v>
      </c>
      <c r="C19" t="s">
        <v>2158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2093</v>
      </c>
      <c r="C20" t="s">
        <v>2161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2094</v>
      </c>
      <c r="C21" t="s">
        <v>2162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2095</v>
      </c>
      <c r="C22" t="s">
        <v>2164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2096</v>
      </c>
      <c r="C23" t="s">
        <v>2165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2097</v>
      </c>
      <c r="C24" t="s">
        <v>2168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2098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2099</v>
      </c>
      <c r="C26" t="s">
        <v>2169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2100</v>
      </c>
      <c r="C27" t="s">
        <v>2170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2101</v>
      </c>
      <c r="C28" t="s">
        <v>2173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2102</v>
      </c>
      <c r="C29" t="s">
        <v>2174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2103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2104</v>
      </c>
      <c r="C31" t="s">
        <v>2199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2105</v>
      </c>
      <c r="C32" t="s">
        <v>2175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2106</v>
      </c>
      <c r="C33" t="s">
        <v>2180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2107</v>
      </c>
      <c r="C34" t="s">
        <v>2181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2108</v>
      </c>
      <c r="C35" t="s">
        <v>2186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2109</v>
      </c>
      <c r="C36" t="s">
        <v>2200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2110</v>
      </c>
      <c r="C37" t="s">
        <v>2201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2111</v>
      </c>
      <c r="C38" t="s">
        <v>2436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2215</v>
      </c>
      <c r="C39" t="s">
        <v>2217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2216</v>
      </c>
      <c r="C40" t="s">
        <v>2218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2388</v>
      </c>
      <c r="C41" t="s">
        <v>2396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2389</v>
      </c>
      <c r="C42" t="s">
        <v>2397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2390</v>
      </c>
      <c r="C43" t="s">
        <v>2398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2391</v>
      </c>
      <c r="C44" t="s">
        <v>2399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2392</v>
      </c>
      <c r="C45" t="s">
        <v>2400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2393</v>
      </c>
      <c r="C46" t="s">
        <v>2401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2394</v>
      </c>
      <c r="C47" t="s">
        <v>2402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2395</v>
      </c>
      <c r="C48" t="s">
        <v>2403</v>
      </c>
      <c r="G48">
        <v>176</v>
      </c>
    </row>
    <row r="49" spans="1:7" ht="15" x14ac:dyDescent="0.2">
      <c r="A49">
        <v>47</v>
      </c>
      <c r="B49" s="1" t="s">
        <v>2112</v>
      </c>
      <c r="C49" t="s">
        <v>2231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2232</v>
      </c>
      <c r="C50" t="s">
        <v>2234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2233</v>
      </c>
      <c r="C51" t="s">
        <v>2235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2237</v>
      </c>
      <c r="C52" t="s">
        <v>2239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2238</v>
      </c>
      <c r="C53" t="s">
        <v>2240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2241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2242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2243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2244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2245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2246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2247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2248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2249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2250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2251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2252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2253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2254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2255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2256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2257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2113</v>
      </c>
      <c r="C71" t="s">
        <v>2274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2114</v>
      </c>
      <c r="C72" t="s">
        <v>2621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2115</v>
      </c>
      <c r="C73" t="s">
        <v>2283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2116</v>
      </c>
      <c r="C74" t="s">
        <v>2286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2117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2118</v>
      </c>
      <c r="C76" t="s">
        <v>2287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2119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2120</v>
      </c>
      <c r="C78" t="s">
        <v>2295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2121</v>
      </c>
      <c r="C79" t="s">
        <v>2296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2122</v>
      </c>
      <c r="C80" t="s">
        <v>2297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2123</v>
      </c>
      <c r="C81" t="s">
        <v>2299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2124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2125</v>
      </c>
      <c r="C83" t="s">
        <v>2300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2126</v>
      </c>
      <c r="C84" t="s">
        <v>2305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2127</v>
      </c>
      <c r="C85" t="s">
        <v>2308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2128</v>
      </c>
      <c r="C86" t="s">
        <v>2379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2129</v>
      </c>
      <c r="C87" t="s">
        <v>2386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2130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2131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2132</v>
      </c>
      <c r="C90" t="s">
        <v>2387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2135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2136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2219</v>
      </c>
      <c r="C93" t="s">
        <v>2225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2220</v>
      </c>
      <c r="C94" t="s">
        <v>2226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2221</v>
      </c>
      <c r="C95" t="s">
        <v>2227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2222</v>
      </c>
      <c r="C96" t="s">
        <v>2228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2223</v>
      </c>
      <c r="C97" t="s">
        <v>2229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2224</v>
      </c>
      <c r="C98" t="s">
        <v>2230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2404</v>
      </c>
      <c r="C99" t="s">
        <v>2414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2405</v>
      </c>
      <c r="C100" t="s">
        <v>2415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2406</v>
      </c>
      <c r="C101" t="s">
        <v>2416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2410</v>
      </c>
      <c r="C102" t="s">
        <v>2420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2407</v>
      </c>
      <c r="C103" t="s">
        <v>2417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2411</v>
      </c>
      <c r="C104" t="s">
        <v>2421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2860</v>
      </c>
      <c r="C105" t="s">
        <v>2862</v>
      </c>
      <c r="G105">
        <v>194</v>
      </c>
    </row>
    <row r="106" spans="1:7" ht="15" x14ac:dyDescent="0.2">
      <c r="A106">
        <v>104</v>
      </c>
      <c r="B106" s="6" t="s">
        <v>2861</v>
      </c>
      <c r="C106" t="s">
        <v>2863</v>
      </c>
      <c r="G106">
        <v>196</v>
      </c>
    </row>
    <row r="107" spans="1:7" ht="15" x14ac:dyDescent="0.2">
      <c r="A107">
        <v>105</v>
      </c>
      <c r="B107" s="6" t="s">
        <v>2408</v>
      </c>
      <c r="C107" t="s">
        <v>2418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2412</v>
      </c>
      <c r="C108" t="s">
        <v>2422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2409</v>
      </c>
      <c r="C109" t="s">
        <v>2419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2413</v>
      </c>
      <c r="C110" t="s">
        <v>2423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2864</v>
      </c>
      <c r="C111" t="s">
        <v>2866</v>
      </c>
      <c r="G111">
        <v>202</v>
      </c>
    </row>
    <row r="112" spans="1:7" ht="15" x14ac:dyDescent="0.2">
      <c r="A112">
        <v>110</v>
      </c>
      <c r="B112" s="6" t="s">
        <v>2865</v>
      </c>
      <c r="C112" t="s">
        <v>2867</v>
      </c>
      <c r="G112">
        <v>204</v>
      </c>
    </row>
    <row r="113" spans="1:7" ht="15" x14ac:dyDescent="0.2">
      <c r="A113">
        <v>111</v>
      </c>
      <c r="B113" s="6" t="s">
        <v>2258</v>
      </c>
      <c r="G113">
        <v>39</v>
      </c>
    </row>
    <row r="114" spans="1:7" ht="15" x14ac:dyDescent="0.2">
      <c r="A114">
        <v>112</v>
      </c>
      <c r="B114" s="6" t="s">
        <v>2266</v>
      </c>
      <c r="G114">
        <v>40</v>
      </c>
    </row>
    <row r="115" spans="1:7" ht="15" x14ac:dyDescent="0.2">
      <c r="A115">
        <v>113</v>
      </c>
      <c r="B115" s="6" t="s">
        <v>2259</v>
      </c>
      <c r="G115">
        <v>42</v>
      </c>
    </row>
    <row r="116" spans="1:7" ht="15" x14ac:dyDescent="0.2">
      <c r="A116">
        <v>114</v>
      </c>
      <c r="B116" s="6" t="s">
        <v>2267</v>
      </c>
      <c r="G116">
        <v>43</v>
      </c>
    </row>
    <row r="117" spans="1:7" ht="15" x14ac:dyDescent="0.2">
      <c r="A117">
        <v>115</v>
      </c>
      <c r="B117" s="6" t="s">
        <v>2260</v>
      </c>
      <c r="G117">
        <v>45</v>
      </c>
    </row>
    <row r="118" spans="1:7" ht="15" x14ac:dyDescent="0.2">
      <c r="A118">
        <v>116</v>
      </c>
      <c r="B118" s="6" t="s">
        <v>2268</v>
      </c>
      <c r="G118">
        <v>46</v>
      </c>
    </row>
    <row r="119" spans="1:7" ht="15" x14ac:dyDescent="0.2">
      <c r="A119">
        <v>117</v>
      </c>
      <c r="B119" s="6" t="s">
        <v>2261</v>
      </c>
      <c r="G119">
        <v>48</v>
      </c>
    </row>
    <row r="120" spans="1:7" ht="15" x14ac:dyDescent="0.2">
      <c r="A120">
        <v>118</v>
      </c>
      <c r="B120" s="6" t="s">
        <v>2269</v>
      </c>
      <c r="G120">
        <v>49</v>
      </c>
    </row>
    <row r="121" spans="1:7" ht="15" x14ac:dyDescent="0.2">
      <c r="A121">
        <v>119</v>
      </c>
      <c r="B121" s="6" t="s">
        <v>2262</v>
      </c>
      <c r="G121">
        <v>51</v>
      </c>
    </row>
    <row r="122" spans="1:7" ht="15" x14ac:dyDescent="0.2">
      <c r="A122">
        <v>120</v>
      </c>
      <c r="B122" s="6" t="s">
        <v>2270</v>
      </c>
      <c r="G122">
        <v>52</v>
      </c>
    </row>
    <row r="123" spans="1:7" ht="15" x14ac:dyDescent="0.2">
      <c r="A123">
        <v>121</v>
      </c>
      <c r="B123" s="6" t="s">
        <v>2263</v>
      </c>
      <c r="G123">
        <v>54</v>
      </c>
    </row>
    <row r="124" spans="1:7" ht="15" x14ac:dyDescent="0.2">
      <c r="A124">
        <v>122</v>
      </c>
      <c r="B124" s="6" t="s">
        <v>2271</v>
      </c>
      <c r="G124">
        <v>55</v>
      </c>
    </row>
    <row r="125" spans="1:7" ht="15" x14ac:dyDescent="0.2">
      <c r="A125">
        <v>123</v>
      </c>
      <c r="B125" s="6" t="s">
        <v>2264</v>
      </c>
      <c r="G125">
        <v>57</v>
      </c>
    </row>
    <row r="126" spans="1:7" ht="15" x14ac:dyDescent="0.2">
      <c r="A126">
        <v>124</v>
      </c>
      <c r="B126" s="6" t="s">
        <v>2272</v>
      </c>
      <c r="G126">
        <v>58</v>
      </c>
    </row>
    <row r="127" spans="1:7" ht="15" x14ac:dyDescent="0.2">
      <c r="A127">
        <v>125</v>
      </c>
      <c r="B127" s="6" t="s">
        <v>2265</v>
      </c>
      <c r="G127">
        <v>60</v>
      </c>
    </row>
    <row r="128" spans="1:7" ht="15" x14ac:dyDescent="0.2">
      <c r="A128">
        <v>126</v>
      </c>
      <c r="B128" s="6" t="s">
        <v>2273</v>
      </c>
      <c r="G128">
        <v>61</v>
      </c>
    </row>
    <row r="129" spans="1:7" ht="15" x14ac:dyDescent="0.2">
      <c r="A129">
        <v>127</v>
      </c>
      <c r="B129" s="6" t="s">
        <v>2284</v>
      </c>
      <c r="C129" t="s">
        <v>2285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2424</v>
      </c>
      <c r="C130" t="s">
        <v>2298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2301</v>
      </c>
      <c r="C131" t="s">
        <v>2303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2302</v>
      </c>
      <c r="C132" t="s">
        <v>2304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2146</v>
      </c>
      <c r="C133" s="24" t="s">
        <v>2147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2148</v>
      </c>
      <c r="C134" s="26" t="s">
        <v>2150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2149</v>
      </c>
      <c r="C135" s="28" t="s">
        <v>2151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2153</v>
      </c>
      <c r="C136" s="30" t="s">
        <v>2154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2156</v>
      </c>
      <c r="C137" s="7" t="s">
        <v>2157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2995</v>
      </c>
      <c r="C138" s="7" t="s">
        <v>2159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2996</v>
      </c>
      <c r="C139" s="7" t="s">
        <v>2160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2163</v>
      </c>
      <c r="C140" s="32" t="s">
        <v>2236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2166</v>
      </c>
      <c r="C141" s="34" t="s">
        <v>2167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2997</v>
      </c>
      <c r="C142" s="9" t="s">
        <v>2999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2998</v>
      </c>
      <c r="C143" s="9" t="s">
        <v>3000</v>
      </c>
      <c r="G143">
        <v>71</v>
      </c>
    </row>
    <row r="144" spans="1:7" ht="15" x14ac:dyDescent="0.2">
      <c r="A144" s="9">
        <v>142</v>
      </c>
      <c r="B144" s="10" t="s">
        <v>2171</v>
      </c>
      <c r="C144" s="9" t="s">
        <v>2172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3001</v>
      </c>
      <c r="C145" s="36" t="s">
        <v>3003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3002</v>
      </c>
      <c r="C146" s="36" t="s">
        <v>3004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2176</v>
      </c>
      <c r="C147" s="37" t="s">
        <v>2177</v>
      </c>
      <c r="G147">
        <v>17</v>
      </c>
    </row>
    <row r="148" spans="1:7" ht="15" x14ac:dyDescent="0.2">
      <c r="A148" s="37">
        <v>146</v>
      </c>
      <c r="B148" s="44" t="s">
        <v>2934</v>
      </c>
      <c r="C148" s="37" t="s">
        <v>2178</v>
      </c>
      <c r="G148">
        <v>18</v>
      </c>
    </row>
    <row r="149" spans="1:7" ht="15" x14ac:dyDescent="0.2">
      <c r="A149" s="37">
        <v>147</v>
      </c>
      <c r="B149" s="44" t="s">
        <v>2935</v>
      </c>
      <c r="C149" s="37" t="s">
        <v>2179</v>
      </c>
      <c r="G149">
        <v>19</v>
      </c>
    </row>
    <row r="150" spans="1:7" ht="15" x14ac:dyDescent="0.2">
      <c r="A150" s="39">
        <v>148</v>
      </c>
      <c r="B150" s="40" t="s">
        <v>2182</v>
      </c>
      <c r="C150" s="39" t="s">
        <v>2183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2184</v>
      </c>
      <c r="C151" s="50" t="s">
        <v>2185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2187</v>
      </c>
      <c r="C152" s="15" t="s">
        <v>2202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2188</v>
      </c>
      <c r="C153" s="15" t="s">
        <v>2203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2189</v>
      </c>
      <c r="C154" s="15" t="s">
        <v>2204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2190</v>
      </c>
      <c r="C155" s="15" t="s">
        <v>2205</v>
      </c>
      <c r="G155">
        <v>163</v>
      </c>
    </row>
    <row r="156" spans="1:7" ht="15" x14ac:dyDescent="0.2">
      <c r="A156" s="15">
        <v>154</v>
      </c>
      <c r="B156" s="43" t="s">
        <v>2191</v>
      </c>
      <c r="C156" s="15" t="s">
        <v>2206</v>
      </c>
      <c r="G156">
        <v>158</v>
      </c>
    </row>
    <row r="157" spans="1:7" ht="15" x14ac:dyDescent="0.2">
      <c r="A157" s="15">
        <v>155</v>
      </c>
      <c r="B157" s="43" t="s">
        <v>2192</v>
      </c>
      <c r="C157" s="15" t="s">
        <v>2207</v>
      </c>
      <c r="G157">
        <v>159</v>
      </c>
    </row>
    <row r="158" spans="1:7" ht="15" x14ac:dyDescent="0.2">
      <c r="A158" s="15">
        <v>156</v>
      </c>
      <c r="B158" s="43" t="s">
        <v>2193</v>
      </c>
      <c r="C158" s="15" t="s">
        <v>2208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2194</v>
      </c>
      <c r="C159" s="15" t="s">
        <v>2209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2195</v>
      </c>
      <c r="C160" s="15" t="s">
        <v>2210</v>
      </c>
      <c r="G160">
        <v>164</v>
      </c>
    </row>
    <row r="161" spans="1:7" ht="15" x14ac:dyDescent="0.2">
      <c r="A161" s="15">
        <v>159</v>
      </c>
      <c r="B161" s="43" t="s">
        <v>2196</v>
      </c>
      <c r="C161" s="15" t="s">
        <v>2211</v>
      </c>
      <c r="G161">
        <v>166</v>
      </c>
    </row>
    <row r="162" spans="1:7" ht="15" x14ac:dyDescent="0.2">
      <c r="A162" s="15">
        <v>160</v>
      </c>
      <c r="B162" s="43" t="s">
        <v>2197</v>
      </c>
      <c r="C162" s="15" t="s">
        <v>2212</v>
      </c>
      <c r="G162">
        <v>165</v>
      </c>
    </row>
    <row r="163" spans="1:7" ht="15" x14ac:dyDescent="0.2">
      <c r="A163" s="15">
        <v>161</v>
      </c>
      <c r="B163" s="43" t="s">
        <v>2198</v>
      </c>
      <c r="C163" s="15" t="s">
        <v>2213</v>
      </c>
      <c r="G163">
        <v>167</v>
      </c>
    </row>
    <row r="164" spans="1:7" ht="15" x14ac:dyDescent="0.2">
      <c r="A164" s="41">
        <v>162</v>
      </c>
      <c r="B164" s="42" t="s">
        <v>2936</v>
      </c>
      <c r="C164" s="41" t="s">
        <v>2214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2288</v>
      </c>
      <c r="C165" s="2" t="s">
        <v>2289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2290</v>
      </c>
      <c r="C166" s="2" t="s">
        <v>2441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2294</v>
      </c>
      <c r="C167" s="2" t="s">
        <v>2440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2291</v>
      </c>
      <c r="C168" s="2" t="s">
        <v>2439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2292</v>
      </c>
      <c r="C169" s="2" t="s">
        <v>2438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2293</v>
      </c>
      <c r="C170" s="2" t="s">
        <v>2437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2306</v>
      </c>
      <c r="C171" s="24" t="s">
        <v>2307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2309</v>
      </c>
      <c r="C172" s="45" t="s">
        <v>2310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2311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2312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2313</v>
      </c>
      <c r="C175" s="45" t="s">
        <v>2337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2314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2315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2316</v>
      </c>
      <c r="C178" s="45" t="s">
        <v>2338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2317</v>
      </c>
      <c r="C179" s="45" t="s">
        <v>2339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2318</v>
      </c>
      <c r="C180" s="45" t="s">
        <v>2340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2319</v>
      </c>
      <c r="C181" s="45" t="s">
        <v>2341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2320</v>
      </c>
      <c r="C182" s="45" t="s">
        <v>2342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2321</v>
      </c>
      <c r="C183" s="45" t="s">
        <v>2359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2322</v>
      </c>
      <c r="C184" s="45" t="s">
        <v>2343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2323</v>
      </c>
      <c r="C185" s="45" t="s">
        <v>2344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2324</v>
      </c>
      <c r="C186" s="45" t="s">
        <v>2345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2325</v>
      </c>
      <c r="C187" s="45" t="s">
        <v>2346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2326</v>
      </c>
      <c r="C188" s="45" t="s">
        <v>2347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2327</v>
      </c>
      <c r="C189" s="45" t="s">
        <v>2348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2328</v>
      </c>
      <c r="C190" s="45" t="s">
        <v>2360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2329</v>
      </c>
      <c r="C191" s="45" t="s">
        <v>2361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2349</v>
      </c>
      <c r="C192" s="45" t="s">
        <v>2362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2350</v>
      </c>
      <c r="C193" s="45" t="s">
        <v>2363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2351</v>
      </c>
      <c r="C194" s="45" t="s">
        <v>2364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2352</v>
      </c>
      <c r="C195" s="45" t="s">
        <v>2365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2353</v>
      </c>
      <c r="C196" s="45" t="s">
        <v>2366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2354</v>
      </c>
      <c r="C197" s="45" t="s">
        <v>2367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2330</v>
      </c>
      <c r="C198" s="45" t="s">
        <v>2368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2331</v>
      </c>
      <c r="C199" s="45" t="s">
        <v>2369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2355</v>
      </c>
      <c r="C200" s="45" t="s">
        <v>2370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2332</v>
      </c>
      <c r="C201" s="45" t="s">
        <v>2371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2333</v>
      </c>
      <c r="C202" s="45" t="s">
        <v>2372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2356</v>
      </c>
      <c r="C203" s="45" t="s">
        <v>2373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2334</v>
      </c>
      <c r="C204" s="45" t="s">
        <v>2374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2335</v>
      </c>
      <c r="C205" s="45" t="s">
        <v>2375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2336</v>
      </c>
      <c r="C206" s="45" t="s">
        <v>2376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2357</v>
      </c>
      <c r="C207" s="45" t="s">
        <v>2377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2358</v>
      </c>
      <c r="C208" s="45" t="s">
        <v>2378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2442</v>
      </c>
      <c r="C209" s="45" t="s">
        <v>2443</v>
      </c>
      <c r="G209">
        <v>96</v>
      </c>
    </row>
    <row r="210" spans="1:7" ht="15" x14ac:dyDescent="0.2">
      <c r="A210" s="45">
        <v>208</v>
      </c>
      <c r="B210" s="52" t="s">
        <v>2444</v>
      </c>
      <c r="C210" s="45" t="s">
        <v>2445</v>
      </c>
      <c r="G210">
        <v>97</v>
      </c>
    </row>
    <row r="211" spans="1:7" ht="15" x14ac:dyDescent="0.2">
      <c r="A211" s="45">
        <v>209</v>
      </c>
      <c r="B211" s="52" t="s">
        <v>2446</v>
      </c>
      <c r="C211" s="45" t="s">
        <v>2482</v>
      </c>
      <c r="G211">
        <v>99</v>
      </c>
    </row>
    <row r="212" spans="1:7" ht="15" x14ac:dyDescent="0.2">
      <c r="A212" s="45">
        <v>210</v>
      </c>
      <c r="B212" s="52" t="s">
        <v>2447</v>
      </c>
      <c r="C212" s="45" t="s">
        <v>2483</v>
      </c>
      <c r="G212">
        <v>100</v>
      </c>
    </row>
    <row r="213" spans="1:7" ht="15" x14ac:dyDescent="0.2">
      <c r="A213" s="45">
        <v>211</v>
      </c>
      <c r="B213" s="52" t="s">
        <v>2448</v>
      </c>
      <c r="C213" s="45" t="s">
        <v>2484</v>
      </c>
      <c r="G213">
        <v>102</v>
      </c>
    </row>
    <row r="214" spans="1:7" ht="15" x14ac:dyDescent="0.2">
      <c r="A214" s="45">
        <v>212</v>
      </c>
      <c r="B214" s="52" t="s">
        <v>2449</v>
      </c>
      <c r="C214" s="45" t="s">
        <v>2485</v>
      </c>
      <c r="G214">
        <v>103</v>
      </c>
    </row>
    <row r="215" spans="1:7" ht="15" x14ac:dyDescent="0.2">
      <c r="A215" s="45">
        <v>213</v>
      </c>
      <c r="B215" s="52" t="s">
        <v>2450</v>
      </c>
      <c r="C215" s="45" t="s">
        <v>2486</v>
      </c>
      <c r="G215">
        <v>105</v>
      </c>
    </row>
    <row r="216" spans="1:7" ht="15" x14ac:dyDescent="0.2">
      <c r="A216" s="45">
        <v>214</v>
      </c>
      <c r="B216" s="52" t="s">
        <v>2451</v>
      </c>
      <c r="C216" s="45" t="s">
        <v>2487</v>
      </c>
      <c r="G216">
        <v>106</v>
      </c>
    </row>
    <row r="217" spans="1:7" ht="15" x14ac:dyDescent="0.2">
      <c r="A217" s="45">
        <v>215</v>
      </c>
      <c r="B217" s="52" t="s">
        <v>2452</v>
      </c>
      <c r="C217" s="45" t="s">
        <v>2488</v>
      </c>
      <c r="G217">
        <v>108</v>
      </c>
    </row>
    <row r="218" spans="1:7" ht="15" x14ac:dyDescent="0.2">
      <c r="A218" s="45">
        <v>216</v>
      </c>
      <c r="B218" s="52" t="s">
        <v>2453</v>
      </c>
      <c r="C218" s="45" t="s">
        <v>2489</v>
      </c>
      <c r="G218">
        <v>109</v>
      </c>
    </row>
    <row r="219" spans="1:7" ht="15" x14ac:dyDescent="0.2">
      <c r="A219" s="45">
        <v>217</v>
      </c>
      <c r="B219" s="52" t="s">
        <v>2454</v>
      </c>
      <c r="C219" s="45" t="s">
        <v>2490</v>
      </c>
      <c r="G219">
        <v>111</v>
      </c>
    </row>
    <row r="220" spans="1:7" ht="15" x14ac:dyDescent="0.2">
      <c r="A220" s="45">
        <v>218</v>
      </c>
      <c r="B220" s="52" t="s">
        <v>2455</v>
      </c>
      <c r="C220" s="45" t="s">
        <v>2491</v>
      </c>
      <c r="G220">
        <v>112</v>
      </c>
    </row>
    <row r="221" spans="1:7" ht="15" x14ac:dyDescent="0.2">
      <c r="A221" s="45">
        <v>219</v>
      </c>
      <c r="B221" s="52" t="s">
        <v>2456</v>
      </c>
      <c r="C221" s="45" t="s">
        <v>2492</v>
      </c>
      <c r="G221">
        <v>114</v>
      </c>
    </row>
    <row r="222" spans="1:7" ht="15" x14ac:dyDescent="0.2">
      <c r="A222" s="45">
        <v>220</v>
      </c>
      <c r="B222" s="52" t="s">
        <v>2457</v>
      </c>
      <c r="C222" s="45" t="s">
        <v>2493</v>
      </c>
      <c r="G222">
        <v>115</v>
      </c>
    </row>
    <row r="223" spans="1:7" ht="15" x14ac:dyDescent="0.2">
      <c r="A223" s="45">
        <v>221</v>
      </c>
      <c r="B223" s="52" t="s">
        <v>2458</v>
      </c>
      <c r="C223" s="45" t="s">
        <v>2494</v>
      </c>
      <c r="G223">
        <v>117</v>
      </c>
    </row>
    <row r="224" spans="1:7" ht="15" x14ac:dyDescent="0.2">
      <c r="A224" s="45">
        <v>222</v>
      </c>
      <c r="B224" s="52" t="s">
        <v>2459</v>
      </c>
      <c r="C224" s="45" t="s">
        <v>2495</v>
      </c>
      <c r="G224">
        <v>118</v>
      </c>
    </row>
    <row r="225" spans="1:7" ht="15" x14ac:dyDescent="0.2">
      <c r="A225" s="45">
        <v>223</v>
      </c>
      <c r="B225" s="52" t="s">
        <v>2460</v>
      </c>
      <c r="C225" s="45" t="s">
        <v>2496</v>
      </c>
      <c r="G225">
        <v>120</v>
      </c>
    </row>
    <row r="226" spans="1:7" ht="15" x14ac:dyDescent="0.2">
      <c r="A226" s="45">
        <v>224</v>
      </c>
      <c r="B226" s="52" t="s">
        <v>2461</v>
      </c>
      <c r="C226" s="45" t="s">
        <v>2497</v>
      </c>
      <c r="G226">
        <v>121</v>
      </c>
    </row>
    <row r="227" spans="1:7" ht="15" x14ac:dyDescent="0.2">
      <c r="A227" s="45">
        <v>225</v>
      </c>
      <c r="B227" s="52" t="s">
        <v>2462</v>
      </c>
      <c r="C227" s="45" t="s">
        <v>2498</v>
      </c>
      <c r="G227">
        <v>123</v>
      </c>
    </row>
    <row r="228" spans="1:7" ht="15" x14ac:dyDescent="0.2">
      <c r="A228" s="45">
        <v>226</v>
      </c>
      <c r="B228" s="52" t="s">
        <v>2463</v>
      </c>
      <c r="C228" s="45" t="s">
        <v>2499</v>
      </c>
      <c r="G228">
        <v>124</v>
      </c>
    </row>
    <row r="229" spans="1:7" ht="15" x14ac:dyDescent="0.2">
      <c r="A229" s="45">
        <v>227</v>
      </c>
      <c r="B229" s="52" t="s">
        <v>2464</v>
      </c>
      <c r="C229" s="45" t="s">
        <v>2500</v>
      </c>
      <c r="G229">
        <v>126</v>
      </c>
    </row>
    <row r="230" spans="1:7" ht="15" x14ac:dyDescent="0.2">
      <c r="A230" s="45">
        <v>228</v>
      </c>
      <c r="B230" s="52" t="s">
        <v>2465</v>
      </c>
      <c r="C230" s="45" t="s">
        <v>2501</v>
      </c>
      <c r="G230">
        <v>127</v>
      </c>
    </row>
    <row r="231" spans="1:7" ht="15" x14ac:dyDescent="0.2">
      <c r="A231" s="45">
        <v>229</v>
      </c>
      <c r="B231" s="52" t="s">
        <v>2466</v>
      </c>
      <c r="C231" s="45" t="s">
        <v>2502</v>
      </c>
      <c r="G231">
        <v>129</v>
      </c>
    </row>
    <row r="232" spans="1:7" ht="15" x14ac:dyDescent="0.2">
      <c r="A232" s="45">
        <v>230</v>
      </c>
      <c r="B232" s="52" t="s">
        <v>2467</v>
      </c>
      <c r="C232" s="45" t="s">
        <v>2503</v>
      </c>
      <c r="G232">
        <v>130</v>
      </c>
    </row>
    <row r="233" spans="1:7" ht="15" x14ac:dyDescent="0.2">
      <c r="A233" s="45">
        <v>231</v>
      </c>
      <c r="B233" s="52" t="s">
        <v>2468</v>
      </c>
      <c r="C233" s="45" t="s">
        <v>2504</v>
      </c>
      <c r="G233">
        <v>132</v>
      </c>
    </row>
    <row r="234" spans="1:7" ht="15" x14ac:dyDescent="0.2">
      <c r="A234" s="45">
        <v>232</v>
      </c>
      <c r="B234" s="52" t="s">
        <v>2469</v>
      </c>
      <c r="C234" s="45" t="s">
        <v>2505</v>
      </c>
      <c r="G234">
        <v>133</v>
      </c>
    </row>
    <row r="235" spans="1:7" ht="15" x14ac:dyDescent="0.2">
      <c r="A235" s="45">
        <v>233</v>
      </c>
      <c r="B235" s="52" t="s">
        <v>2470</v>
      </c>
      <c r="C235" s="45" t="s">
        <v>2506</v>
      </c>
      <c r="G235">
        <v>135</v>
      </c>
    </row>
    <row r="236" spans="1:7" ht="15" x14ac:dyDescent="0.2">
      <c r="A236" s="45">
        <v>234</v>
      </c>
      <c r="B236" s="52" t="s">
        <v>2471</v>
      </c>
      <c r="C236" s="45" t="s">
        <v>2507</v>
      </c>
      <c r="G236">
        <v>136</v>
      </c>
    </row>
    <row r="237" spans="1:7" ht="15" x14ac:dyDescent="0.2">
      <c r="A237" s="45">
        <v>235</v>
      </c>
      <c r="B237" s="52" t="s">
        <v>2472</v>
      </c>
      <c r="C237" s="45" t="s">
        <v>2508</v>
      </c>
      <c r="G237">
        <v>138</v>
      </c>
    </row>
    <row r="238" spans="1:7" ht="15" x14ac:dyDescent="0.2">
      <c r="A238" s="45">
        <v>236</v>
      </c>
      <c r="B238" s="52" t="s">
        <v>2473</v>
      </c>
      <c r="C238" s="45" t="s">
        <v>2509</v>
      </c>
      <c r="G238">
        <v>139</v>
      </c>
    </row>
    <row r="239" spans="1:7" ht="15" x14ac:dyDescent="0.2">
      <c r="A239" s="45">
        <v>237</v>
      </c>
      <c r="B239" s="52" t="s">
        <v>2474</v>
      </c>
      <c r="C239" s="45" t="s">
        <v>2510</v>
      </c>
      <c r="G239">
        <v>141</v>
      </c>
    </row>
    <row r="240" spans="1:7" ht="15" x14ac:dyDescent="0.2">
      <c r="A240" s="45">
        <v>238</v>
      </c>
      <c r="B240" s="52" t="s">
        <v>2475</v>
      </c>
      <c r="C240" s="45" t="s">
        <v>2511</v>
      </c>
      <c r="G240">
        <v>142</v>
      </c>
    </row>
    <row r="241" spans="1:7" ht="15" x14ac:dyDescent="0.2">
      <c r="A241" s="45">
        <v>239</v>
      </c>
      <c r="B241" s="52" t="s">
        <v>2476</v>
      </c>
      <c r="C241" s="45" t="s">
        <v>2512</v>
      </c>
      <c r="G241">
        <v>144</v>
      </c>
    </row>
    <row r="242" spans="1:7" ht="15" x14ac:dyDescent="0.2">
      <c r="A242" s="45">
        <v>240</v>
      </c>
      <c r="B242" s="52" t="s">
        <v>2477</v>
      </c>
      <c r="C242" s="45" t="s">
        <v>2513</v>
      </c>
      <c r="G242">
        <v>145</v>
      </c>
    </row>
    <row r="243" spans="1:7" ht="15" x14ac:dyDescent="0.2">
      <c r="A243" s="45">
        <v>241</v>
      </c>
      <c r="B243" s="52" t="s">
        <v>2478</v>
      </c>
      <c r="C243" s="45" t="s">
        <v>2514</v>
      </c>
      <c r="G243">
        <v>147</v>
      </c>
    </row>
    <row r="244" spans="1:7" ht="15" x14ac:dyDescent="0.2">
      <c r="A244" s="45">
        <v>242</v>
      </c>
      <c r="B244" s="52" t="s">
        <v>2479</v>
      </c>
      <c r="C244" s="45" t="s">
        <v>2515</v>
      </c>
      <c r="G244">
        <v>148</v>
      </c>
    </row>
    <row r="245" spans="1:7" ht="15" x14ac:dyDescent="0.2">
      <c r="A245" s="45">
        <v>243</v>
      </c>
      <c r="B245" s="52" t="s">
        <v>2480</v>
      </c>
      <c r="C245" s="45" t="s">
        <v>2516</v>
      </c>
      <c r="G245">
        <v>150</v>
      </c>
    </row>
    <row r="246" spans="1:7" ht="15" x14ac:dyDescent="0.2">
      <c r="A246" s="45">
        <v>244</v>
      </c>
      <c r="B246" s="52" t="s">
        <v>2481</v>
      </c>
      <c r="C246" s="45" t="s">
        <v>2517</v>
      </c>
      <c r="G246">
        <v>151</v>
      </c>
    </row>
    <row r="247" spans="1:7" ht="15" x14ac:dyDescent="0.2">
      <c r="A247" s="47">
        <v>245</v>
      </c>
      <c r="B247" s="48" t="s">
        <v>2380</v>
      </c>
      <c r="C247" s="47" t="s">
        <v>2382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2381</v>
      </c>
      <c r="C248" s="47" t="s">
        <v>2385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2383</v>
      </c>
      <c r="C249" s="47" t="s">
        <v>2384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2532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2518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2519</v>
      </c>
      <c r="C5" t="s">
        <v>2533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2520</v>
      </c>
      <c r="C6" t="s">
        <v>2534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2521</v>
      </c>
      <c r="C7" t="s">
        <v>2535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2522</v>
      </c>
      <c r="C8" t="s">
        <v>2536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2523</v>
      </c>
      <c r="C9" t="s">
        <v>2537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2524</v>
      </c>
      <c r="C10" t="s">
        <v>2538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2525</v>
      </c>
      <c r="C11" t="s">
        <v>2539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2526</v>
      </c>
      <c r="C12" t="s">
        <v>2540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2527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2528</v>
      </c>
      <c r="C14" t="s">
        <v>2541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2529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2530</v>
      </c>
      <c r="C16" t="s">
        <v>2542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2531</v>
      </c>
      <c r="C17" t="s">
        <v>2551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2543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2544</v>
      </c>
      <c r="C19" t="s">
        <v>869</v>
      </c>
      <c r="G19">
        <v>5</v>
      </c>
    </row>
    <row r="20" spans="1:7" ht="15" x14ac:dyDescent="0.2">
      <c r="A20">
        <v>18</v>
      </c>
      <c r="B20" s="6" t="s">
        <v>2545</v>
      </c>
      <c r="C20" t="s">
        <v>2070</v>
      </c>
      <c r="G20">
        <v>10</v>
      </c>
    </row>
    <row r="21" spans="1:7" ht="15" x14ac:dyDescent="0.2">
      <c r="A21">
        <v>19</v>
      </c>
      <c r="B21" s="6" t="s">
        <v>2546</v>
      </c>
      <c r="C21" t="s">
        <v>2071</v>
      </c>
      <c r="G21">
        <v>11</v>
      </c>
    </row>
    <row r="22" spans="1:7" ht="15" x14ac:dyDescent="0.2">
      <c r="A22">
        <v>20</v>
      </c>
      <c r="B22" s="6" t="s">
        <v>2547</v>
      </c>
      <c r="C22" t="s">
        <v>846</v>
      </c>
      <c r="G22">
        <v>13</v>
      </c>
    </row>
    <row r="23" spans="1:7" ht="15" x14ac:dyDescent="0.2">
      <c r="A23">
        <v>21</v>
      </c>
      <c r="B23" s="6" t="s">
        <v>2548</v>
      </c>
      <c r="C23" t="s">
        <v>847</v>
      </c>
      <c r="G23">
        <v>15</v>
      </c>
    </row>
    <row r="24" spans="1:7" ht="15" x14ac:dyDescent="0.2">
      <c r="A24">
        <v>22</v>
      </c>
      <c r="B24" s="6" t="s">
        <v>2549</v>
      </c>
      <c r="C24" t="s">
        <v>1273</v>
      </c>
      <c r="G24">
        <v>14</v>
      </c>
    </row>
    <row r="25" spans="1:7" ht="15" x14ac:dyDescent="0.2">
      <c r="A25">
        <v>23</v>
      </c>
      <c r="B25" s="6" t="s">
        <v>2550</v>
      </c>
      <c r="C25" t="s">
        <v>2554</v>
      </c>
      <c r="G25">
        <v>16</v>
      </c>
    </row>
    <row r="26" spans="1:7" ht="15" x14ac:dyDescent="0.2">
      <c r="A26">
        <v>24</v>
      </c>
      <c r="B26" s="6" t="s">
        <v>2552</v>
      </c>
      <c r="C26" t="s">
        <v>2555</v>
      </c>
      <c r="G26">
        <v>18</v>
      </c>
    </row>
    <row r="27" spans="1:7" ht="15" x14ac:dyDescent="0.2">
      <c r="A27">
        <v>25</v>
      </c>
      <c r="B27" s="6" t="s">
        <v>2553</v>
      </c>
      <c r="C27" t="s">
        <v>2556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2937</v>
      </c>
      <c r="C3" t="s">
        <v>2947</v>
      </c>
      <c r="D3" s="4"/>
      <c r="E3" s="4"/>
      <c r="G3">
        <v>1</v>
      </c>
    </row>
    <row r="4" spans="1:7" ht="15" x14ac:dyDescent="0.2">
      <c r="A4">
        <v>2</v>
      </c>
      <c r="B4" s="1" t="s">
        <v>2938</v>
      </c>
      <c r="C4" t="s">
        <v>2939</v>
      </c>
      <c r="D4" s="4"/>
      <c r="E4" s="4"/>
      <c r="G4">
        <v>2</v>
      </c>
    </row>
    <row r="5" spans="1:7" ht="15" x14ac:dyDescent="0.2">
      <c r="A5">
        <v>3</v>
      </c>
      <c r="B5" s="1" t="s">
        <v>2755</v>
      </c>
      <c r="C5" t="s">
        <v>2943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2940</v>
      </c>
      <c r="C6" t="s">
        <v>2944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2941</v>
      </c>
      <c r="C7" t="s">
        <v>2945</v>
      </c>
      <c r="D7" s="4"/>
      <c r="E7" s="4"/>
      <c r="G7">
        <v>4</v>
      </c>
    </row>
    <row r="8" spans="1:7" ht="15" x14ac:dyDescent="0.2">
      <c r="A8">
        <v>6</v>
      </c>
      <c r="B8" s="6" t="s">
        <v>2942</v>
      </c>
      <c r="C8" t="s">
        <v>2946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2954</v>
      </c>
      <c r="C3" t="s">
        <v>2955</v>
      </c>
      <c r="D3" s="4"/>
      <c r="E3" s="4"/>
      <c r="G3">
        <v>2</v>
      </c>
    </row>
    <row r="4" spans="1:7" ht="15" x14ac:dyDescent="0.2">
      <c r="A4">
        <v>2</v>
      </c>
      <c r="B4" s="1" t="s">
        <v>2956</v>
      </c>
      <c r="C4" t="s">
        <v>2957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2951</v>
      </c>
      <c r="C5" t="s">
        <v>2952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2953</v>
      </c>
      <c r="C6" t="s">
        <v>2958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2949</v>
      </c>
      <c r="C3" t="s">
        <v>2948</v>
      </c>
      <c r="D3" s="4"/>
      <c r="E3" s="4"/>
      <c r="G3">
        <v>1</v>
      </c>
    </row>
    <row r="4" spans="1:7" ht="15" x14ac:dyDescent="0.2">
      <c r="A4">
        <v>2</v>
      </c>
      <c r="B4" s="1" t="s">
        <v>2959</v>
      </c>
      <c r="C4" t="s">
        <v>2950</v>
      </c>
      <c r="D4" s="4"/>
      <c r="E4" s="4"/>
      <c r="G4">
        <v>2</v>
      </c>
    </row>
    <row r="5" spans="1:7" ht="15" x14ac:dyDescent="0.2">
      <c r="A5">
        <v>3</v>
      </c>
      <c r="B5" s="6" t="s">
        <v>2966</v>
      </c>
      <c r="C5" t="s">
        <v>2965</v>
      </c>
      <c r="D5" s="4"/>
      <c r="E5" s="4"/>
      <c r="G5">
        <v>3</v>
      </c>
    </row>
    <row r="6" spans="1:7" ht="15" x14ac:dyDescent="0.2">
      <c r="A6">
        <v>4</v>
      </c>
      <c r="B6" s="6" t="s">
        <v>2960</v>
      </c>
      <c r="C6" t="s">
        <v>2567</v>
      </c>
      <c r="D6" s="4"/>
      <c r="E6" s="4"/>
      <c r="G6">
        <v>4</v>
      </c>
    </row>
    <row r="7" spans="1:7" ht="15" x14ac:dyDescent="0.2">
      <c r="A7">
        <v>5</v>
      </c>
      <c r="B7" s="6" t="s">
        <v>2961</v>
      </c>
      <c r="C7" t="s">
        <v>2963</v>
      </c>
      <c r="D7" s="4"/>
      <c r="E7" s="4"/>
      <c r="G7">
        <v>5</v>
      </c>
    </row>
    <row r="8" spans="1:7" ht="15" x14ac:dyDescent="0.2">
      <c r="A8">
        <v>6</v>
      </c>
      <c r="B8" s="6" t="s">
        <v>2962</v>
      </c>
      <c r="C8" t="s">
        <v>2964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2567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2557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2527</v>
      </c>
      <c r="C5" t="s">
        <v>2568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2558</v>
      </c>
      <c r="C6" t="s">
        <v>2569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2559</v>
      </c>
      <c r="C7" t="s">
        <v>2570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2560</v>
      </c>
      <c r="C8" t="s">
        <v>2571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2561</v>
      </c>
      <c r="C9" t="s">
        <v>2572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2562</v>
      </c>
      <c r="C10" t="s">
        <v>2573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2563</v>
      </c>
      <c r="C11" t="s">
        <v>2574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2564</v>
      </c>
      <c r="C12" t="s">
        <v>2575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2565</v>
      </c>
      <c r="C13" t="s">
        <v>2576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2577</v>
      </c>
      <c r="C14" t="s">
        <v>2587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2578</v>
      </c>
      <c r="C15" t="s">
        <v>2588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2579</v>
      </c>
      <c r="C16" t="s">
        <v>2589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2580</v>
      </c>
      <c r="C17" t="s">
        <v>2590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2584</v>
      </c>
      <c r="C18" t="s">
        <v>2581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2585</v>
      </c>
      <c r="C19" t="s">
        <v>2582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2586</v>
      </c>
      <c r="C20" t="s">
        <v>2583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2591</v>
      </c>
      <c r="C21" t="s">
        <v>2593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2592</v>
      </c>
      <c r="C22" t="s">
        <v>2594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2595</v>
      </c>
      <c r="C23" t="s">
        <v>2601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2596</v>
      </c>
      <c r="C24" t="s">
        <v>2602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2597</v>
      </c>
      <c r="C25" t="s">
        <v>2603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2598</v>
      </c>
      <c r="C26" t="s">
        <v>2604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2599</v>
      </c>
      <c r="C27" t="s">
        <v>2605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2600</v>
      </c>
      <c r="C28" t="s">
        <v>2632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2606</v>
      </c>
      <c r="C29" t="s">
        <v>2610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2607</v>
      </c>
      <c r="C30" t="s">
        <v>2611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2608</v>
      </c>
      <c r="C31" t="s">
        <v>2612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2609</v>
      </c>
      <c r="C32" t="s">
        <v>2613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2622</v>
      </c>
      <c r="C33" t="s">
        <v>2627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2623</v>
      </c>
      <c r="C34" t="s">
        <v>2628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2624</v>
      </c>
      <c r="C35" t="s">
        <v>2629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2625</v>
      </c>
      <c r="C36" t="s">
        <v>2630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2626</v>
      </c>
      <c r="C37" t="s">
        <v>2631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2633</v>
      </c>
      <c r="C38" t="s">
        <v>2637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2634</v>
      </c>
      <c r="C39" t="s">
        <v>2638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2635</v>
      </c>
      <c r="C40" t="s">
        <v>2639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2636</v>
      </c>
      <c r="C41" t="s">
        <v>2640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2641</v>
      </c>
      <c r="C42" t="s">
        <v>2643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2642</v>
      </c>
      <c r="C43" t="s">
        <v>2644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2645</v>
      </c>
      <c r="C44" t="s">
        <v>2649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2646</v>
      </c>
      <c r="C45" t="s">
        <v>2650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2647</v>
      </c>
      <c r="C46" t="s">
        <v>2651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2648</v>
      </c>
      <c r="C47" t="s">
        <v>2652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2566</v>
      </c>
      <c r="C48" t="s">
        <v>2165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2543</v>
      </c>
      <c r="C49" t="s">
        <v>2653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2544</v>
      </c>
      <c r="C50" t="s">
        <v>2654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2655</v>
      </c>
      <c r="C51" t="s">
        <v>2656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2657</v>
      </c>
      <c r="C52" t="s">
        <v>2658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2659</v>
      </c>
      <c r="C53" t="s">
        <v>2661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2660</v>
      </c>
      <c r="C54" t="s">
        <v>2662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2663</v>
      </c>
      <c r="C55" t="s">
        <v>2665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2664</v>
      </c>
      <c r="C56" t="s">
        <v>2666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2667</v>
      </c>
      <c r="C57" t="s">
        <v>2668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2669</v>
      </c>
      <c r="C58" t="s">
        <v>2670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2671</v>
      </c>
      <c r="C59" t="s">
        <v>2672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2673</v>
      </c>
      <c r="C60" t="s">
        <v>2674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2675</v>
      </c>
      <c r="C61" t="s">
        <v>2677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2676</v>
      </c>
      <c r="C62" t="s">
        <v>2678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2687</v>
      </c>
      <c r="C63" t="s">
        <v>2689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2688</v>
      </c>
      <c r="C64" t="s">
        <v>2690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2679</v>
      </c>
      <c r="C65" t="s">
        <v>2681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2680</v>
      </c>
      <c r="C66" t="s">
        <v>2682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2683</v>
      </c>
      <c r="C67" t="s">
        <v>2684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2685</v>
      </c>
      <c r="C68" t="s">
        <v>2686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2868</v>
      </c>
      <c r="C4" t="s">
        <v>2881</v>
      </c>
      <c r="D4" s="4" t="s">
        <v>22</v>
      </c>
      <c r="G4">
        <v>2</v>
      </c>
    </row>
    <row r="5" spans="1:7" ht="15" x14ac:dyDescent="0.2">
      <c r="A5">
        <v>3</v>
      </c>
      <c r="B5" s="1" t="s">
        <v>2869</v>
      </c>
      <c r="C5" t="s">
        <v>2882</v>
      </c>
      <c r="D5" s="4" t="s">
        <v>22</v>
      </c>
      <c r="G5">
        <v>3</v>
      </c>
    </row>
    <row r="6" spans="1:7" ht="15" x14ac:dyDescent="0.2">
      <c r="A6">
        <v>4</v>
      </c>
      <c r="B6" s="1" t="s">
        <v>2870</v>
      </c>
      <c r="C6" t="s">
        <v>2883</v>
      </c>
      <c r="D6" s="4" t="s">
        <v>22</v>
      </c>
      <c r="G6">
        <v>9</v>
      </c>
    </row>
    <row r="7" spans="1:7" ht="15" x14ac:dyDescent="0.2">
      <c r="A7">
        <v>5</v>
      </c>
      <c r="B7" s="1" t="s">
        <v>2871</v>
      </c>
      <c r="C7" t="s">
        <v>2884</v>
      </c>
      <c r="D7" s="4" t="s">
        <v>22</v>
      </c>
      <c r="G7">
        <v>14</v>
      </c>
    </row>
    <row r="8" spans="1:7" ht="15" x14ac:dyDescent="0.2">
      <c r="A8">
        <v>6</v>
      </c>
      <c r="B8" s="1" t="s">
        <v>2872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2873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2874</v>
      </c>
      <c r="C10" t="s">
        <v>2811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2875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2876</v>
      </c>
      <c r="C12" t="s">
        <v>2885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2877</v>
      </c>
      <c r="C13" t="s">
        <v>2886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2878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2879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2880</v>
      </c>
      <c r="C16" t="s">
        <v>2887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2888</v>
      </c>
      <c r="C17" t="s">
        <v>2898</v>
      </c>
      <c r="G17">
        <v>4</v>
      </c>
    </row>
    <row r="18" spans="1:7" ht="15" x14ac:dyDescent="0.2">
      <c r="A18">
        <v>16</v>
      </c>
      <c r="B18" s="6" t="s">
        <v>2889</v>
      </c>
      <c r="C18" t="s">
        <v>2899</v>
      </c>
      <c r="G18">
        <v>5</v>
      </c>
    </row>
    <row r="19" spans="1:7" ht="15" x14ac:dyDescent="0.2">
      <c r="A19">
        <v>17</v>
      </c>
      <c r="B19" s="6" t="s">
        <v>2890</v>
      </c>
      <c r="C19" t="s">
        <v>2900</v>
      </c>
      <c r="G19">
        <v>10</v>
      </c>
    </row>
    <row r="20" spans="1:7" ht="15" x14ac:dyDescent="0.2">
      <c r="A20">
        <v>18</v>
      </c>
      <c r="B20" s="6" t="s">
        <v>2891</v>
      </c>
      <c r="C20" t="s">
        <v>2901</v>
      </c>
      <c r="G20">
        <v>12</v>
      </c>
    </row>
    <row r="21" spans="1:7" ht="15" x14ac:dyDescent="0.2">
      <c r="A21">
        <v>19</v>
      </c>
      <c r="B21" s="6" t="s">
        <v>2892</v>
      </c>
      <c r="C21" t="s">
        <v>2902</v>
      </c>
      <c r="G21">
        <v>11</v>
      </c>
    </row>
    <row r="22" spans="1:7" ht="15" x14ac:dyDescent="0.2">
      <c r="A22">
        <v>20</v>
      </c>
      <c r="B22" s="6" t="s">
        <v>2893</v>
      </c>
      <c r="C22" t="s">
        <v>2903</v>
      </c>
      <c r="G22">
        <v>13</v>
      </c>
    </row>
    <row r="23" spans="1:7" ht="15" x14ac:dyDescent="0.2">
      <c r="A23">
        <v>21</v>
      </c>
      <c r="B23" s="6" t="s">
        <v>2894</v>
      </c>
      <c r="C23" t="s">
        <v>1550</v>
      </c>
      <c r="G23">
        <v>15</v>
      </c>
    </row>
    <row r="24" spans="1:7" ht="15" x14ac:dyDescent="0.2">
      <c r="A24">
        <v>22</v>
      </c>
      <c r="B24" s="6" t="s">
        <v>2895</v>
      </c>
      <c r="C24" t="s">
        <v>1551</v>
      </c>
      <c r="G24">
        <v>17</v>
      </c>
    </row>
    <row r="25" spans="1:7" ht="15" x14ac:dyDescent="0.2">
      <c r="A25">
        <v>23</v>
      </c>
      <c r="B25" s="6" t="s">
        <v>2896</v>
      </c>
      <c r="C25" t="s">
        <v>1552</v>
      </c>
      <c r="G25">
        <v>16</v>
      </c>
    </row>
    <row r="26" spans="1:7" ht="15" x14ac:dyDescent="0.2">
      <c r="A26">
        <v>24</v>
      </c>
      <c r="B26" s="6" t="s">
        <v>2897</v>
      </c>
      <c r="C26" t="s">
        <v>1553</v>
      </c>
      <c r="G26">
        <v>18</v>
      </c>
    </row>
    <row r="27" spans="1:7" ht="15" x14ac:dyDescent="0.2">
      <c r="A27">
        <v>25</v>
      </c>
      <c r="B27" s="6" t="s">
        <v>2904</v>
      </c>
      <c r="C27" t="s">
        <v>2906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2905</v>
      </c>
      <c r="C28" t="s">
        <v>2907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2908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2909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2910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2911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2912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2913</v>
      </c>
      <c r="D9" s="4" t="s">
        <v>22</v>
      </c>
      <c r="G9">
        <v>7</v>
      </c>
    </row>
    <row r="10" spans="1:7" ht="15" x14ac:dyDescent="0.2">
      <c r="A10">
        <v>8</v>
      </c>
      <c r="B10" s="1" t="s">
        <v>2914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2924</v>
      </c>
      <c r="D3" s="4" t="s">
        <v>22</v>
      </c>
      <c r="G3">
        <v>1</v>
      </c>
    </row>
    <row r="4" spans="1:7" ht="15" x14ac:dyDescent="0.2">
      <c r="A4">
        <v>2</v>
      </c>
      <c r="B4" s="1" t="s">
        <v>2915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2916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2096</v>
      </c>
      <c r="C6" t="s">
        <v>2165</v>
      </c>
      <c r="D6" s="4" t="s">
        <v>22</v>
      </c>
      <c r="G6">
        <v>10</v>
      </c>
    </row>
    <row r="7" spans="1:7" ht="15" x14ac:dyDescent="0.2">
      <c r="A7">
        <v>5</v>
      </c>
      <c r="B7" s="1" t="s">
        <v>2917</v>
      </c>
      <c r="C7" t="s">
        <v>2925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2918</v>
      </c>
      <c r="C8" t="s">
        <v>2927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2919</v>
      </c>
      <c r="C9" t="s">
        <v>2926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2920</v>
      </c>
      <c r="C10" t="s">
        <v>2928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2921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2922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2106</v>
      </c>
      <c r="C13" t="s">
        <v>2815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2923</v>
      </c>
      <c r="C14" t="s">
        <v>2929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2930</v>
      </c>
      <c r="C15" t="s">
        <v>2932</v>
      </c>
      <c r="G15">
        <v>8</v>
      </c>
    </row>
    <row r="16" spans="1:7" ht="15" x14ac:dyDescent="0.2">
      <c r="A16">
        <v>14</v>
      </c>
      <c r="B16" s="6" t="s">
        <v>2931</v>
      </c>
      <c r="C16" t="s">
        <v>2933</v>
      </c>
      <c r="G16">
        <v>9</v>
      </c>
    </row>
    <row r="17" spans="1:7" ht="15" x14ac:dyDescent="0.2">
      <c r="A17">
        <v>15</v>
      </c>
      <c r="B17" s="1" t="s">
        <v>2182</v>
      </c>
      <c r="C17" t="s">
        <v>2740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2431</v>
      </c>
      <c r="C3" t="s">
        <v>2425</v>
      </c>
      <c r="D3" s="4" t="s">
        <v>22</v>
      </c>
      <c r="E3" s="4" t="s">
        <v>3007</v>
      </c>
      <c r="G3">
        <v>3</v>
      </c>
    </row>
    <row r="4" spans="1:7" ht="15" x14ac:dyDescent="0.2">
      <c r="A4">
        <v>2</v>
      </c>
      <c r="B4" s="1" t="s">
        <v>3008</v>
      </c>
      <c r="D4" s="4" t="s">
        <v>3007</v>
      </c>
      <c r="E4" s="4" t="s">
        <v>3007</v>
      </c>
      <c r="F4" s="4" t="b">
        <v>0</v>
      </c>
      <c r="G4">
        <v>4</v>
      </c>
    </row>
    <row r="5" spans="1:7" ht="15" x14ac:dyDescent="0.2">
      <c r="A5">
        <v>3</v>
      </c>
      <c r="B5" s="1" t="s">
        <v>3005</v>
      </c>
      <c r="C5" t="s">
        <v>3006</v>
      </c>
      <c r="D5" s="4" t="s">
        <v>3007</v>
      </c>
      <c r="G5">
        <v>2</v>
      </c>
    </row>
    <row r="6" spans="1:7" ht="15" x14ac:dyDescent="0.2">
      <c r="A6">
        <v>4</v>
      </c>
      <c r="B6" s="1" t="s">
        <v>2432</v>
      </c>
      <c r="C6" t="s">
        <v>2426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2433</v>
      </c>
      <c r="C7" t="s">
        <v>2427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2434</v>
      </c>
      <c r="C8" t="s">
        <v>2428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2429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2435</v>
      </c>
      <c r="C10" t="s">
        <v>2430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2692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2693</v>
      </c>
      <c r="C4" t="s">
        <v>2694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2695</v>
      </c>
      <c r="C5" t="s">
        <v>2702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2696</v>
      </c>
      <c r="C6" t="s">
        <v>2703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2697</v>
      </c>
      <c r="C7" t="s">
        <v>2704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2698</v>
      </c>
      <c r="C8" t="s">
        <v>2705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2699</v>
      </c>
      <c r="C9" t="s">
        <v>2706</v>
      </c>
      <c r="D9" s="4" t="s">
        <v>22</v>
      </c>
      <c r="G9">
        <v>16</v>
      </c>
    </row>
    <row r="10" spans="1:7" ht="15" x14ac:dyDescent="0.2">
      <c r="A10">
        <v>8</v>
      </c>
      <c r="B10" s="1" t="s">
        <v>2700</v>
      </c>
      <c r="C10" t="s">
        <v>2707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2701</v>
      </c>
      <c r="C11" t="s">
        <v>2144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2718</v>
      </c>
      <c r="G12">
        <v>3</v>
      </c>
    </row>
    <row r="13" spans="1:7" ht="15" x14ac:dyDescent="0.2">
      <c r="A13">
        <v>11</v>
      </c>
      <c r="B13" s="6" t="s">
        <v>1409</v>
      </c>
      <c r="C13" t="s">
        <v>2719</v>
      </c>
      <c r="G13">
        <v>4</v>
      </c>
    </row>
    <row r="14" spans="1:7" ht="15" x14ac:dyDescent="0.2">
      <c r="A14">
        <v>12</v>
      </c>
      <c r="B14" s="6" t="s">
        <v>2708</v>
      </c>
      <c r="C14" t="s">
        <v>2720</v>
      </c>
      <c r="G14">
        <v>6</v>
      </c>
    </row>
    <row r="15" spans="1:7" ht="15" x14ac:dyDescent="0.2">
      <c r="A15">
        <v>13</v>
      </c>
      <c r="B15" s="6" t="s">
        <v>2709</v>
      </c>
      <c r="C15" t="s">
        <v>2721</v>
      </c>
      <c r="G15">
        <v>7</v>
      </c>
    </row>
    <row r="16" spans="1:7" ht="15" x14ac:dyDescent="0.2">
      <c r="A16">
        <v>14</v>
      </c>
      <c r="B16" s="6" t="s">
        <v>2710</v>
      </c>
      <c r="C16" t="s">
        <v>2722</v>
      </c>
      <c r="G16">
        <v>9</v>
      </c>
    </row>
    <row r="17" spans="1:7" ht="15" x14ac:dyDescent="0.2">
      <c r="A17">
        <v>15</v>
      </c>
      <c r="B17" s="6" t="s">
        <v>2711</v>
      </c>
      <c r="C17" t="s">
        <v>2723</v>
      </c>
      <c r="G17">
        <v>11</v>
      </c>
    </row>
    <row r="18" spans="1:7" ht="15" x14ac:dyDescent="0.2">
      <c r="A18">
        <v>16</v>
      </c>
      <c r="B18" s="6" t="s">
        <v>481</v>
      </c>
      <c r="C18" t="s">
        <v>2728</v>
      </c>
      <c r="G18">
        <v>10</v>
      </c>
    </row>
    <row r="19" spans="1:7" ht="15" x14ac:dyDescent="0.2">
      <c r="A19">
        <v>17</v>
      </c>
      <c r="B19" s="6" t="s">
        <v>483</v>
      </c>
      <c r="C19" t="s">
        <v>2729</v>
      </c>
      <c r="G19">
        <v>12</v>
      </c>
    </row>
    <row r="20" spans="1:7" ht="15" x14ac:dyDescent="0.2">
      <c r="A20">
        <v>18</v>
      </c>
      <c r="B20" s="6" t="s">
        <v>2712</v>
      </c>
      <c r="C20" t="s">
        <v>2724</v>
      </c>
      <c r="G20">
        <v>14</v>
      </c>
    </row>
    <row r="21" spans="1:7" ht="15" x14ac:dyDescent="0.2">
      <c r="A21">
        <v>19</v>
      </c>
      <c r="B21" s="6" t="s">
        <v>2713</v>
      </c>
      <c r="C21" t="s">
        <v>2725</v>
      </c>
      <c r="G21">
        <v>15</v>
      </c>
    </row>
    <row r="22" spans="1:7" ht="15" x14ac:dyDescent="0.2">
      <c r="A22">
        <v>20</v>
      </c>
      <c r="B22" s="6" t="s">
        <v>2714</v>
      </c>
      <c r="C22" t="s">
        <v>2726</v>
      </c>
      <c r="G22">
        <v>17</v>
      </c>
    </row>
    <row r="23" spans="1:7" ht="15" x14ac:dyDescent="0.2">
      <c r="A23">
        <v>21</v>
      </c>
      <c r="B23" s="6" t="s">
        <v>2715</v>
      </c>
      <c r="C23" t="s">
        <v>2727</v>
      </c>
      <c r="G23">
        <v>18</v>
      </c>
    </row>
    <row r="24" spans="1:7" ht="15" x14ac:dyDescent="0.2">
      <c r="A24">
        <v>22</v>
      </c>
      <c r="B24" s="6" t="s">
        <v>2716</v>
      </c>
      <c r="C24" t="s">
        <v>2730</v>
      </c>
      <c r="G24">
        <v>20</v>
      </c>
    </row>
    <row r="25" spans="1:7" ht="15" x14ac:dyDescent="0.2">
      <c r="A25">
        <v>23</v>
      </c>
      <c r="B25" s="6" t="s">
        <v>2717</v>
      </c>
      <c r="C25" t="s">
        <v>2731</v>
      </c>
      <c r="G25">
        <v>22</v>
      </c>
    </row>
    <row r="26" spans="1:7" ht="15" x14ac:dyDescent="0.2">
      <c r="A26">
        <v>24</v>
      </c>
      <c r="B26" s="6" t="s">
        <v>2732</v>
      </c>
      <c r="C26" t="s">
        <v>2733</v>
      </c>
      <c r="G26">
        <v>21</v>
      </c>
    </row>
    <row r="27" spans="1:7" ht="15" x14ac:dyDescent="0.2">
      <c r="A27">
        <v>25</v>
      </c>
      <c r="B27" s="6" t="s">
        <v>2734</v>
      </c>
      <c r="C27" t="s">
        <v>2735</v>
      </c>
      <c r="G27">
        <v>23</v>
      </c>
    </row>
    <row r="28" spans="1:7" ht="15" x14ac:dyDescent="0.2">
      <c r="A28">
        <v>26</v>
      </c>
      <c r="B28" s="6" t="s">
        <v>2967</v>
      </c>
      <c r="C28" t="s">
        <v>2969</v>
      </c>
      <c r="G28">
        <v>25</v>
      </c>
    </row>
    <row r="29" spans="1:7" ht="15" x14ac:dyDescent="0.2">
      <c r="A29">
        <v>27</v>
      </c>
      <c r="B29" s="6" t="s">
        <v>2968</v>
      </c>
      <c r="C29" t="s">
        <v>2970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2691</v>
      </c>
      <c r="C3" t="s">
        <v>2736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2737</v>
      </c>
      <c r="C4" t="s">
        <v>2144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2738</v>
      </c>
      <c r="C5" t="s">
        <v>2739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2741</v>
      </c>
      <c r="C6" t="s">
        <v>2744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2742</v>
      </c>
      <c r="C7" t="s">
        <v>2743</v>
      </c>
      <c r="D7" s="4"/>
      <c r="E7" s="4"/>
      <c r="G7">
        <v>4</v>
      </c>
    </row>
    <row r="8" spans="1:7" ht="15" x14ac:dyDescent="0.2">
      <c r="A8">
        <v>6</v>
      </c>
      <c r="B8" s="1" t="s">
        <v>2182</v>
      </c>
      <c r="C8" t="s">
        <v>2740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2745</v>
      </c>
      <c r="C4" t="s">
        <v>2768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2746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2747</v>
      </c>
      <c r="C6" t="s">
        <v>2769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2748</v>
      </c>
      <c r="C7" t="s">
        <v>2772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2749</v>
      </c>
      <c r="C8" t="s">
        <v>2797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2750</v>
      </c>
      <c r="C9" t="s">
        <v>2796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2751</v>
      </c>
      <c r="C10" t="s">
        <v>2795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2752</v>
      </c>
      <c r="C11" t="s">
        <v>2794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2753</v>
      </c>
      <c r="C12" t="s">
        <v>2798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2754</v>
      </c>
      <c r="C13" t="s">
        <v>2799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2755</v>
      </c>
      <c r="C14" t="s">
        <v>2800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2756</v>
      </c>
      <c r="C15" t="s">
        <v>2805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2757</v>
      </c>
      <c r="C16" t="s">
        <v>2806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2527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2758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2759</v>
      </c>
      <c r="C19" t="s">
        <v>2807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2760</v>
      </c>
      <c r="C20" t="s">
        <v>2808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2557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2761</v>
      </c>
      <c r="C22" t="s">
        <v>2810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2762</v>
      </c>
      <c r="C23" t="s">
        <v>2809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2763</v>
      </c>
      <c r="C24" t="s">
        <v>2811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2764</v>
      </c>
      <c r="C25" t="s">
        <v>2812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2765</v>
      </c>
      <c r="C26" t="s">
        <v>2813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2766</v>
      </c>
      <c r="C27" t="s">
        <v>2814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2106</v>
      </c>
      <c r="C28" t="s">
        <v>2815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2770</v>
      </c>
      <c r="C29" t="s">
        <v>2775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2771</v>
      </c>
      <c r="C30" t="s">
        <v>2776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2773</v>
      </c>
      <c r="C31" t="s">
        <v>2777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2774</v>
      </c>
      <c r="C32" t="s">
        <v>2778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2779</v>
      </c>
      <c r="C33" t="s">
        <v>2780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2990</v>
      </c>
      <c r="C34" t="s">
        <v>2781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2782</v>
      </c>
      <c r="C35" t="s">
        <v>2784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2783</v>
      </c>
      <c r="C36" t="s">
        <v>2785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2787</v>
      </c>
      <c r="C37" t="s">
        <v>2788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2786</v>
      </c>
      <c r="C38" t="s">
        <v>2789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2790</v>
      </c>
      <c r="C39" t="s">
        <v>2792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2791</v>
      </c>
      <c r="C40" t="s">
        <v>2793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2801</v>
      </c>
      <c r="C41" t="s">
        <v>2804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2802</v>
      </c>
      <c r="C42" t="s">
        <v>2803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2543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2544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2992</v>
      </c>
      <c r="C45" t="s">
        <v>2993</v>
      </c>
      <c r="G45">
        <v>4</v>
      </c>
    </row>
    <row r="46" spans="1:7" ht="15" x14ac:dyDescent="0.2">
      <c r="A46">
        <v>44</v>
      </c>
      <c r="B46" s="6" t="s">
        <v>2991</v>
      </c>
      <c r="C46" t="s">
        <v>2994</v>
      </c>
      <c r="G46">
        <v>6</v>
      </c>
    </row>
    <row r="47" spans="1:7" ht="15" x14ac:dyDescent="0.2">
      <c r="A47">
        <v>45</v>
      </c>
      <c r="B47" s="6" t="s">
        <v>2816</v>
      </c>
      <c r="C47" t="s">
        <v>846</v>
      </c>
      <c r="G47">
        <v>33</v>
      </c>
    </row>
    <row r="48" spans="1:7" ht="15" x14ac:dyDescent="0.2">
      <c r="A48">
        <v>46</v>
      </c>
      <c r="B48" s="6" t="s">
        <v>2817</v>
      </c>
      <c r="C48" t="s">
        <v>847</v>
      </c>
      <c r="G48">
        <v>35</v>
      </c>
    </row>
    <row r="49" spans="1:7" ht="15" x14ac:dyDescent="0.2">
      <c r="A49">
        <v>47</v>
      </c>
      <c r="B49" s="6" t="s">
        <v>2818</v>
      </c>
      <c r="C49" t="s">
        <v>1273</v>
      </c>
      <c r="G49">
        <v>34</v>
      </c>
    </row>
    <row r="50" spans="1:7" ht="15" x14ac:dyDescent="0.2">
      <c r="A50">
        <v>48</v>
      </c>
      <c r="B50" s="6" t="s">
        <v>2819</v>
      </c>
      <c r="C50" t="s">
        <v>2554</v>
      </c>
      <c r="G50">
        <v>36</v>
      </c>
    </row>
    <row r="51" spans="1:7" ht="15" x14ac:dyDescent="0.2">
      <c r="A51">
        <v>49</v>
      </c>
      <c r="B51" s="1" t="s">
        <v>2182</v>
      </c>
      <c r="C51" t="s">
        <v>2740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2820</v>
      </c>
      <c r="C3" t="s">
        <v>2821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2738</v>
      </c>
      <c r="C4" t="s">
        <v>2815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2822</v>
      </c>
      <c r="C5" t="s">
        <v>2824</v>
      </c>
      <c r="D5" s="4"/>
      <c r="E5" s="4"/>
      <c r="G5">
        <v>2</v>
      </c>
    </row>
    <row r="6" spans="1:7" ht="15" x14ac:dyDescent="0.2">
      <c r="A6">
        <v>4</v>
      </c>
      <c r="B6" s="6" t="s">
        <v>2823</v>
      </c>
      <c r="C6" t="s">
        <v>2825</v>
      </c>
      <c r="D6" s="4"/>
      <c r="E6" s="4"/>
      <c r="G6">
        <v>3</v>
      </c>
    </row>
    <row r="7" spans="1:7" ht="15" x14ac:dyDescent="0.2">
      <c r="A7">
        <v>5</v>
      </c>
      <c r="B7" s="1" t="s">
        <v>2182</v>
      </c>
      <c r="C7" t="s">
        <v>2740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2831</v>
      </c>
      <c r="D3" s="4" t="s">
        <v>22</v>
      </c>
      <c r="G3">
        <v>1</v>
      </c>
    </row>
    <row r="4" spans="1:7" ht="15" x14ac:dyDescent="0.2">
      <c r="A4">
        <v>2</v>
      </c>
      <c r="B4" s="1" t="s">
        <v>2527</v>
      </c>
      <c r="C4" t="s">
        <v>2832</v>
      </c>
      <c r="D4" s="4" t="s">
        <v>22</v>
      </c>
      <c r="G4">
        <v>2</v>
      </c>
    </row>
    <row r="5" spans="1:7" ht="15" x14ac:dyDescent="0.2">
      <c r="A5">
        <v>3</v>
      </c>
      <c r="B5" s="1" t="s">
        <v>2758</v>
      </c>
      <c r="C5" t="s">
        <v>2833</v>
      </c>
      <c r="D5" s="4" t="s">
        <v>22</v>
      </c>
      <c r="G5">
        <v>10</v>
      </c>
    </row>
    <row r="6" spans="1:7" ht="15" x14ac:dyDescent="0.2">
      <c r="A6">
        <v>4</v>
      </c>
      <c r="B6" s="1" t="s">
        <v>2839</v>
      </c>
      <c r="C6" t="s">
        <v>2834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2557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2826</v>
      </c>
      <c r="C8" t="s">
        <v>2835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2827</v>
      </c>
      <c r="C9" t="s">
        <v>2836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2828</v>
      </c>
      <c r="C10" t="s">
        <v>2852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2829</v>
      </c>
      <c r="C11" t="s">
        <v>2853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2830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2543</v>
      </c>
      <c r="C13" t="s">
        <v>2837</v>
      </c>
      <c r="G13">
        <v>3</v>
      </c>
    </row>
    <row r="14" spans="1:7" ht="15" x14ac:dyDescent="0.2">
      <c r="A14">
        <v>12</v>
      </c>
      <c r="B14" s="6" t="s">
        <v>2544</v>
      </c>
      <c r="C14" t="s">
        <v>2838</v>
      </c>
      <c r="G14">
        <v>4</v>
      </c>
    </row>
    <row r="15" spans="1:7" ht="15" x14ac:dyDescent="0.2">
      <c r="A15">
        <v>13</v>
      </c>
      <c r="B15" s="6" t="s">
        <v>2816</v>
      </c>
      <c r="C15" t="s">
        <v>2844</v>
      </c>
      <c r="G15">
        <v>11</v>
      </c>
    </row>
    <row r="16" spans="1:7" ht="15" x14ac:dyDescent="0.2">
      <c r="A16">
        <v>14</v>
      </c>
      <c r="B16" s="6" t="s">
        <v>2817</v>
      </c>
      <c r="C16" t="s">
        <v>2845</v>
      </c>
      <c r="G16">
        <v>13</v>
      </c>
    </row>
    <row r="17" spans="1:7" ht="15" x14ac:dyDescent="0.2">
      <c r="A17">
        <v>15</v>
      </c>
      <c r="B17" s="6" t="s">
        <v>2818</v>
      </c>
      <c r="C17" t="s">
        <v>2846</v>
      </c>
      <c r="G17">
        <v>12</v>
      </c>
    </row>
    <row r="18" spans="1:7" ht="15" x14ac:dyDescent="0.2">
      <c r="A18">
        <v>16</v>
      </c>
      <c r="B18" s="6" t="s">
        <v>2819</v>
      </c>
      <c r="C18" t="s">
        <v>2847</v>
      </c>
      <c r="G18">
        <v>14</v>
      </c>
    </row>
    <row r="19" spans="1:7" ht="15" x14ac:dyDescent="0.2">
      <c r="A19">
        <v>17</v>
      </c>
      <c r="B19" s="6" t="s">
        <v>2840</v>
      </c>
      <c r="C19" t="s">
        <v>2848</v>
      </c>
      <c r="G19">
        <v>16</v>
      </c>
    </row>
    <row r="20" spans="1:7" ht="15" x14ac:dyDescent="0.2">
      <c r="A20">
        <v>18</v>
      </c>
      <c r="B20" s="6" t="s">
        <v>2841</v>
      </c>
      <c r="C20" t="s">
        <v>2849</v>
      </c>
      <c r="G20">
        <v>18</v>
      </c>
    </row>
    <row r="21" spans="1:7" ht="15" x14ac:dyDescent="0.2">
      <c r="A21">
        <v>19</v>
      </c>
      <c r="B21" s="6" t="s">
        <v>2842</v>
      </c>
      <c r="C21" t="s">
        <v>2850</v>
      </c>
      <c r="G21">
        <v>17</v>
      </c>
    </row>
    <row r="22" spans="1:7" ht="15" x14ac:dyDescent="0.2">
      <c r="A22">
        <v>20</v>
      </c>
      <c r="B22" s="6" t="s">
        <v>2843</v>
      </c>
      <c r="C22" t="s">
        <v>2851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2691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2971</v>
      </c>
      <c r="C4" t="s">
        <v>2989</v>
      </c>
      <c r="G4">
        <v>2</v>
      </c>
    </row>
    <row r="5" spans="1:7" ht="15" x14ac:dyDescent="0.2">
      <c r="A5">
        <v>3</v>
      </c>
      <c r="B5" s="1" t="s">
        <v>2972</v>
      </c>
      <c r="C5" t="s">
        <v>2980</v>
      </c>
      <c r="D5" s="4" t="s">
        <v>22</v>
      </c>
      <c r="G5">
        <v>3</v>
      </c>
    </row>
    <row r="6" spans="1:7" ht="15" x14ac:dyDescent="0.2">
      <c r="A6">
        <v>4</v>
      </c>
      <c r="B6" s="1" t="s">
        <v>2973</v>
      </c>
      <c r="C6" t="s">
        <v>2981</v>
      </c>
      <c r="D6" s="4" t="s">
        <v>22</v>
      </c>
      <c r="G6">
        <v>4</v>
      </c>
    </row>
    <row r="7" spans="1:7" ht="15" x14ac:dyDescent="0.2">
      <c r="A7">
        <v>5</v>
      </c>
      <c r="B7" s="1" t="s">
        <v>2974</v>
      </c>
      <c r="C7" t="s">
        <v>2982</v>
      </c>
      <c r="D7" s="4" t="s">
        <v>22</v>
      </c>
      <c r="G7">
        <v>5</v>
      </c>
    </row>
    <row r="8" spans="1:7" ht="15" x14ac:dyDescent="0.2">
      <c r="A8">
        <v>6</v>
      </c>
      <c r="B8" s="1" t="s">
        <v>2975</v>
      </c>
      <c r="C8" t="s">
        <v>2983</v>
      </c>
      <c r="D8" s="4" t="s">
        <v>22</v>
      </c>
      <c r="G8">
        <v>6</v>
      </c>
    </row>
    <row r="9" spans="1:7" ht="15" x14ac:dyDescent="0.2">
      <c r="A9">
        <v>7</v>
      </c>
      <c r="B9" s="1" t="s">
        <v>2701</v>
      </c>
      <c r="C9" t="s">
        <v>2984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2976</v>
      </c>
      <c r="C10" t="s">
        <v>2985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2977</v>
      </c>
      <c r="C11" t="s">
        <v>2986</v>
      </c>
      <c r="G11">
        <v>7</v>
      </c>
    </row>
    <row r="12" spans="1:7" ht="15" x14ac:dyDescent="0.2">
      <c r="A12">
        <v>10</v>
      </c>
      <c r="B12" s="6" t="s">
        <v>2978</v>
      </c>
      <c r="C12" t="s">
        <v>2987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2979</v>
      </c>
      <c r="C13" t="s">
        <v>2988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2854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2855</v>
      </c>
      <c r="C4" t="s">
        <v>2798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2856</v>
      </c>
      <c r="C5" t="s">
        <v>2859</v>
      </c>
      <c r="D5" s="4" t="s">
        <v>22</v>
      </c>
      <c r="G5">
        <v>3</v>
      </c>
    </row>
    <row r="6" spans="1:7" ht="15" x14ac:dyDescent="0.2">
      <c r="A6">
        <v>4</v>
      </c>
      <c r="B6" s="1" t="s">
        <v>2857</v>
      </c>
      <c r="C6" t="s">
        <v>2858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2557</v>
      </c>
      <c r="C3" t="s">
        <v>2275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2614</v>
      </c>
      <c r="C4" t="s">
        <v>2276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2615</v>
      </c>
      <c r="C5" t="s">
        <v>2279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2616</v>
      </c>
      <c r="C6" t="s">
        <v>2280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2617</v>
      </c>
      <c r="C7" t="s">
        <v>2281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2618</v>
      </c>
      <c r="C8" t="s">
        <v>2282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2619</v>
      </c>
      <c r="C9" t="s">
        <v>2277</v>
      </c>
      <c r="G9">
        <v>2</v>
      </c>
    </row>
    <row r="10" spans="1:7" ht="15" x14ac:dyDescent="0.2">
      <c r="A10">
        <v>8</v>
      </c>
      <c r="B10" s="6" t="s">
        <v>2620</v>
      </c>
      <c r="C10" t="s">
        <v>2278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2691</v>
      </c>
      <c r="C3" t="s">
        <v>2767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3640</v>
      </c>
      <c r="C4" t="s">
        <v>3650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3641</v>
      </c>
      <c r="C5" t="s">
        <v>3651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3642</v>
      </c>
      <c r="C6" t="s">
        <v>3652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3644</v>
      </c>
      <c r="C7" t="s">
        <v>3653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3647</v>
      </c>
      <c r="C8" t="s">
        <v>3657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3648</v>
      </c>
      <c r="C9" t="s">
        <v>3658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3643</v>
      </c>
      <c r="C10" t="s">
        <v>3654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3649</v>
      </c>
      <c r="C11" t="s">
        <v>3659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3645</v>
      </c>
      <c r="C12" t="s">
        <v>3655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3646</v>
      </c>
      <c r="C13" t="s">
        <v>3656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3708</v>
      </c>
      <c r="C3" t="s">
        <v>3709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3660</v>
      </c>
      <c r="C4" t="s">
        <v>3663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3661</v>
      </c>
      <c r="C5" t="s">
        <v>3664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3662</v>
      </c>
      <c r="C6" t="s">
        <v>3665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3666</v>
      </c>
      <c r="C3" t="s">
        <v>3667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3668</v>
      </c>
      <c r="C4" s="2" t="s">
        <v>3675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3660</v>
      </c>
      <c r="C5" s="2" t="s">
        <v>3663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3669</v>
      </c>
      <c r="C6" s="15" t="s">
        <v>3676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3670</v>
      </c>
      <c r="C7" s="15" t="s">
        <v>3677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3671</v>
      </c>
      <c r="C8" s="15" t="s">
        <v>3678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3672</v>
      </c>
      <c r="C9" s="15" t="s">
        <v>3679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3673</v>
      </c>
      <c r="C10" s="15" t="s">
        <v>3680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3674</v>
      </c>
      <c r="C11" s="15" t="s">
        <v>3681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3682</v>
      </c>
      <c r="C3" t="s">
        <v>3689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3692</v>
      </c>
      <c r="C4" s="2" t="s">
        <v>3693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3683</v>
      </c>
      <c r="C5" s="2" t="s">
        <v>3687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3684</v>
      </c>
      <c r="C6" s="2" t="s">
        <v>3688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3685</v>
      </c>
      <c r="C7" s="2" t="s">
        <v>3690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3686</v>
      </c>
      <c r="C8" s="2" t="s">
        <v>3691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3695</v>
      </c>
      <c r="C4" s="28" t="s">
        <v>3700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3642</v>
      </c>
      <c r="C5" s="2" t="s">
        <v>3652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3696</v>
      </c>
      <c r="C6" s="2" t="s">
        <v>3701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3697</v>
      </c>
      <c r="C7" s="2" t="s">
        <v>3702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3698</v>
      </c>
      <c r="C8" s="2" t="s">
        <v>3703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3695</v>
      </c>
      <c r="C4" s="28" t="s">
        <v>3704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3705</v>
      </c>
      <c r="C5" s="2" t="s">
        <v>3706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3710</v>
      </c>
      <c r="C6" s="2" t="s">
        <v>3707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CherryAugment_header</vt:lpstr>
      <vt:lpstr>SwarmAugment_header</vt:lpstr>
      <vt:lpstr>KiwiAugment_header</vt:lpstr>
      <vt:lpstr>KiwiAugmentSet_header</vt:lpstr>
      <vt:lpstr>KiwiQuestline_header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2026-07-16T07:50:59Z</dcterms:modified>
</cp:coreProperties>
</file>